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2.xml" ContentType="application/vnd.openxmlformats-officedocument.drawing+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yip\Desktop\vtap\binder\truck-app\"/>
    </mc:Choice>
  </mc:AlternateContent>
  <xr:revisionPtr revIDLastSave="0" documentId="13_ncr:1_{D39CE356-D4F7-44A4-92A2-5DCBE7C4217F}" xr6:coauthVersionLast="45" xr6:coauthVersionMax="45" xr10:uidLastSave="{00000000-0000-0000-0000-000000000000}"/>
  <bookViews>
    <workbookView xWindow="-120" yWindow="-120" windowWidth="25440" windowHeight="15405" tabRatio="926" firstSheet="2" activeTab="4" xr2:uid="{00000000-000D-0000-FFFF-FFFF00000000}"/>
  </bookViews>
  <sheets>
    <sheet name="Change Log" sheetId="29" r:id="rId1"/>
    <sheet name="User Notes" sheetId="18" r:id="rId2"/>
    <sheet name="Run Model" sheetId="6" r:id="rId3"/>
    <sheet name="Inputs 4-6 Diesel" sheetId="12" r:id="rId4"/>
    <sheet name="Inputs 4-6 Gas" sheetId="1" r:id="rId5"/>
    <sheet name="Fuel Prices" sheetId="4" r:id="rId6"/>
    <sheet name="4-6 Diesel" sheetId="13" r:id="rId7"/>
    <sheet name="4-6 Gas" sheetId="11" r:id="rId8"/>
    <sheet name="Mkt Pen Veh-Mi" sheetId="15" r:id="rId9"/>
    <sheet name="Market Penetration" sheetId="14" r:id="rId10"/>
    <sheet name="Mkt Pen Veh-Mi (2)" sheetId="20" r:id="rId11"/>
    <sheet name="CentShrbyTech" sheetId="24" r:id="rId12"/>
    <sheet name="Fuel2ShrbyTech" sheetId="26" r:id="rId13"/>
    <sheet name="MPG" sheetId="27" r:id="rId14"/>
    <sheet name="FuelAvail" sheetId="23" r:id="rId15"/>
    <sheet name="Alt Fueling Stations by Fuel" sheetId="30" r:id="rId16"/>
    <sheet name="Veh Price" sheetId="28" r:id="rId17"/>
    <sheet name="Market Data" sheetId="5" r:id="rId18"/>
    <sheet name="Adoption Decision" sheetId="7" r:id="rId19"/>
    <sheet name="S-curves" sheetId="9" r:id="rId20"/>
  </sheets>
  <functionGroups builtInGroupCount="19"/>
  <definedNames>
    <definedName name="_xlnm._FilterDatabase" localSheetId="4" hidden="1">'Inputs 4-6 Gas'!#REF!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4-6 Gas'!$Z$22:$AE$65</definedName>
    <definedName name="CDRANGE_CLS2">'Inputs 4-6 Diesel'!$Z$22:$AE$65</definedName>
    <definedName name="CentShr">CentShrbyTech!$B$5:$M$5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'4-6 Gas'!$BD$24:$BD$67</definedName>
    <definedName name="Cls1MktShrB">'4-6 Gas'!$BE$24:$BE$67</definedName>
    <definedName name="Cls1MktShrC">'4-6 Gas'!$BF$24:$BF$67</definedName>
    <definedName name="Cls1MktShrCentA">'4-6 Gas'!$B$76:$L$119</definedName>
    <definedName name="Cls1MktShrCentB">'4-6 Gas'!$B$128:$L$171</definedName>
    <definedName name="Cls1MktShrCentC">'4-6 Gas'!$B$180:$L$223</definedName>
    <definedName name="Cls1MktShrCentD">'4-6 Gas'!$B$233:$L$276</definedName>
    <definedName name="Cls1MktShrCentE">'4-6 Gas'!$B$286:$L$329</definedName>
    <definedName name="Cls1MktShrD">'4-6 Gas'!$BG$24:$BG$67</definedName>
    <definedName name="Cls1MktShrE">'4-6 Gas'!$BH$24:$BH$67</definedName>
    <definedName name="Cls1MktShrNCentA">'4-6 Gas'!$O$76:$Y$119</definedName>
    <definedName name="Cls1MktShrNCentB">'4-6 Gas'!$O$128:$Y$171</definedName>
    <definedName name="Cls1MktShrNCentC">'4-6 Gas'!$O$180:$Y$223</definedName>
    <definedName name="Cls1MktShrNCentD">'4-6 Gas'!$O$233:$Y$276</definedName>
    <definedName name="Cls1MktShrNCentE">'4-6 Gas'!$O$286:$Y$329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'4-6 Gas'!$AH$76:$AH$119</definedName>
    <definedName name="Cls1TechBCentShr">'4-6 Gas'!$AH$128:$AH$171</definedName>
    <definedName name="Cls1TechCCentShr">'4-6 Gas'!$AH$180:$AH$223</definedName>
    <definedName name="Cls1TechDCentShr">'4-6 Gas'!$AH$233:$AH$276</definedName>
    <definedName name="Cls1TechECentShr">'4-6 Gas'!$AH$286:$AH$329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'4-6 Diesel'!$BD$24:$BD$67</definedName>
    <definedName name="Cls2MktShrB">'4-6 Diesel'!$BE$24:$BE$67</definedName>
    <definedName name="Cls2MktShrC">'4-6 Diesel'!$BF$24:$BF$67</definedName>
    <definedName name="Cls2MktShrCentA">'4-6 Diesel'!$B$76:$L$119</definedName>
    <definedName name="Cls2MktShrCentB">'4-6 Diesel'!$B$128:$L$171</definedName>
    <definedName name="Cls2MktShrCentC">'4-6 Diesel'!$B$180:$L$223</definedName>
    <definedName name="Cls2MktShrCentD">'4-6 Diesel'!$B$233:$L$276</definedName>
    <definedName name="Cls2MktShrCentE">'4-6 Diesel'!$B$286:$L$329</definedName>
    <definedName name="Cls2MktShrD">'4-6 Diesel'!$BG$24:$BG$67</definedName>
    <definedName name="Cls2MktShrE">'4-6 Diesel'!$BH$24:$BH$67</definedName>
    <definedName name="Cls2MktShrNCentA">'4-6 Diesel'!$O$76:$Y$119</definedName>
    <definedName name="Cls2MktShrNCentB">'4-6 Diesel'!$O$128:$Y$171</definedName>
    <definedName name="Cls2MktShrNCentC">'4-6 Diesel'!$O$180:$Y$223</definedName>
    <definedName name="Cls2MktShrNCentD">'4-6 Diesel'!$O$233:$Y$276</definedName>
    <definedName name="Cls2MktShrNCentE">'4-6 Diesel'!$O$286:$Y$329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'4-6 Diesel'!$AH$76:$AH$119</definedName>
    <definedName name="Cls2TechBCentShr">'4-6 Diesel'!$AH$128:$AH$171</definedName>
    <definedName name="Cls2TechCCentShr">'4-6 Diesel'!$AH$180:$AH$223</definedName>
    <definedName name="Cls2TechDCentShr">'4-6 Diesel'!$AH$233:$AH$276</definedName>
    <definedName name="Cls2TechECentShr">'4-6 Diesel'!$AH$286:$AH$329</definedName>
    <definedName name="Cls3CentDailyRng">'Market Data'!$W$126:$W$136</definedName>
    <definedName name="Cls3CentVMT">'Market Data'!$V$126:$V$136</definedName>
    <definedName name="Cls3CentVMTShr">'Market Data'!$AA$126:$AA$136</definedName>
    <definedName name="Cls3NCentDailyRng">'Market Data'!$Y$126:$Y$136</definedName>
    <definedName name="Cls3NCentVMT">'Market Data'!$X$126:$X$136</definedName>
    <definedName name="Cls3NCentVMTShr">'Market Data'!$AC$126:$AC$136</definedName>
    <definedName name="Cohorts">'Market Data'!$A$126:$A$136</definedName>
    <definedName name="COST_Cls1">'Inputs 4-6 Gas'!$C$22:$H$65</definedName>
    <definedName name="COST_Cls2">'Inputs 4-6 Diesel'!$C$22:$H$65</definedName>
    <definedName name="disc_rate">'Run Model'!$C$6</definedName>
    <definedName name="FirstCostInd">'S-curves'!$L$9:$M$48</definedName>
    <definedName name="FltShr">CentShrbyTech!$B$10:$M$53</definedName>
    <definedName name="fuel_avail">FuelAvail!$C$9:$K$52</definedName>
    <definedName name="FUEL1MPG_78SU">'Inputs 4-6 Diesel'!$N$22:$S$65</definedName>
    <definedName name="FUEL1MPG_Cls1">'Inputs 4-6 Gas'!$N$22:$S$65</definedName>
    <definedName name="FUEL1MPG_Cls2">'Inputs 4-6 Diesel'!$N$22:$S$65</definedName>
    <definedName name="Fuel2HDStock">Fuel2ShrbyTech!$B$8:$M$8</definedName>
    <definedName name="FUEL2MPG_Cls1">'Inputs 4-6 Gas'!$T$22:$Y$65</definedName>
    <definedName name="FUEL2MPG_Cls2">'Inputs 4-6 Diesel'!$T$22:$Y$65</definedName>
    <definedName name="Fuel2Shr">Fuel2ShrbyTech!$B$10:$M$53</definedName>
    <definedName name="FuelCls1A">'Inputs 4-6 Gas'!$F$9</definedName>
    <definedName name="FuelCls1B">'Inputs 4-6 Gas'!$F$10</definedName>
    <definedName name="FuelCls1C">'Inputs 4-6 Gas'!$F$11</definedName>
    <definedName name="FuelCls1D">'Inputs 4-6 Gas'!$F$12</definedName>
    <definedName name="FuelCls1E">'Inputs 4-6 Gas'!$F$13</definedName>
    <definedName name="FuelCls2A">'Inputs 4-6 Diesel'!$F$9</definedName>
    <definedName name="FuelCls2B">'Inputs 4-6 Diesel'!$F$10</definedName>
    <definedName name="FuelCls2C">'Inputs 4-6 Diesel'!$F$11</definedName>
    <definedName name="FuelCls2D">'Inputs 4-6 Diesel'!$F$12</definedName>
    <definedName name="FuelCls2E">'Inputs 4-6 Diesel'!$F$13</definedName>
    <definedName name="FuelCostInd">'S-curves'!$N$9:$O$48</definedName>
    <definedName name="FuelHDStock">'Veh Price'!$B$8:$M$8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19">'S-curves'!$Y$9:$Z$39</definedName>
    <definedName name="ICostFactLU">'S-curves'!$Y$9:$Z$39</definedName>
    <definedName name="IncCost_Cls1">'4-6 Gas'!$C$24:$G$67</definedName>
    <definedName name="IncCost_Cls2">'4-6 Diesel'!$C$24:$G$67</definedName>
    <definedName name="IncCostCls1A">'Inputs 4-6 Gas'!$D$22:$D$65</definedName>
    <definedName name="IncCostCls1B">'Inputs 4-6 Gas'!$E$22:$E$65</definedName>
    <definedName name="IncCostCls1C">'Inputs 4-6 Gas'!$F$22:$F$65</definedName>
    <definedName name="IncCostCls1D">'Inputs 4-6 Gas'!$G$22:$G$65</definedName>
    <definedName name="IncCostCls1E">'Inputs 4-6 Gas'!$H$22:$H$65</definedName>
    <definedName name="IncCostCls2A">'Inputs 4-6 Diesel'!$D$22:$D$65</definedName>
    <definedName name="IncCostCls2B">'Inputs 4-6 Diesel'!$E$22:$E$65</definedName>
    <definedName name="IncCostCls2C">'Inputs 4-6 Diesel'!$F$22:$F$65</definedName>
    <definedName name="IncCostCls2D">'Inputs 4-6 Diesel'!$G$22:$G$65</definedName>
    <definedName name="IncCostCls2E">'Inputs 4-6 Diesel'!$H$22:$H$65</definedName>
    <definedName name="MktPenMi">'Mkt Pen Veh-Mi'!$B$9:$M$52</definedName>
    <definedName name="MktPenSales">'Market Penetration'!$B$9:$O$52</definedName>
    <definedName name="MoPayback_Comb">'4-6 Gas'!$Y$24:$AC$67</definedName>
    <definedName name="MoPayback_SU">'4-6 Diesel'!$Y$24:$AC$67</definedName>
    <definedName name="MoSavings_Comb">'4-6 Gas'!$T$24:$X$67</definedName>
    <definedName name="MoSavings_SU">'4-6 Diesel'!$T$24:$X$67</definedName>
    <definedName name="MPG">MPG!$B$9:$M$52</definedName>
    <definedName name="mpgFbase">'Inputs 4-6 Gas'!$P$8</definedName>
    <definedName name="NPVadjrate" localSheetId="19">'S-curves'!$AL$8:$AN$8</definedName>
    <definedName name="NPVadjrate">'S-curves'!$AL$8:$AN$8</definedName>
    <definedName name="OPDAYS_Cls1">'Inputs 4-6 Gas'!$E$3</definedName>
    <definedName name="OPDAYS_Cls2">'Inputs 4-6 Diesel'!$E$3</definedName>
    <definedName name="plugs_per_station">FuelAvail!$Q$6</definedName>
    <definedName name="_xlnm.Print_Area" localSheetId="15">'Alt Fueling Stations by Fuel'!$B$7:$J$24</definedName>
    <definedName name="_xlnm.Print_Area" localSheetId="17">'Market Data'!$A$1:$AD$156</definedName>
    <definedName name="_xlnm.Print_Area" localSheetId="9">'Market Penetration'!$A$3:$M$52</definedName>
    <definedName name="_xlnm.Print_Area" localSheetId="8">'Mkt Pen Veh-Mi'!$A$3:$M$52</definedName>
    <definedName name="_xlnm.Print_Area" localSheetId="10">'Mkt Pen Veh-Mi (2)'!$A$3:$M$52</definedName>
    <definedName name="_xlnm.Print_Titles" localSheetId="6">'4-6 Diesel'!$A:$A</definedName>
    <definedName name="_xlnm.Print_Titles" localSheetId="7">'4-6 Gas'!$A:$A</definedName>
    <definedName name="_xlnm.Print_Titles" localSheetId="3">'Inputs 4-6 Diesel'!$B:$B,'Inputs 4-6 Diesel'!$1:$66</definedName>
    <definedName name="_xlnm.Print_Titles" localSheetId="4">'Inputs 4-6 Gas'!$B:$B,'Inputs 4-6 Gas'!$1:$67</definedName>
    <definedName name="RtimeCls1Cent1">'Run Model'!$D$14</definedName>
    <definedName name="RtimeCls1Cent2">'4-6 Gas'!$P$4</definedName>
    <definedName name="RtimeCls1NCent1">'Run Model'!$D$15</definedName>
    <definedName name="RtimeCls1NCent2">'4-6 Gas'!$P$5</definedName>
    <definedName name="RtimeCls2Cent1">'Run Model'!$D$16</definedName>
    <definedName name="RtimeCls2Cent2">'4-6 Diesel'!$L$4</definedName>
    <definedName name="RtimeCls2NCent1">'Run Model'!$D$17</definedName>
    <definedName name="RtimeCls2NCent2">'4-6 Diesel'!$L$5</definedName>
    <definedName name="SCdata" localSheetId="19">'S-curves'!$A$9:$B$34</definedName>
    <definedName name="SCdata">'S-curves'!$A$9:$B$34</definedName>
    <definedName name="SUBSIDY_Cls1">'Inputs 4-6 Gas'!$I$22:$M$65</definedName>
    <definedName name="SUBSIDY_Cls2">'Inputs 4-6 Diesel'!$I$22:$M$65</definedName>
    <definedName name="TECH_OPT_COLS_Cls1">'Inputs 4-6 Gas'!$C$7:$O$7</definedName>
    <definedName name="TECH_OPT_COLS_Cls2">'Inputs 4-6 Diesel'!$C$7:$O$7</definedName>
    <definedName name="TECH_OPT_DESC_Cls1">'Inputs 4-6 Gas'!$C$8:$C$13</definedName>
    <definedName name="TECH_OPT_DESC_Cls2">'Inputs 4-6 Diesel'!$C$8:$C$13</definedName>
    <definedName name="TECH_OPT_FUEL1_Cls1">'Inputs 4-6 Gas'!$F$8:$F$13</definedName>
    <definedName name="TECH_OPT_FUEL1_Cls2">'Inputs 4-6 Diesel'!$F$8:$F$13</definedName>
    <definedName name="TECH_OPT_FUEL2_Cls1">'Inputs 4-6 Gas'!$G$8:$G$13</definedName>
    <definedName name="TECH_OPT_FUEL2_Cls2">'Inputs 4-6 Diesel'!$G$8:$G$13</definedName>
    <definedName name="TECH_OPT_PARAMS_Cls1">'Inputs 4-6 Gas'!$C$8:$O$13</definedName>
    <definedName name="TECH_OPT_PARAMS_Cls2">'Inputs 4-6 Diesel'!$C$8:$O$13</definedName>
    <definedName name="TECH_OPT_ROWS_Cls1">'Inputs 4-6 Gas'!$B$8:$B$13</definedName>
    <definedName name="TECH_OPT_ROWS_Cls2">'Inputs 4-6 Diesel'!$B$8:$B$13</definedName>
    <definedName name="TechACls1">'Inputs 4-6 Gas'!$C$9</definedName>
    <definedName name="TechACls2">'Inputs 4-6 Diesel'!$C$9</definedName>
    <definedName name="TechBCls1">'Inputs 4-6 Gas'!$C$10</definedName>
    <definedName name="TechBCls2">'Inputs 4-6 Diesel'!$C$10</definedName>
    <definedName name="TechCCls1">'Inputs 4-6 Gas'!$C$11</definedName>
    <definedName name="TechCCls2">'Inputs 4-6 Diesel'!$C$11</definedName>
    <definedName name="TechDCls1">'Inputs 4-6 Gas'!$C$12</definedName>
    <definedName name="TechDCls2">'Inputs 4-6 Diesel'!$C$12</definedName>
    <definedName name="TechECls1">'Inputs 4-6 Gas'!$C$13</definedName>
    <definedName name="TechECls2">'Inputs 4-6 Diesel'!$C$13</definedName>
    <definedName name="TechHDStock">'Veh Price'!$B$7:$M$7</definedName>
    <definedName name="TECHOPTS_Cls1">'Inputs 4-6 Gas'!$C$20:$H$20</definedName>
    <definedName name="TECHOPTS_Cls2">'Inputs 4-6 Diesel'!$C$20:$H$20</definedName>
    <definedName name="TorF">FuelAvail!$D$56:$D$57</definedName>
    <definedName name="VehPrice">'Veh Price'!$B$9:$M$52</definedName>
    <definedName name="Years">'Inputs 4-6 Gas'!$B$22:$B$65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9" i="23" l="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38" i="23"/>
  <c r="Q37" i="23"/>
  <c r="Q35" i="23"/>
  <c r="Q34" i="23"/>
  <c r="Q33" i="23"/>
  <c r="Q32" i="23"/>
  <c r="Q31" i="23"/>
  <c r="Q30" i="23"/>
  <c r="Q29" i="23"/>
  <c r="Q28" i="23"/>
  <c r="Q27" i="23"/>
  <c r="C4" i="30"/>
  <c r="AA34" i="23" l="1"/>
  <c r="AA28" i="23"/>
  <c r="AA21" i="23"/>
  <c r="X35" i="23" l="1"/>
  <c r="X34" i="23"/>
  <c r="X33" i="23"/>
  <c r="X32" i="23"/>
  <c r="X31" i="23"/>
  <c r="X30" i="23"/>
  <c r="X29" i="23"/>
  <c r="X28" i="23"/>
  <c r="X27" i="23"/>
  <c r="X26" i="23"/>
  <c r="X25" i="23"/>
  <c r="X24" i="23"/>
  <c r="X23" i="23"/>
  <c r="X22" i="23"/>
  <c r="X21" i="23"/>
  <c r="X20" i="23"/>
  <c r="X19" i="23"/>
  <c r="X18" i="23"/>
  <c r="X17" i="23"/>
  <c r="X16" i="23"/>
  <c r="X15" i="23"/>
  <c r="X14" i="23"/>
  <c r="X13" i="23"/>
  <c r="X12" i="23"/>
  <c r="X11" i="23"/>
  <c r="X10" i="23"/>
  <c r="X9" i="23"/>
  <c r="X8" i="23"/>
  <c r="W35" i="23"/>
  <c r="W34" i="23"/>
  <c r="W33" i="23"/>
  <c r="W32" i="23"/>
  <c r="W31" i="23"/>
  <c r="W30" i="23"/>
  <c r="W29" i="23"/>
  <c r="W28" i="23"/>
  <c r="W27" i="23"/>
  <c r="W26" i="23"/>
  <c r="W25" i="23"/>
  <c r="W24" i="23"/>
  <c r="W23" i="23"/>
  <c r="W22" i="23"/>
  <c r="W21" i="23"/>
  <c r="W20" i="23"/>
  <c r="W19" i="23"/>
  <c r="W18" i="23"/>
  <c r="W17" i="23"/>
  <c r="W16" i="23"/>
  <c r="W15" i="23"/>
  <c r="W14" i="23"/>
  <c r="W13" i="23"/>
  <c r="W12" i="23"/>
  <c r="W11" i="23"/>
  <c r="W10" i="23"/>
  <c r="W9" i="23"/>
  <c r="W8" i="23"/>
  <c r="V35" i="23"/>
  <c r="V34" i="23"/>
  <c r="V33" i="23"/>
  <c r="V32" i="23"/>
  <c r="V31" i="23"/>
  <c r="V30" i="23"/>
  <c r="V29" i="23"/>
  <c r="V28" i="23"/>
  <c r="V27" i="23"/>
  <c r="V26" i="23"/>
  <c r="V25" i="23"/>
  <c r="V24" i="23"/>
  <c r="V23" i="23"/>
  <c r="V22" i="23"/>
  <c r="V21" i="23"/>
  <c r="V20" i="23"/>
  <c r="V19" i="23"/>
  <c r="V18" i="23"/>
  <c r="V17" i="23"/>
  <c r="V16" i="23"/>
  <c r="U35" i="23"/>
  <c r="U34" i="23"/>
  <c r="U33" i="23"/>
  <c r="U32" i="23"/>
  <c r="U31" i="23"/>
  <c r="U30" i="23"/>
  <c r="U29" i="23"/>
  <c r="U28" i="23"/>
  <c r="U27" i="23"/>
  <c r="U26" i="23"/>
  <c r="U25" i="23"/>
  <c r="U24" i="23"/>
  <c r="U23" i="23"/>
  <c r="U22" i="23"/>
  <c r="U21" i="23"/>
  <c r="U20" i="23"/>
  <c r="U19" i="23"/>
  <c r="U18" i="23"/>
  <c r="T35" i="23"/>
  <c r="T34" i="23"/>
  <c r="T33" i="23"/>
  <c r="T32" i="23"/>
  <c r="T31" i="23"/>
  <c r="T30" i="23"/>
  <c r="T29" i="23"/>
  <c r="T28" i="23"/>
  <c r="T27" i="23"/>
  <c r="T26" i="23"/>
  <c r="T25" i="23"/>
  <c r="T24" i="23"/>
  <c r="T23" i="23"/>
  <c r="T22" i="23"/>
  <c r="T21" i="23"/>
  <c r="T20" i="23"/>
  <c r="T19" i="23"/>
  <c r="T18" i="23"/>
  <c r="T17" i="23"/>
  <c r="T16" i="23"/>
  <c r="T15" i="23"/>
  <c r="T14" i="23"/>
  <c r="T13" i="23"/>
  <c r="T12" i="23"/>
  <c r="S16" i="23"/>
  <c r="S15" i="23"/>
  <c r="S14" i="23"/>
  <c r="S13" i="23"/>
  <c r="S12" i="23"/>
  <c r="S11" i="23"/>
  <c r="S10" i="23"/>
  <c r="S9" i="23"/>
  <c r="S8" i="23"/>
  <c r="Q26" i="23"/>
  <c r="Q25" i="23"/>
  <c r="Q24" i="23"/>
  <c r="Q23" i="23"/>
  <c r="Q22" i="23"/>
  <c r="Q21" i="23"/>
  <c r="Q20" i="23"/>
  <c r="Q19" i="23"/>
  <c r="Q18" i="23"/>
  <c r="Q17" i="23"/>
  <c r="Q16" i="23"/>
  <c r="Q15" i="23"/>
  <c r="Q14" i="23"/>
  <c r="Q13" i="23"/>
  <c r="Q12" i="23"/>
  <c r="Q11" i="23"/>
  <c r="R35" i="23"/>
  <c r="R34" i="23"/>
  <c r="R32" i="23"/>
  <c r="R31" i="23"/>
  <c r="R30" i="23"/>
  <c r="R29" i="23"/>
  <c r="R28" i="23"/>
  <c r="R27" i="23"/>
  <c r="R26" i="23"/>
  <c r="R25" i="23"/>
  <c r="R24" i="23"/>
  <c r="R23" i="23"/>
  <c r="R22" i="23"/>
  <c r="R21" i="23"/>
  <c r="R20" i="23"/>
  <c r="R19" i="23"/>
  <c r="R18" i="23"/>
  <c r="R17" i="23"/>
  <c r="R16" i="23"/>
  <c r="R15" i="23"/>
  <c r="R14" i="23"/>
  <c r="R13" i="23"/>
  <c r="R12" i="23"/>
  <c r="R11" i="23"/>
  <c r="R10" i="23"/>
  <c r="R9" i="23"/>
  <c r="R8" i="23"/>
  <c r="R33" i="23"/>
  <c r="K36" i="30"/>
  <c r="K35" i="30"/>
  <c r="K34" i="30"/>
  <c r="K33" i="30"/>
  <c r="K32" i="30"/>
  <c r="K29" i="30"/>
  <c r="K28" i="30"/>
  <c r="K27" i="30"/>
  <c r="K26" i="30"/>
  <c r="K25" i="30"/>
  <c r="K24" i="30"/>
  <c r="K23" i="30"/>
  <c r="K22" i="30"/>
  <c r="K21" i="30"/>
  <c r="K20" i="30"/>
  <c r="K19" i="30"/>
  <c r="K18" i="30"/>
  <c r="K17" i="30"/>
  <c r="K16" i="30"/>
  <c r="K15" i="30"/>
  <c r="K14" i="30"/>
  <c r="K13" i="30"/>
  <c r="K12" i="30"/>
  <c r="K11" i="30"/>
  <c r="K10" i="30"/>
  <c r="K9" i="30"/>
  <c r="AX28" i="23" l="1"/>
  <c r="AX27" i="23"/>
  <c r="AX26" i="23"/>
  <c r="AX25" i="23"/>
  <c r="AX24" i="23"/>
  <c r="AX23" i="23"/>
  <c r="AX22" i="23"/>
  <c r="AX21" i="23"/>
  <c r="AX20" i="23"/>
  <c r="AX19" i="23"/>
  <c r="AX18" i="23"/>
  <c r="AX17" i="23"/>
  <c r="AX16" i="23"/>
  <c r="AX15" i="23"/>
  <c r="AX14" i="23"/>
  <c r="AX13" i="23"/>
  <c r="AX12" i="23"/>
  <c r="AW13" i="23"/>
  <c r="AW14" i="23"/>
  <c r="AW15" i="23"/>
  <c r="AW16" i="23"/>
  <c r="AW17" i="23"/>
  <c r="AW18" i="23"/>
  <c r="AW19" i="23"/>
  <c r="AW20" i="23"/>
  <c r="AW21" i="23"/>
  <c r="AW22" i="23"/>
  <c r="AW23" i="23"/>
  <c r="AW24" i="23"/>
  <c r="AW25" i="23"/>
  <c r="AW26" i="23"/>
  <c r="AW27" i="23"/>
  <c r="AW28" i="23"/>
  <c r="AW29" i="23"/>
  <c r="AW30" i="23"/>
  <c r="AW31" i="23"/>
  <c r="AW32" i="23"/>
  <c r="AW33" i="23"/>
  <c r="AW34" i="23"/>
  <c r="AW35" i="23"/>
  <c r="AW36" i="23"/>
  <c r="AW37" i="23"/>
  <c r="AW38" i="23"/>
  <c r="AW39" i="23"/>
  <c r="AW40" i="23"/>
  <c r="AW41" i="23"/>
  <c r="AW42" i="23"/>
  <c r="AW43" i="23"/>
  <c r="AW44" i="23"/>
  <c r="AW45" i="23"/>
  <c r="AW46" i="23"/>
  <c r="AW47" i="23"/>
  <c r="AW48" i="23"/>
  <c r="AW49" i="23"/>
  <c r="AW50" i="23"/>
  <c r="AW51" i="23"/>
  <c r="AW52" i="23"/>
  <c r="AW53" i="23"/>
  <c r="AW54" i="23"/>
  <c r="AW55" i="23"/>
  <c r="AW56" i="23"/>
  <c r="AW57" i="23"/>
  <c r="AW58" i="23"/>
  <c r="AW59" i="23"/>
  <c r="AW60" i="23"/>
  <c r="AW61" i="23"/>
  <c r="AW62" i="23"/>
  <c r="AW63" i="23"/>
  <c r="AW64" i="23"/>
  <c r="AW65" i="23"/>
  <c r="AW66" i="23"/>
  <c r="AW12" i="23"/>
  <c r="AU58" i="23"/>
  <c r="AU59" i="23"/>
  <c r="AU60" i="23"/>
  <c r="AU61" i="23"/>
  <c r="AU62" i="23"/>
  <c r="AU63" i="23"/>
  <c r="AU64" i="23"/>
  <c r="AU65" i="23"/>
  <c r="AU66" i="23"/>
  <c r="AU29" i="23"/>
  <c r="AU30" i="23"/>
  <c r="AU31" i="23"/>
  <c r="AU32" i="23"/>
  <c r="AU33" i="23"/>
  <c r="AU34" i="23"/>
  <c r="AU35" i="23"/>
  <c r="AU36" i="23"/>
  <c r="AU37" i="23"/>
  <c r="AU38" i="23"/>
  <c r="AU39" i="23"/>
  <c r="AU40" i="23"/>
  <c r="AU41" i="23"/>
  <c r="AU42" i="23"/>
  <c r="AU43" i="23"/>
  <c r="AU44" i="23"/>
  <c r="AU45" i="23"/>
  <c r="AU46" i="23"/>
  <c r="AU47" i="23"/>
  <c r="AU48" i="23"/>
  <c r="AU49" i="23"/>
  <c r="AU50" i="23"/>
  <c r="AU51" i="23"/>
  <c r="AU52" i="23"/>
  <c r="AU53" i="23"/>
  <c r="AU54" i="23"/>
  <c r="AU55" i="23"/>
  <c r="AU56" i="23"/>
  <c r="AU57" i="23"/>
  <c r="AV13" i="23"/>
  <c r="AV14" i="23"/>
  <c r="AV15" i="23"/>
  <c r="AV16" i="23"/>
  <c r="AV17" i="23"/>
  <c r="AV18" i="23"/>
  <c r="AV19" i="23"/>
  <c r="AV20" i="23"/>
  <c r="AV21" i="23"/>
  <c r="AV22" i="23"/>
  <c r="AV23" i="23"/>
  <c r="AV24" i="23"/>
  <c r="AV25" i="23"/>
  <c r="AV26" i="23"/>
  <c r="AV27" i="23"/>
  <c r="AV28" i="23"/>
  <c r="AV12" i="23"/>
  <c r="AU13" i="23"/>
  <c r="AU14" i="23"/>
  <c r="AU15" i="23"/>
  <c r="AU16" i="23"/>
  <c r="AU17" i="23"/>
  <c r="AU18" i="23"/>
  <c r="AU19" i="23"/>
  <c r="AU20" i="23"/>
  <c r="AU21" i="23"/>
  <c r="AU22" i="23"/>
  <c r="AU23" i="23"/>
  <c r="AU24" i="23"/>
  <c r="AU25" i="23"/>
  <c r="AU26" i="23"/>
  <c r="AU27" i="23"/>
  <c r="AU28" i="23"/>
  <c r="AU12" i="23"/>
  <c r="AT13" i="23"/>
  <c r="AT14" i="23"/>
  <c r="AT15" i="23"/>
  <c r="AT16" i="23"/>
  <c r="AT17" i="23"/>
  <c r="AT18" i="23"/>
  <c r="AT19" i="23"/>
  <c r="AT20" i="23"/>
  <c r="AT21" i="23"/>
  <c r="AT22" i="23"/>
  <c r="AT23" i="23"/>
  <c r="AT24" i="23"/>
  <c r="AT25" i="23"/>
  <c r="AT26" i="23"/>
  <c r="AT27" i="23"/>
  <c r="AT28" i="23"/>
  <c r="AT12" i="23"/>
  <c r="Y66" i="23"/>
  <c r="Y65" i="23"/>
  <c r="Y64" i="23"/>
  <c r="Y63" i="23"/>
  <c r="Y62" i="23"/>
  <c r="Y61" i="23"/>
  <c r="Y60" i="23"/>
  <c r="Y59" i="23"/>
  <c r="Y58" i="23"/>
  <c r="Y57" i="23"/>
  <c r="Y56" i="23"/>
  <c r="Y55" i="23"/>
  <c r="Y54" i="23"/>
  <c r="Y53" i="23"/>
  <c r="Y52" i="23"/>
  <c r="Y51" i="23"/>
  <c r="Y50" i="23"/>
  <c r="Y49" i="23"/>
  <c r="Y48" i="23"/>
  <c r="Y47" i="23"/>
  <c r="Y46" i="23"/>
  <c r="Y45" i="23"/>
  <c r="Y44" i="23"/>
  <c r="Y43" i="23"/>
  <c r="Y42" i="23"/>
  <c r="Y41" i="23"/>
  <c r="Y40" i="23"/>
  <c r="Y39" i="23"/>
  <c r="Y38" i="23"/>
  <c r="Y37" i="23"/>
  <c r="Y36" i="23"/>
  <c r="Y35" i="23"/>
  <c r="Y34" i="23"/>
  <c r="Y33" i="23"/>
  <c r="Y32" i="23"/>
  <c r="Y31" i="23"/>
  <c r="Y30" i="23"/>
  <c r="Y29" i="23"/>
  <c r="AB13" i="23"/>
  <c r="AC13" i="23" s="1"/>
  <c r="AB14" i="23"/>
  <c r="AC14" i="23" s="1"/>
  <c r="AB15" i="23"/>
  <c r="AC15" i="23" s="1"/>
  <c r="AB16" i="23"/>
  <c r="AC16" i="23" s="1"/>
  <c r="AB17" i="23"/>
  <c r="AC17" i="23" s="1"/>
  <c r="AB18" i="23"/>
  <c r="AC18" i="23" s="1"/>
  <c r="AB19" i="23"/>
  <c r="AC19" i="23" s="1"/>
  <c r="AB20" i="23"/>
  <c r="AC20" i="23" s="1"/>
  <c r="AB21" i="23"/>
  <c r="AC21" i="23" s="1"/>
  <c r="AB22" i="23"/>
  <c r="AC22" i="23" s="1"/>
  <c r="AB23" i="23"/>
  <c r="AC23" i="23" s="1"/>
  <c r="AB24" i="23"/>
  <c r="AC24" i="23" s="1"/>
  <c r="AB25" i="23"/>
  <c r="AC25" i="23" s="1"/>
  <c r="AB26" i="23"/>
  <c r="AC26" i="23" s="1"/>
  <c r="AB27" i="23"/>
  <c r="AC27" i="23" s="1"/>
  <c r="AB28" i="23"/>
  <c r="AC28" i="23" s="1"/>
  <c r="AB29" i="23"/>
  <c r="AB30" i="23"/>
  <c r="AB31" i="23"/>
  <c r="AB32" i="23"/>
  <c r="AB33" i="23"/>
  <c r="AB34" i="23"/>
  <c r="AB35" i="23"/>
  <c r="AB36" i="23"/>
  <c r="AB37" i="23"/>
  <c r="AB38" i="23"/>
  <c r="AB39" i="23"/>
  <c r="AB40" i="23"/>
  <c r="AB41" i="23"/>
  <c r="AB42" i="23"/>
  <c r="AB43" i="23"/>
  <c r="AB44" i="23"/>
  <c r="AB45" i="23"/>
  <c r="AB46" i="23"/>
  <c r="AB47" i="23"/>
  <c r="AB48" i="23"/>
  <c r="AB49" i="23"/>
  <c r="AB50" i="23"/>
  <c r="AB51" i="23"/>
  <c r="AB52" i="23"/>
  <c r="AB53" i="23"/>
  <c r="AB54" i="23"/>
  <c r="AB55" i="23"/>
  <c r="AB56" i="23"/>
  <c r="AB57" i="23"/>
  <c r="AB58" i="23"/>
  <c r="AB59" i="23"/>
  <c r="AB60" i="23"/>
  <c r="AB61" i="23"/>
  <c r="AB62" i="23"/>
  <c r="AB63" i="23"/>
  <c r="AB64" i="23"/>
  <c r="AB65" i="23"/>
  <c r="AB66" i="23"/>
  <c r="AB12" i="23"/>
  <c r="AC12" i="23" s="1"/>
  <c r="AH28" i="23"/>
  <c r="AH27" i="23"/>
  <c r="AD13" i="23"/>
  <c r="AD14" i="23"/>
  <c r="AD15" i="23"/>
  <c r="AD16" i="23"/>
  <c r="AD17" i="23"/>
  <c r="AD18" i="23"/>
  <c r="AD19" i="23"/>
  <c r="AD20" i="23"/>
  <c r="AD21" i="23"/>
  <c r="AD22" i="23"/>
  <c r="AD23" i="23"/>
  <c r="AD24" i="23"/>
  <c r="AD25" i="23"/>
  <c r="AD26" i="23"/>
  <c r="AD27" i="23"/>
  <c r="AD28" i="23"/>
  <c r="AD12" i="23"/>
  <c r="AE59" i="23" l="1"/>
  <c r="AE52" i="23"/>
  <c r="AE36" i="23"/>
  <c r="AE12" i="23"/>
  <c r="AE19" i="23"/>
  <c r="AF19" i="23" s="1"/>
  <c r="AE58" i="23"/>
  <c r="AE18" i="23"/>
  <c r="AF18" i="23" s="1"/>
  <c r="AE65" i="23"/>
  <c r="AE57" i="23"/>
  <c r="AE49" i="23"/>
  <c r="AE41" i="23"/>
  <c r="AE33" i="23"/>
  <c r="AE25" i="23"/>
  <c r="AF25" i="23" s="1"/>
  <c r="AE17" i="23"/>
  <c r="AF17" i="23" s="1"/>
  <c r="AE35" i="23"/>
  <c r="AE42" i="23"/>
  <c r="AE64" i="23"/>
  <c r="AE56" i="23"/>
  <c r="AE48" i="23"/>
  <c r="AE40" i="23"/>
  <c r="AE32" i="23"/>
  <c r="AE24" i="23"/>
  <c r="AF24" i="23" s="1"/>
  <c r="AE16" i="23"/>
  <c r="AF16" i="23" s="1"/>
  <c r="AE44" i="23"/>
  <c r="AE51" i="23"/>
  <c r="AE66" i="23"/>
  <c r="AE26" i="23"/>
  <c r="AE55" i="23"/>
  <c r="AE39" i="23"/>
  <c r="AE15" i="23"/>
  <c r="AF15" i="23" s="1"/>
  <c r="AE20" i="23"/>
  <c r="AF20" i="23" s="1"/>
  <c r="AE43" i="23"/>
  <c r="AE23" i="23"/>
  <c r="AF23" i="23" s="1"/>
  <c r="AE62" i="23"/>
  <c r="AE54" i="23"/>
  <c r="AE46" i="23"/>
  <c r="AE38" i="23"/>
  <c r="AE30" i="23"/>
  <c r="AE22" i="23"/>
  <c r="AF22" i="23" s="1"/>
  <c r="AE14" i="23"/>
  <c r="AF14" i="23" s="1"/>
  <c r="AE60" i="23"/>
  <c r="AE28" i="23"/>
  <c r="AE27" i="23"/>
  <c r="AE50" i="23"/>
  <c r="AE34" i="23"/>
  <c r="AE63" i="23"/>
  <c r="AE47" i="23"/>
  <c r="AE31" i="23"/>
  <c r="AE61" i="23"/>
  <c r="AE53" i="23"/>
  <c r="AE45" i="23"/>
  <c r="AE37" i="23"/>
  <c r="AE29" i="23"/>
  <c r="AE21" i="23"/>
  <c r="AF21" i="23" s="1"/>
  <c r="AE13" i="23"/>
  <c r="AF13" i="23" s="1"/>
  <c r="AF26" i="23"/>
  <c r="AF12" i="23"/>
  <c r="AF27" i="23"/>
  <c r="AF28" i="23"/>
  <c r="M65" i="12" l="1"/>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J54" i="4"/>
  <c r="J29" i="4"/>
  <c r="J23" i="4"/>
  <c r="J19" i="4"/>
  <c r="AG105" i="4"/>
  <c r="AG80" i="4"/>
  <c r="AF29" i="4" s="1"/>
  <c r="AP29" i="4" s="1"/>
  <c r="AG74" i="4"/>
  <c r="AG70" i="4"/>
  <c r="AF19" i="4" s="1"/>
  <c r="AP19" i="4" s="1"/>
  <c r="AZ23" i="4"/>
  <c r="AY23" i="4"/>
  <c r="AX23" i="4"/>
  <c r="AW23" i="4"/>
  <c r="AZ22" i="4"/>
  <c r="F22" i="4" s="1"/>
  <c r="AY22" i="4"/>
  <c r="D22" i="4" s="1"/>
  <c r="AX22" i="4"/>
  <c r="AW22" i="4"/>
  <c r="AZ21" i="4"/>
  <c r="AY21" i="4"/>
  <c r="D21" i="4" s="1"/>
  <c r="AX21" i="4"/>
  <c r="AW21" i="4"/>
  <c r="AZ20" i="4"/>
  <c r="F20" i="4" s="1"/>
  <c r="AY20" i="4"/>
  <c r="D20" i="4" s="1"/>
  <c r="AX20" i="4"/>
  <c r="AW20" i="4"/>
  <c r="AZ19" i="4"/>
  <c r="AY19" i="4"/>
  <c r="D19" i="4" s="1"/>
  <c r="AX19" i="4"/>
  <c r="AW19" i="4"/>
  <c r="AZ18" i="4"/>
  <c r="F18" i="4" s="1"/>
  <c r="AY18" i="4"/>
  <c r="D18" i="4" s="1"/>
  <c r="AX18" i="4"/>
  <c r="AW18" i="4"/>
  <c r="AZ17" i="4"/>
  <c r="AY17" i="4"/>
  <c r="AX17" i="4"/>
  <c r="AW17" i="4"/>
  <c r="AZ16" i="4"/>
  <c r="F16" i="4" s="1"/>
  <c r="AY16" i="4"/>
  <c r="AX16" i="4"/>
  <c r="AW16" i="4"/>
  <c r="AZ15" i="4"/>
  <c r="AY15" i="4"/>
  <c r="D15" i="4" s="1"/>
  <c r="AX15" i="4"/>
  <c r="AW15" i="4"/>
  <c r="AZ14" i="4"/>
  <c r="F14" i="4" s="1"/>
  <c r="AY14" i="4"/>
  <c r="D14" i="4" s="1"/>
  <c r="AX14" i="4"/>
  <c r="AW14" i="4"/>
  <c r="AZ13" i="4"/>
  <c r="AY13" i="4"/>
  <c r="D13" i="4" s="1"/>
  <c r="AX13" i="4"/>
  <c r="AW13" i="4"/>
  <c r="AZ12" i="4"/>
  <c r="F12" i="4" s="1"/>
  <c r="AY12" i="4"/>
  <c r="D12" i="4" s="1"/>
  <c r="AX12" i="4"/>
  <c r="AW12" i="4"/>
  <c r="AZ11" i="4"/>
  <c r="AY11" i="4"/>
  <c r="D11" i="4" s="1"/>
  <c r="AX11" i="4"/>
  <c r="AW11" i="4"/>
  <c r="AE54" i="4"/>
  <c r="AC54" i="4"/>
  <c r="AM54" i="4" s="1"/>
  <c r="AA54" i="4"/>
  <c r="AK54" i="4" s="1"/>
  <c r="AE53" i="4"/>
  <c r="AC53" i="4"/>
  <c r="AM53" i="4" s="1"/>
  <c r="AA53" i="4"/>
  <c r="AK53" i="4" s="1"/>
  <c r="AE52" i="4"/>
  <c r="AC52" i="4"/>
  <c r="AM52" i="4" s="1"/>
  <c r="AA52" i="4"/>
  <c r="AK52" i="4" s="1"/>
  <c r="AE51" i="4"/>
  <c r="AC51" i="4"/>
  <c r="AM51" i="4" s="1"/>
  <c r="AA51" i="4"/>
  <c r="AK51" i="4" s="1"/>
  <c r="AK50" i="4"/>
  <c r="AE50" i="4"/>
  <c r="AC50" i="4"/>
  <c r="AM50" i="4" s="1"/>
  <c r="AA50" i="4"/>
  <c r="AE49" i="4"/>
  <c r="AC49" i="4"/>
  <c r="AM49" i="4" s="1"/>
  <c r="AA49" i="4"/>
  <c r="AK49" i="4" s="1"/>
  <c r="AM48" i="4"/>
  <c r="AE48" i="4"/>
  <c r="AC48" i="4"/>
  <c r="AA48" i="4"/>
  <c r="AK48" i="4" s="1"/>
  <c r="AE47" i="4"/>
  <c r="AC47" i="4"/>
  <c r="AM47" i="4" s="1"/>
  <c r="AA47" i="4"/>
  <c r="AK47" i="4" s="1"/>
  <c r="AE46" i="4"/>
  <c r="AC46" i="4"/>
  <c r="AM46" i="4" s="1"/>
  <c r="AA46" i="4"/>
  <c r="AK46" i="4" s="1"/>
  <c r="AE45" i="4"/>
  <c r="AC45" i="4"/>
  <c r="AM45" i="4" s="1"/>
  <c r="AA45" i="4"/>
  <c r="AK45" i="4" s="1"/>
  <c r="AE44" i="4"/>
  <c r="AC44" i="4"/>
  <c r="AM44" i="4" s="1"/>
  <c r="AA44" i="4"/>
  <c r="AK44" i="4" s="1"/>
  <c r="AE43" i="4"/>
  <c r="AC43" i="4"/>
  <c r="AM43" i="4" s="1"/>
  <c r="AA43" i="4"/>
  <c r="AK43" i="4" s="1"/>
  <c r="AE42" i="4"/>
  <c r="AC42" i="4"/>
  <c r="AM42" i="4" s="1"/>
  <c r="AA42" i="4"/>
  <c r="AK42" i="4" s="1"/>
  <c r="AE41" i="4"/>
  <c r="AC41" i="4"/>
  <c r="AM41" i="4" s="1"/>
  <c r="AA41" i="4"/>
  <c r="AK41" i="4" s="1"/>
  <c r="AE40" i="4"/>
  <c r="AC40" i="4"/>
  <c r="AM40" i="4" s="1"/>
  <c r="AA40" i="4"/>
  <c r="AK40" i="4" s="1"/>
  <c r="AE39" i="4"/>
  <c r="AC39" i="4"/>
  <c r="AM39" i="4" s="1"/>
  <c r="AA39" i="4"/>
  <c r="AK39" i="4" s="1"/>
  <c r="AE38" i="4"/>
  <c r="AC38" i="4"/>
  <c r="AM38" i="4" s="1"/>
  <c r="AA38" i="4"/>
  <c r="AK38" i="4" s="1"/>
  <c r="AE37" i="4"/>
  <c r="AC37" i="4"/>
  <c r="AM37" i="4" s="1"/>
  <c r="AA37" i="4"/>
  <c r="AK37" i="4" s="1"/>
  <c r="AE36" i="4"/>
  <c r="AC36" i="4"/>
  <c r="AM36" i="4" s="1"/>
  <c r="AA36" i="4"/>
  <c r="AK36" i="4" s="1"/>
  <c r="AE35" i="4"/>
  <c r="AC35" i="4"/>
  <c r="AM35" i="4" s="1"/>
  <c r="AA35" i="4"/>
  <c r="AK35" i="4" s="1"/>
  <c r="AE34" i="4"/>
  <c r="AC34" i="4"/>
  <c r="AM34" i="4" s="1"/>
  <c r="AA34" i="4"/>
  <c r="AK34" i="4" s="1"/>
  <c r="AE33" i="4"/>
  <c r="AC33" i="4"/>
  <c r="AM33" i="4" s="1"/>
  <c r="AA33" i="4"/>
  <c r="AK33" i="4" s="1"/>
  <c r="AE32" i="4"/>
  <c r="AC32" i="4"/>
  <c r="AM32" i="4" s="1"/>
  <c r="AA32" i="4"/>
  <c r="AK32" i="4" s="1"/>
  <c r="AE31" i="4"/>
  <c r="AC31" i="4"/>
  <c r="AM31" i="4" s="1"/>
  <c r="AA31" i="4"/>
  <c r="AK31" i="4" s="1"/>
  <c r="AE30" i="4"/>
  <c r="AC30" i="4"/>
  <c r="AM30" i="4" s="1"/>
  <c r="AA30" i="4"/>
  <c r="AK30" i="4" s="1"/>
  <c r="AM29" i="4"/>
  <c r="AE29" i="4"/>
  <c r="AC29" i="4"/>
  <c r="AA29" i="4"/>
  <c r="AK29" i="4" s="1"/>
  <c r="AM28" i="4"/>
  <c r="AE28" i="4"/>
  <c r="AC28" i="4"/>
  <c r="AA28" i="4"/>
  <c r="AK28" i="4" s="1"/>
  <c r="AE27" i="4"/>
  <c r="AC27" i="4"/>
  <c r="AM27" i="4" s="1"/>
  <c r="AA27" i="4"/>
  <c r="AK27" i="4" s="1"/>
  <c r="AK26" i="4"/>
  <c r="AE26" i="4"/>
  <c r="AC26" i="4"/>
  <c r="AM26" i="4" s="1"/>
  <c r="AA26" i="4"/>
  <c r="AE25" i="4"/>
  <c r="AC25" i="4"/>
  <c r="AM25" i="4" s="1"/>
  <c r="AA25" i="4"/>
  <c r="AK25" i="4" s="1"/>
  <c r="AE24" i="4"/>
  <c r="AC24" i="4"/>
  <c r="AM24" i="4" s="1"/>
  <c r="AA24" i="4"/>
  <c r="AK24" i="4" s="1"/>
  <c r="AE23" i="4"/>
  <c r="AC23" i="4"/>
  <c r="AM23" i="4" s="1"/>
  <c r="AA23" i="4"/>
  <c r="AK23" i="4" s="1"/>
  <c r="AM22" i="4"/>
  <c r="AE22" i="4"/>
  <c r="AC22" i="4"/>
  <c r="AA22" i="4"/>
  <c r="AK22" i="4" s="1"/>
  <c r="AE21" i="4"/>
  <c r="AC21" i="4"/>
  <c r="AM21" i="4" s="1"/>
  <c r="AA21" i="4"/>
  <c r="AK21" i="4" s="1"/>
  <c r="AE20" i="4"/>
  <c r="AC20" i="4"/>
  <c r="AM20" i="4" s="1"/>
  <c r="AA20" i="4"/>
  <c r="AK20" i="4" s="1"/>
  <c r="AE19" i="4"/>
  <c r="AC19" i="4"/>
  <c r="AM19" i="4" s="1"/>
  <c r="AA19" i="4"/>
  <c r="AK19" i="4" s="1"/>
  <c r="AK18" i="4"/>
  <c r="AE18" i="4"/>
  <c r="AC18" i="4"/>
  <c r="AM18" i="4" s="1"/>
  <c r="AA18" i="4"/>
  <c r="AE17" i="4"/>
  <c r="AC17" i="4"/>
  <c r="AM17" i="4" s="1"/>
  <c r="AA17" i="4"/>
  <c r="AK17" i="4" s="1"/>
  <c r="AE16" i="4"/>
  <c r="AC16" i="4"/>
  <c r="AM16" i="4" s="1"/>
  <c r="AA16" i="4"/>
  <c r="AK16" i="4" s="1"/>
  <c r="AG15" i="4"/>
  <c r="AE15" i="4"/>
  <c r="AC15" i="4"/>
  <c r="AM15" i="4" s="1"/>
  <c r="AA15" i="4"/>
  <c r="AK15" i="4" s="1"/>
  <c r="AG14" i="4"/>
  <c r="AE14" i="4"/>
  <c r="AC14" i="4"/>
  <c r="AM14" i="4" s="1"/>
  <c r="AA14" i="4"/>
  <c r="AK14" i="4" s="1"/>
  <c r="AG13" i="4"/>
  <c r="AE13" i="4"/>
  <c r="AC13" i="4"/>
  <c r="AM13" i="4" s="1"/>
  <c r="AA13" i="4"/>
  <c r="AK13" i="4" s="1"/>
  <c r="AG12" i="4"/>
  <c r="AE12" i="4"/>
  <c r="AC12" i="4"/>
  <c r="AM12" i="4" s="1"/>
  <c r="AA12" i="4"/>
  <c r="AK12" i="4" s="1"/>
  <c r="AG11" i="4"/>
  <c r="AE11" i="4"/>
  <c r="AC11" i="4"/>
  <c r="AM11" i="4" s="1"/>
  <c r="AA11" i="4"/>
  <c r="AK11" i="4" s="1"/>
  <c r="AG10" i="4"/>
  <c r="AD6" i="4"/>
  <c r="AD40" i="4" s="1"/>
  <c r="AN40" i="4" s="1"/>
  <c r="AB6" i="4"/>
  <c r="AB26" i="4" s="1"/>
  <c r="AL26" i="4" s="1"/>
  <c r="Z6" i="4"/>
  <c r="Z26" i="4" s="1"/>
  <c r="AJ26" i="4" s="1"/>
  <c r="Y6" i="4"/>
  <c r="Y11" i="4" s="1"/>
  <c r="AI11" i="4" s="1"/>
  <c r="X6" i="4"/>
  <c r="X47" i="4" s="1"/>
  <c r="AH47" i="4" s="1"/>
  <c r="U55" i="4"/>
  <c r="K81" i="4"/>
  <c r="J30" i="4" s="1"/>
  <c r="K75" i="4"/>
  <c r="K76" i="4" s="1"/>
  <c r="AG76" i="4" s="1"/>
  <c r="AF25" i="4" s="1"/>
  <c r="AP25" i="4" s="1"/>
  <c r="K69" i="4"/>
  <c r="K68" i="4" s="1"/>
  <c r="AG68" i="4" s="1"/>
  <c r="AF17" i="4" s="1"/>
  <c r="AP17" i="4" s="1"/>
  <c r="F21" i="4"/>
  <c r="F19" i="4"/>
  <c r="F17" i="4"/>
  <c r="D17" i="4"/>
  <c r="D16" i="4"/>
  <c r="F15" i="4"/>
  <c r="F13" i="4"/>
  <c r="F11" i="4"/>
  <c r="AD17" i="4" l="1"/>
  <c r="AN17" i="4" s="1"/>
  <c r="AB17" i="4"/>
  <c r="AL17" i="4" s="1"/>
  <c r="J17" i="4"/>
  <c r="J18" i="4"/>
  <c r="AB21" i="4"/>
  <c r="AL21" i="4" s="1"/>
  <c r="AD16" i="4"/>
  <c r="AN16" i="4" s="1"/>
  <c r="AB12" i="4"/>
  <c r="AL12" i="4" s="1"/>
  <c r="AB22" i="4"/>
  <c r="AL22" i="4" s="1"/>
  <c r="AD12" i="4"/>
  <c r="AN12" i="4" s="1"/>
  <c r="AD21" i="4"/>
  <c r="AN21" i="4" s="1"/>
  <c r="K71" i="4"/>
  <c r="K72" i="4" s="1"/>
  <c r="J21" i="4" s="1"/>
  <c r="X19" i="4"/>
  <c r="AH19" i="4" s="1"/>
  <c r="Y14" i="4"/>
  <c r="AI14" i="4" s="1"/>
  <c r="AG71" i="4"/>
  <c r="AF20" i="4" s="1"/>
  <c r="AP20" i="4" s="1"/>
  <c r="J24" i="4"/>
  <c r="AB29" i="4"/>
  <c r="AL29" i="4" s="1"/>
  <c r="AB41" i="4"/>
  <c r="AL41" i="4" s="1"/>
  <c r="J25" i="4"/>
  <c r="AG81" i="4"/>
  <c r="AF30" i="4" s="1"/>
  <c r="AP30" i="4" s="1"/>
  <c r="AF54" i="4"/>
  <c r="AP54" i="4" s="1"/>
  <c r="AD28" i="4"/>
  <c r="AN28" i="4" s="1"/>
  <c r="AF23" i="4"/>
  <c r="AP23" i="4" s="1"/>
  <c r="AD20" i="4"/>
  <c r="AN20" i="4" s="1"/>
  <c r="AB25" i="4"/>
  <c r="AL25" i="4" s="1"/>
  <c r="AG75" i="4"/>
  <c r="AF24" i="4" s="1"/>
  <c r="AP24" i="4" s="1"/>
  <c r="J20" i="4"/>
  <c r="AB18" i="4"/>
  <c r="AL18" i="4" s="1"/>
  <c r="AD44" i="4"/>
  <c r="AN44" i="4" s="1"/>
  <c r="AD24" i="4"/>
  <c r="AN24" i="4" s="1"/>
  <c r="AD25" i="4"/>
  <c r="AN25" i="4" s="1"/>
  <c r="AG69" i="4"/>
  <c r="AF18" i="4" s="1"/>
  <c r="AP18" i="4" s="1"/>
  <c r="AB52" i="4"/>
  <c r="AL52" i="4" s="1"/>
  <c r="AB48" i="4"/>
  <c r="AL48" i="4" s="1"/>
  <c r="AB44" i="4"/>
  <c r="AL44" i="4" s="1"/>
  <c r="AB40" i="4"/>
  <c r="AL40" i="4" s="1"/>
  <c r="AB36" i="4"/>
  <c r="AL36" i="4" s="1"/>
  <c r="AB32" i="4"/>
  <c r="AL32" i="4" s="1"/>
  <c r="AB28" i="4"/>
  <c r="AL28" i="4" s="1"/>
  <c r="AB24" i="4"/>
  <c r="AL24" i="4" s="1"/>
  <c r="AB20" i="4"/>
  <c r="AL20" i="4" s="1"/>
  <c r="AB16" i="4"/>
  <c r="AL16" i="4" s="1"/>
  <c r="AB51" i="4"/>
  <c r="AL51" i="4" s="1"/>
  <c r="AB47" i="4"/>
  <c r="AL47" i="4" s="1"/>
  <c r="AB43" i="4"/>
  <c r="AL43" i="4" s="1"/>
  <c r="AB39" i="4"/>
  <c r="AL39" i="4" s="1"/>
  <c r="AB35" i="4"/>
  <c r="AL35" i="4" s="1"/>
  <c r="AB31" i="4"/>
  <c r="AL31" i="4" s="1"/>
  <c r="AB27" i="4"/>
  <c r="AL27" i="4" s="1"/>
  <c r="AB15" i="4"/>
  <c r="AL15" i="4" s="1"/>
  <c r="AB54" i="4"/>
  <c r="AL54" i="4" s="1"/>
  <c r="AB50" i="4"/>
  <c r="AL50" i="4" s="1"/>
  <c r="AB46" i="4"/>
  <c r="AL46" i="4" s="1"/>
  <c r="AB42" i="4"/>
  <c r="AL42" i="4" s="1"/>
  <c r="AB38" i="4"/>
  <c r="AL38" i="4" s="1"/>
  <c r="AB34" i="4"/>
  <c r="AL34" i="4" s="1"/>
  <c r="AB30" i="4"/>
  <c r="AL30" i="4" s="1"/>
  <c r="Y13" i="4"/>
  <c r="AI13" i="4" s="1"/>
  <c r="AD14" i="4"/>
  <c r="AN14" i="4" s="1"/>
  <c r="Y15" i="4"/>
  <c r="AI15" i="4" s="1"/>
  <c r="Z19" i="4"/>
  <c r="AJ19" i="4" s="1"/>
  <c r="Z23" i="4"/>
  <c r="AJ23" i="4" s="1"/>
  <c r="Z38" i="4"/>
  <c r="AJ38" i="4" s="1"/>
  <c r="X39" i="4"/>
  <c r="AH39" i="4" s="1"/>
  <c r="Z54" i="4"/>
  <c r="AJ54" i="4" s="1"/>
  <c r="X16" i="4"/>
  <c r="AH16" i="4" s="1"/>
  <c r="AD18" i="4"/>
  <c r="AN18" i="4" s="1"/>
  <c r="X20" i="4"/>
  <c r="AH20" i="4" s="1"/>
  <c r="AD22" i="4"/>
  <c r="AN22" i="4" s="1"/>
  <c r="X24" i="4"/>
  <c r="AH24" i="4" s="1"/>
  <c r="AB37" i="4"/>
  <c r="AL37" i="4" s="1"/>
  <c r="AB53" i="4"/>
  <c r="AL53" i="4" s="1"/>
  <c r="Z16" i="4"/>
  <c r="AJ16" i="4" s="1"/>
  <c r="AB19" i="4"/>
  <c r="AL19" i="4" s="1"/>
  <c r="Z20" i="4"/>
  <c r="AJ20" i="4" s="1"/>
  <c r="AB23" i="4"/>
  <c r="AL23" i="4" s="1"/>
  <c r="Z24" i="4"/>
  <c r="AJ24" i="4" s="1"/>
  <c r="Z34" i="4"/>
  <c r="AJ34" i="4" s="1"/>
  <c r="X35" i="4"/>
  <c r="AH35" i="4" s="1"/>
  <c r="Z50" i="4"/>
  <c r="AJ50" i="4" s="1"/>
  <c r="X51" i="4"/>
  <c r="AH51" i="4" s="1"/>
  <c r="X23" i="4"/>
  <c r="AH23" i="4" s="1"/>
  <c r="AD13" i="4"/>
  <c r="AN13" i="4" s="1"/>
  <c r="AD51" i="4"/>
  <c r="AN51" i="4" s="1"/>
  <c r="AD47" i="4"/>
  <c r="AN47" i="4" s="1"/>
  <c r="AD43" i="4"/>
  <c r="AN43" i="4" s="1"/>
  <c r="AD39" i="4"/>
  <c r="AN39" i="4" s="1"/>
  <c r="AD35" i="4"/>
  <c r="AN35" i="4" s="1"/>
  <c r="AD31" i="4"/>
  <c r="AN31" i="4" s="1"/>
  <c r="AD27" i="4"/>
  <c r="AN27" i="4" s="1"/>
  <c r="AD23" i="4"/>
  <c r="AN23" i="4" s="1"/>
  <c r="AD19" i="4"/>
  <c r="AN19" i="4" s="1"/>
  <c r="AD15" i="4"/>
  <c r="AN15" i="4" s="1"/>
  <c r="AD54" i="4"/>
  <c r="AN54" i="4" s="1"/>
  <c r="AD50" i="4"/>
  <c r="AN50" i="4" s="1"/>
  <c r="AD46" i="4"/>
  <c r="AN46" i="4" s="1"/>
  <c r="AD42" i="4"/>
  <c r="AN42" i="4" s="1"/>
  <c r="AD38" i="4"/>
  <c r="AN38" i="4" s="1"/>
  <c r="AD34" i="4"/>
  <c r="AN34" i="4" s="1"/>
  <c r="AD30" i="4"/>
  <c r="AN30" i="4" s="1"/>
  <c r="AD26" i="4"/>
  <c r="AN26" i="4" s="1"/>
  <c r="AD53" i="4"/>
  <c r="AN53" i="4" s="1"/>
  <c r="AD49" i="4"/>
  <c r="AN49" i="4" s="1"/>
  <c r="AD45" i="4"/>
  <c r="AN45" i="4" s="1"/>
  <c r="AD41" i="4"/>
  <c r="AN41" i="4" s="1"/>
  <c r="AD37" i="4"/>
  <c r="AN37" i="4" s="1"/>
  <c r="AD33" i="4"/>
  <c r="AN33" i="4" s="1"/>
  <c r="AD29" i="4"/>
  <c r="AN29" i="4" s="1"/>
  <c r="AD11" i="4"/>
  <c r="AN11" i="4" s="1"/>
  <c r="Y12" i="4"/>
  <c r="AI12" i="4" s="1"/>
  <c r="AB13" i="4"/>
  <c r="AL13" i="4" s="1"/>
  <c r="Z12" i="4"/>
  <c r="AJ12" i="4" s="1"/>
  <c r="X14" i="4"/>
  <c r="AH14" i="4" s="1"/>
  <c r="X17" i="4"/>
  <c r="AH17" i="4" s="1"/>
  <c r="X21" i="4"/>
  <c r="AH21" i="4" s="1"/>
  <c r="X25" i="4"/>
  <c r="AH25" i="4" s="1"/>
  <c r="AB33" i="4"/>
  <c r="AL33" i="4" s="1"/>
  <c r="AD36" i="4"/>
  <c r="AN36" i="4" s="1"/>
  <c r="AB49" i="4"/>
  <c r="AL49" i="4" s="1"/>
  <c r="AD52" i="4"/>
  <c r="AN52" i="4" s="1"/>
  <c r="Z11" i="4"/>
  <c r="AJ11" i="4" s="1"/>
  <c r="Z30" i="4"/>
  <c r="AJ30" i="4" s="1"/>
  <c r="X31" i="4"/>
  <c r="AH31" i="4" s="1"/>
  <c r="Z46" i="4"/>
  <c r="AJ46" i="4" s="1"/>
  <c r="X15" i="4"/>
  <c r="AH15" i="4" s="1"/>
  <c r="X54" i="4"/>
  <c r="AH54" i="4" s="1"/>
  <c r="X50" i="4"/>
  <c r="AH50" i="4" s="1"/>
  <c r="X46" i="4"/>
  <c r="AH46" i="4" s="1"/>
  <c r="X42" i="4"/>
  <c r="AH42" i="4" s="1"/>
  <c r="X38" i="4"/>
  <c r="AH38" i="4" s="1"/>
  <c r="X34" i="4"/>
  <c r="AH34" i="4" s="1"/>
  <c r="X30" i="4"/>
  <c r="AH30" i="4" s="1"/>
  <c r="X26" i="4"/>
  <c r="AH26" i="4" s="1"/>
  <c r="X22" i="4"/>
  <c r="AH22" i="4" s="1"/>
  <c r="X18" i="4"/>
  <c r="AH18" i="4" s="1"/>
  <c r="X12" i="4"/>
  <c r="AH12" i="4" s="1"/>
  <c r="X53" i="4"/>
  <c r="AH53" i="4" s="1"/>
  <c r="X49" i="4"/>
  <c r="AH49" i="4" s="1"/>
  <c r="X45" i="4"/>
  <c r="AH45" i="4" s="1"/>
  <c r="X41" i="4"/>
  <c r="AH41" i="4" s="1"/>
  <c r="X37" i="4"/>
  <c r="AH37" i="4" s="1"/>
  <c r="X33" i="4"/>
  <c r="AH33" i="4" s="1"/>
  <c r="X29" i="4"/>
  <c r="AH29" i="4" s="1"/>
  <c r="X11" i="4"/>
  <c r="AH11" i="4" s="1"/>
  <c r="X52" i="4"/>
  <c r="AH52" i="4" s="1"/>
  <c r="X48" i="4"/>
  <c r="AH48" i="4" s="1"/>
  <c r="X44" i="4"/>
  <c r="AH44" i="4" s="1"/>
  <c r="X40" i="4"/>
  <c r="AH40" i="4" s="1"/>
  <c r="X36" i="4"/>
  <c r="AH36" i="4" s="1"/>
  <c r="X32" i="4"/>
  <c r="AH32" i="4" s="1"/>
  <c r="X28" i="4"/>
  <c r="AH28" i="4" s="1"/>
  <c r="X13" i="4"/>
  <c r="AH13" i="4" s="1"/>
  <c r="Z22" i="4"/>
  <c r="AJ22" i="4" s="1"/>
  <c r="AD32" i="4"/>
  <c r="AN32" i="4" s="1"/>
  <c r="AB45" i="4"/>
  <c r="AL45" i="4" s="1"/>
  <c r="AD48" i="4"/>
  <c r="AN48" i="4" s="1"/>
  <c r="Z53" i="4"/>
  <c r="AJ53" i="4" s="1"/>
  <c r="Z49" i="4"/>
  <c r="AJ49" i="4" s="1"/>
  <c r="Z45" i="4"/>
  <c r="AJ45" i="4" s="1"/>
  <c r="Z41" i="4"/>
  <c r="AJ41" i="4" s="1"/>
  <c r="Z37" i="4"/>
  <c r="AJ37" i="4" s="1"/>
  <c r="Z33" i="4"/>
  <c r="AJ33" i="4" s="1"/>
  <c r="Z29" i="4"/>
  <c r="AJ29" i="4" s="1"/>
  <c r="Z25" i="4"/>
  <c r="AJ25" i="4" s="1"/>
  <c r="Z21" i="4"/>
  <c r="AJ21" i="4" s="1"/>
  <c r="Z17" i="4"/>
  <c r="AJ17" i="4" s="1"/>
  <c r="Z14" i="4"/>
  <c r="AJ14" i="4" s="1"/>
  <c r="Z52" i="4"/>
  <c r="AJ52" i="4" s="1"/>
  <c r="Z48" i="4"/>
  <c r="AJ48" i="4" s="1"/>
  <c r="Z44" i="4"/>
  <c r="AJ44" i="4" s="1"/>
  <c r="Z40" i="4"/>
  <c r="AJ40" i="4" s="1"/>
  <c r="Z36" i="4"/>
  <c r="AJ36" i="4" s="1"/>
  <c r="Z32" i="4"/>
  <c r="AJ32" i="4" s="1"/>
  <c r="Z28" i="4"/>
  <c r="AJ28" i="4" s="1"/>
  <c r="Z13" i="4"/>
  <c r="AJ13" i="4" s="1"/>
  <c r="Z51" i="4"/>
  <c r="AJ51" i="4" s="1"/>
  <c r="Z47" i="4"/>
  <c r="AJ47" i="4" s="1"/>
  <c r="Z43" i="4"/>
  <c r="AJ43" i="4" s="1"/>
  <c r="Z39" i="4"/>
  <c r="AJ39" i="4" s="1"/>
  <c r="Z35" i="4"/>
  <c r="AJ35" i="4" s="1"/>
  <c r="Z31" i="4"/>
  <c r="AJ31" i="4" s="1"/>
  <c r="Z27" i="4"/>
  <c r="AJ27" i="4" s="1"/>
  <c r="Z15" i="4"/>
  <c r="AJ15" i="4" s="1"/>
  <c r="Z18" i="4"/>
  <c r="AJ18" i="4" s="1"/>
  <c r="Y54" i="4"/>
  <c r="AI54" i="4" s="1"/>
  <c r="Y50" i="4"/>
  <c r="AI50" i="4" s="1"/>
  <c r="Y46" i="4"/>
  <c r="AI46" i="4" s="1"/>
  <c r="Y42" i="4"/>
  <c r="AI42" i="4" s="1"/>
  <c r="Y38" i="4"/>
  <c r="AI38" i="4" s="1"/>
  <c r="Y34" i="4"/>
  <c r="AI34" i="4" s="1"/>
  <c r="Y30" i="4"/>
  <c r="AI30" i="4" s="1"/>
  <c r="Y26" i="4"/>
  <c r="AI26" i="4" s="1"/>
  <c r="Y22" i="4"/>
  <c r="AI22" i="4" s="1"/>
  <c r="Y18" i="4"/>
  <c r="AI18" i="4" s="1"/>
  <c r="Y53" i="4"/>
  <c r="AI53" i="4" s="1"/>
  <c r="Y49" i="4"/>
  <c r="AI49" i="4" s="1"/>
  <c r="Y45" i="4"/>
  <c r="AI45" i="4" s="1"/>
  <c r="Y41" i="4"/>
  <c r="AI41" i="4" s="1"/>
  <c r="Y37" i="4"/>
  <c r="AI37" i="4" s="1"/>
  <c r="Y33" i="4"/>
  <c r="AI33" i="4" s="1"/>
  <c r="Y29" i="4"/>
  <c r="AI29" i="4" s="1"/>
  <c r="Y25" i="4"/>
  <c r="AI25" i="4" s="1"/>
  <c r="Y21" i="4"/>
  <c r="AI21" i="4" s="1"/>
  <c r="Y17" i="4"/>
  <c r="AI17" i="4" s="1"/>
  <c r="Y52" i="4"/>
  <c r="AI52" i="4" s="1"/>
  <c r="Y48" i="4"/>
  <c r="AI48" i="4" s="1"/>
  <c r="Y44" i="4"/>
  <c r="AI44" i="4" s="1"/>
  <c r="Y40" i="4"/>
  <c r="AI40" i="4" s="1"/>
  <c r="Y36" i="4"/>
  <c r="AI36" i="4" s="1"/>
  <c r="Y32" i="4"/>
  <c r="AI32" i="4" s="1"/>
  <c r="Y28" i="4"/>
  <c r="AI28" i="4" s="1"/>
  <c r="Y24" i="4"/>
  <c r="AI24" i="4" s="1"/>
  <c r="Y20" i="4"/>
  <c r="AI20" i="4" s="1"/>
  <c r="Y16" i="4"/>
  <c r="AI16" i="4" s="1"/>
  <c r="Y51" i="4"/>
  <c r="AI51" i="4" s="1"/>
  <c r="Y47" i="4"/>
  <c r="AI47" i="4" s="1"/>
  <c r="Y43" i="4"/>
  <c r="AI43" i="4" s="1"/>
  <c r="Y39" i="4"/>
  <c r="AI39" i="4" s="1"/>
  <c r="Y35" i="4"/>
  <c r="AI35" i="4" s="1"/>
  <c r="Y31" i="4"/>
  <c r="AI31" i="4" s="1"/>
  <c r="Y27" i="4"/>
  <c r="AI27" i="4" s="1"/>
  <c r="Y23" i="4"/>
  <c r="AI23" i="4" s="1"/>
  <c r="Y19" i="4"/>
  <c r="AI19" i="4" s="1"/>
  <c r="AB11" i="4"/>
  <c r="AL11" i="4" s="1"/>
  <c r="AB14" i="4"/>
  <c r="AL14" i="4" s="1"/>
  <c r="X27" i="4"/>
  <c r="AH27" i="4" s="1"/>
  <c r="Z42" i="4"/>
  <c r="AJ42" i="4" s="1"/>
  <c r="X43" i="4"/>
  <c r="AH43" i="4" s="1"/>
  <c r="K67" i="4"/>
  <c r="K73" i="4"/>
  <c r="K77" i="4"/>
  <c r="K82" i="4"/>
  <c r="AG72" i="4" l="1"/>
  <c r="AF21" i="4" s="1"/>
  <c r="AP21" i="4" s="1"/>
  <c r="J22" i="4"/>
  <c r="AG73" i="4"/>
  <c r="AF22" i="4" s="1"/>
  <c r="AP22" i="4" s="1"/>
  <c r="AG82" i="4"/>
  <c r="J31" i="4"/>
  <c r="AG77" i="4"/>
  <c r="AF26" i="4" s="1"/>
  <c r="AP26" i="4" s="1"/>
  <c r="J26" i="4"/>
  <c r="J16" i="4"/>
  <c r="AG67" i="4"/>
  <c r="AF16" i="4" s="1"/>
  <c r="AP16" i="4" s="1"/>
  <c r="K83" i="4"/>
  <c r="K78" i="4"/>
  <c r="K66" i="4"/>
  <c r="J15" i="4" l="1"/>
  <c r="AG66" i="4"/>
  <c r="AF15" i="4" s="1"/>
  <c r="AP15" i="4" s="1"/>
  <c r="AF31" i="4"/>
  <c r="AP31" i="4" s="1"/>
  <c r="AG78" i="4"/>
  <c r="AF27" i="4" s="1"/>
  <c r="AP27" i="4" s="1"/>
  <c r="J27" i="4"/>
  <c r="AG83" i="4"/>
  <c r="AF32" i="4" s="1"/>
  <c r="AP32" i="4" s="1"/>
  <c r="J32" i="4"/>
  <c r="K84" i="4"/>
  <c r="K65" i="4"/>
  <c r="K79" i="4"/>
  <c r="G67" i="13"/>
  <c r="J28" i="4" l="1"/>
  <c r="AG79" i="4"/>
  <c r="AF28" i="4" s="1"/>
  <c r="AP28" i="4" s="1"/>
  <c r="J14" i="4"/>
  <c r="AG65" i="4"/>
  <c r="AF14" i="4" s="1"/>
  <c r="AP14" i="4" s="1"/>
  <c r="AG84" i="4"/>
  <c r="AF33" i="4" s="1"/>
  <c r="AP33" i="4" s="1"/>
  <c r="J33" i="4"/>
  <c r="K64" i="4"/>
  <c r="K85" i="4"/>
  <c r="AL25" i="9"/>
  <c r="AL26" i="9"/>
  <c r="AL27" i="9"/>
  <c r="AL28" i="9"/>
  <c r="AL29" i="9"/>
  <c r="AL30" i="9"/>
  <c r="AL31" i="9"/>
  <c r="AL32" i="9"/>
  <c r="AL33" i="9"/>
  <c r="AL34" i="9"/>
  <c r="AL35" i="9"/>
  <c r="AL36" i="9"/>
  <c r="AL37" i="9"/>
  <c r="AL38" i="9"/>
  <c r="AL39" i="9"/>
  <c r="AL24" i="9"/>
  <c r="S55" i="4"/>
  <c r="U56" i="4"/>
  <c r="S56" i="4" s="1"/>
  <c r="U57" i="4"/>
  <c r="S57" i="4" s="1"/>
  <c r="U58" i="4"/>
  <c r="AO58" i="4" s="1"/>
  <c r="AG85" i="4" l="1"/>
  <c r="AF34" i="4" s="1"/>
  <c r="AP34" i="4" s="1"/>
  <c r="J34" i="4"/>
  <c r="J13" i="4"/>
  <c r="AG64" i="4"/>
  <c r="AF13" i="4" s="1"/>
  <c r="AP13" i="4" s="1"/>
  <c r="K86" i="4"/>
  <c r="K63" i="4"/>
  <c r="AO57" i="4"/>
  <c r="AO55" i="4"/>
  <c r="AO56" i="4"/>
  <c r="S58" i="4"/>
  <c r="B34" i="9"/>
  <c r="B33" i="9"/>
  <c r="B32" i="9"/>
  <c r="B31" i="9"/>
  <c r="B30" i="9"/>
  <c r="B29" i="9"/>
  <c r="B28" i="9"/>
  <c r="B27" i="9"/>
  <c r="B26" i="9"/>
  <c r="B25" i="9"/>
  <c r="B24" i="9"/>
  <c r="B23" i="9"/>
  <c r="B22" i="9"/>
  <c r="B21" i="9"/>
  <c r="B20" i="9"/>
  <c r="B19" i="9"/>
  <c r="B18" i="9"/>
  <c r="B17" i="9"/>
  <c r="B16" i="9"/>
  <c r="B15" i="9"/>
  <c r="B14" i="9"/>
  <c r="B13" i="9"/>
  <c r="B12" i="9"/>
  <c r="B11" i="9"/>
  <c r="B10" i="9"/>
  <c r="J12" i="4" l="1"/>
  <c r="AG63" i="4"/>
  <c r="AF12" i="4" s="1"/>
  <c r="AP12" i="4" s="1"/>
  <c r="J35" i="4"/>
  <c r="AG86" i="4"/>
  <c r="AF35" i="4" s="1"/>
  <c r="AP35" i="4" s="1"/>
  <c r="K62" i="4"/>
  <c r="K87" i="4"/>
  <c r="AO17" i="11"/>
  <c r="AQ17" i="11"/>
  <c r="AO18" i="11"/>
  <c r="AU18" i="11"/>
  <c r="AV18" i="11" s="1"/>
  <c r="AG62" i="4" l="1"/>
  <c r="AF11" i="4" s="1"/>
  <c r="AP11" i="4" s="1"/>
  <c r="J11" i="4"/>
  <c r="J36" i="4"/>
  <c r="AG87" i="4"/>
  <c r="AF36" i="4" s="1"/>
  <c r="AP36" i="4" s="1"/>
  <c r="K88"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L16" i="4"/>
  <c r="M16" i="4"/>
  <c r="N16" i="4"/>
  <c r="O16" i="4"/>
  <c r="P16" i="4"/>
  <c r="Q16" i="4"/>
  <c r="R16" i="4"/>
  <c r="S16" i="4"/>
  <c r="L17" i="4"/>
  <c r="M17" i="4"/>
  <c r="N17" i="4"/>
  <c r="O17" i="4"/>
  <c r="P17" i="4"/>
  <c r="Q17" i="4"/>
  <c r="R17" i="4"/>
  <c r="S17" i="4"/>
  <c r="L18" i="4"/>
  <c r="M18" i="4"/>
  <c r="N18" i="4"/>
  <c r="O18" i="4"/>
  <c r="P18" i="4"/>
  <c r="Q18" i="4"/>
  <c r="R18" i="4"/>
  <c r="S18" i="4"/>
  <c r="L19" i="4"/>
  <c r="M19" i="4"/>
  <c r="N19" i="4"/>
  <c r="O19" i="4"/>
  <c r="P19" i="4"/>
  <c r="Q19" i="4"/>
  <c r="R19" i="4"/>
  <c r="S19" i="4"/>
  <c r="L20" i="4"/>
  <c r="M20" i="4"/>
  <c r="N20" i="4"/>
  <c r="O20" i="4"/>
  <c r="P20" i="4"/>
  <c r="Q20" i="4"/>
  <c r="R20" i="4"/>
  <c r="S20" i="4"/>
  <c r="L21" i="4"/>
  <c r="M21" i="4"/>
  <c r="N21" i="4"/>
  <c r="O21" i="4"/>
  <c r="P21" i="4"/>
  <c r="Q21" i="4"/>
  <c r="R21" i="4"/>
  <c r="S21" i="4"/>
  <c r="L22" i="4"/>
  <c r="M22" i="4"/>
  <c r="N22" i="4"/>
  <c r="O22" i="4"/>
  <c r="P22" i="4"/>
  <c r="Q22" i="4"/>
  <c r="R22" i="4"/>
  <c r="S22" i="4"/>
  <c r="L23" i="4"/>
  <c r="M23" i="4"/>
  <c r="N23" i="4"/>
  <c r="O23" i="4"/>
  <c r="P23" i="4"/>
  <c r="Q23" i="4"/>
  <c r="R23" i="4"/>
  <c r="S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11" i="4"/>
  <c r="N11" i="4"/>
  <c r="O11" i="4"/>
  <c r="P11" i="4"/>
  <c r="Q11" i="4"/>
  <c r="R11" i="4"/>
  <c r="S11" i="4"/>
  <c r="L11" i="4"/>
  <c r="J37" i="4" l="1"/>
  <c r="AG88" i="4"/>
  <c r="AF37" i="4" s="1"/>
  <c r="AP37" i="4" s="1"/>
  <c r="K89" i="4"/>
  <c r="P2" i="4"/>
  <c r="J38" i="4" l="1"/>
  <c r="AG89" i="4"/>
  <c r="AF38" i="4" s="1"/>
  <c r="AP38" i="4" s="1"/>
  <c r="K90" i="4"/>
  <c r="T31" i="4"/>
  <c r="T23" i="4"/>
  <c r="T38" i="4"/>
  <c r="T30" i="4"/>
  <c r="T22" i="4"/>
  <c r="T25" i="4"/>
  <c r="J56" i="4"/>
  <c r="T24" i="4"/>
  <c r="J55" i="4"/>
  <c r="T37" i="4"/>
  <c r="T29" i="4"/>
  <c r="T21" i="4"/>
  <c r="T36" i="4"/>
  <c r="T28" i="4"/>
  <c r="T33" i="4"/>
  <c r="T32" i="4"/>
  <c r="T20" i="4"/>
  <c r="T35" i="4"/>
  <c r="T27" i="4"/>
  <c r="J57" i="4"/>
  <c r="J58" i="4"/>
  <c r="T34" i="4"/>
  <c r="T26" i="4"/>
  <c r="O52" i="27"/>
  <c r="O51" i="27"/>
  <c r="O50" i="27"/>
  <c r="O49" i="27"/>
  <c r="O48" i="27"/>
  <c r="O47" i="27"/>
  <c r="O46" i="27"/>
  <c r="O45" i="27"/>
  <c r="O44" i="27"/>
  <c r="O43" i="27"/>
  <c r="O42" i="27"/>
  <c r="O41" i="27"/>
  <c r="O40" i="27"/>
  <c r="O39" i="27"/>
  <c r="O38" i="27"/>
  <c r="O37" i="27"/>
  <c r="O36" i="27"/>
  <c r="O35" i="27"/>
  <c r="O34" i="27"/>
  <c r="O33" i="27"/>
  <c r="O32" i="27"/>
  <c r="O31" i="27"/>
  <c r="O30" i="27"/>
  <c r="O29" i="27"/>
  <c r="O28" i="27"/>
  <c r="O27" i="27"/>
  <c r="O26" i="27"/>
  <c r="O25" i="27"/>
  <c r="O24" i="27"/>
  <c r="O23" i="27"/>
  <c r="O22" i="27"/>
  <c r="O21" i="27"/>
  <c r="O20" i="27"/>
  <c r="O19" i="27"/>
  <c r="O18" i="27"/>
  <c r="O17" i="27"/>
  <c r="O16" i="27"/>
  <c r="O15" i="27"/>
  <c r="O14" i="27"/>
  <c r="O13" i="27"/>
  <c r="O12" i="27"/>
  <c r="O11" i="27"/>
  <c r="O10" i="27"/>
  <c r="O9" i="27"/>
  <c r="AA8" i="27"/>
  <c r="Z8" i="27"/>
  <c r="Y8" i="27"/>
  <c r="X8" i="27"/>
  <c r="W8" i="27"/>
  <c r="V8" i="27"/>
  <c r="U8" i="27"/>
  <c r="T8" i="27"/>
  <c r="S8" i="27"/>
  <c r="R8" i="27"/>
  <c r="Q8" i="27"/>
  <c r="P8" i="27"/>
  <c r="AA7" i="27"/>
  <c r="Z7" i="27"/>
  <c r="Y7" i="27"/>
  <c r="X7" i="27"/>
  <c r="W7" i="27"/>
  <c r="V7" i="27"/>
  <c r="U7" i="27"/>
  <c r="T7" i="27"/>
  <c r="S7" i="27"/>
  <c r="R7" i="27"/>
  <c r="Q7" i="27"/>
  <c r="P7" i="27"/>
  <c r="AG90" i="4" l="1"/>
  <c r="J39" i="4"/>
  <c r="T39" i="4" s="1"/>
  <c r="K91" i="4"/>
  <c r="AE21" i="12"/>
  <c r="AD21" i="12"/>
  <c r="AC21" i="12"/>
  <c r="AB21" i="12"/>
  <c r="AA21" i="12"/>
  <c r="Y21" i="12"/>
  <c r="X21" i="12"/>
  <c r="W21" i="12"/>
  <c r="V21" i="12"/>
  <c r="U21" i="12"/>
  <c r="H21" i="12"/>
  <c r="G21" i="12"/>
  <c r="F21" i="12"/>
  <c r="E21" i="12"/>
  <c r="D21" i="12"/>
  <c r="AF39" i="4" l="1"/>
  <c r="AP39" i="4" s="1"/>
  <c r="AG91" i="4"/>
  <c r="AF40" i="4" s="1"/>
  <c r="AP40" i="4" s="1"/>
  <c r="J40" i="4"/>
  <c r="T40" i="4" s="1"/>
  <c r="K92" i="4"/>
  <c r="P21" i="12"/>
  <c r="Q21" i="12"/>
  <c r="R21" i="12"/>
  <c r="S21" i="12"/>
  <c r="O21" i="12"/>
  <c r="AG92" i="4" l="1"/>
  <c r="AF41" i="4" s="1"/>
  <c r="AP41" i="4" s="1"/>
  <c r="J41" i="4"/>
  <c r="T41" i="4" s="1"/>
  <c r="K93" i="4"/>
  <c r="AG93" i="4" l="1"/>
  <c r="AF42" i="4" s="1"/>
  <c r="AP42" i="4" s="1"/>
  <c r="J42" i="4"/>
  <c r="T42" i="4" s="1"/>
  <c r="K94" i="4"/>
  <c r="T19" i="4"/>
  <c r="T18" i="4"/>
  <c r="T17" i="4"/>
  <c r="T16" i="4"/>
  <c r="T15" i="4"/>
  <c r="T14" i="4"/>
  <c r="T13" i="4"/>
  <c r="T12" i="4"/>
  <c r="T11" i="4"/>
  <c r="AG94" i="4" l="1"/>
  <c r="AF43" i="4" s="1"/>
  <c r="AP43" i="4" s="1"/>
  <c r="J43" i="4"/>
  <c r="T43" i="4" s="1"/>
  <c r="K95" i="4"/>
  <c r="H52" i="28"/>
  <c r="H51" i="28"/>
  <c r="H50" i="28"/>
  <c r="H49" i="28"/>
  <c r="H48" i="28"/>
  <c r="H47" i="28"/>
  <c r="H46" i="28"/>
  <c r="H45" i="28"/>
  <c r="H44" i="28"/>
  <c r="H43" i="28"/>
  <c r="H42" i="28"/>
  <c r="H41" i="28"/>
  <c r="H40" i="28"/>
  <c r="H39" i="28"/>
  <c r="H38" i="28"/>
  <c r="H37" i="28"/>
  <c r="H36" i="28"/>
  <c r="H35" i="28"/>
  <c r="H34" i="28"/>
  <c r="H33" i="28"/>
  <c r="H32" i="28"/>
  <c r="H31" i="28"/>
  <c r="H30" i="28"/>
  <c r="H29" i="28"/>
  <c r="H28" i="28"/>
  <c r="H27" i="28"/>
  <c r="H26" i="28"/>
  <c r="H25" i="28"/>
  <c r="H24" i="28"/>
  <c r="H23" i="28"/>
  <c r="H22" i="28"/>
  <c r="H21" i="28"/>
  <c r="H20" i="28"/>
  <c r="H19" i="28"/>
  <c r="H18" i="28"/>
  <c r="H17" i="28"/>
  <c r="H16" i="28"/>
  <c r="H15" i="28"/>
  <c r="H14" i="28"/>
  <c r="H13" i="28"/>
  <c r="H12" i="28"/>
  <c r="B10" i="28"/>
  <c r="C10" i="28" s="1"/>
  <c r="B11" i="28"/>
  <c r="E11" i="28" s="1"/>
  <c r="B12" i="28"/>
  <c r="G12" i="28" s="1"/>
  <c r="B13" i="28"/>
  <c r="C13" i="28" s="1"/>
  <c r="B14" i="28"/>
  <c r="C14" i="28" s="1"/>
  <c r="B15" i="28"/>
  <c r="D15" i="28" s="1"/>
  <c r="B16" i="28"/>
  <c r="G16" i="28" s="1"/>
  <c r="B17" i="28"/>
  <c r="C17" i="28" s="1"/>
  <c r="B18" i="28"/>
  <c r="C18" i="28" s="1"/>
  <c r="B19" i="28"/>
  <c r="D19" i="28" s="1"/>
  <c r="B20" i="28"/>
  <c r="G20" i="28" s="1"/>
  <c r="B21" i="28"/>
  <c r="C21" i="28" s="1"/>
  <c r="B22" i="28"/>
  <c r="C22" i="28" s="1"/>
  <c r="B23" i="28"/>
  <c r="D23" i="28" s="1"/>
  <c r="B24" i="28"/>
  <c r="G24" i="28" s="1"/>
  <c r="B25" i="28"/>
  <c r="C25" i="28" s="1"/>
  <c r="B26" i="28"/>
  <c r="C26" i="28" s="1"/>
  <c r="B27" i="28"/>
  <c r="D27" i="28" s="1"/>
  <c r="B28" i="28"/>
  <c r="G28" i="28" s="1"/>
  <c r="B29" i="28"/>
  <c r="C29" i="28" s="1"/>
  <c r="B30" i="28"/>
  <c r="C30" i="28" s="1"/>
  <c r="B31" i="28"/>
  <c r="D31" i="28" s="1"/>
  <c r="B32" i="28"/>
  <c r="G32" i="28" s="1"/>
  <c r="B33" i="28"/>
  <c r="C33" i="28" s="1"/>
  <c r="B34" i="28"/>
  <c r="C34" i="28" s="1"/>
  <c r="B35" i="28"/>
  <c r="D35" i="28" s="1"/>
  <c r="B36" i="28"/>
  <c r="G36" i="28" s="1"/>
  <c r="B37" i="28"/>
  <c r="C37" i="28" s="1"/>
  <c r="B38" i="28"/>
  <c r="C38" i="28" s="1"/>
  <c r="B39" i="28"/>
  <c r="D39" i="28" s="1"/>
  <c r="B40" i="28"/>
  <c r="G40" i="28" s="1"/>
  <c r="B41" i="28"/>
  <c r="C41" i="28" s="1"/>
  <c r="B42" i="28"/>
  <c r="C42" i="28" s="1"/>
  <c r="B43" i="28"/>
  <c r="E43" i="28" s="1"/>
  <c r="B44" i="28"/>
  <c r="G44" i="28" s="1"/>
  <c r="B45" i="28"/>
  <c r="C45" i="28" s="1"/>
  <c r="B46" i="28"/>
  <c r="C46" i="28" s="1"/>
  <c r="B47" i="28"/>
  <c r="E47" i="28" s="1"/>
  <c r="B48" i="28"/>
  <c r="G48" i="28" s="1"/>
  <c r="B49" i="28"/>
  <c r="C49" i="28" s="1"/>
  <c r="B50" i="28"/>
  <c r="C50" i="28" s="1"/>
  <c r="B51" i="28"/>
  <c r="E51" i="28" s="1"/>
  <c r="B52" i="28"/>
  <c r="G52" i="28" s="1"/>
  <c r="B9" i="28"/>
  <c r="D9" i="28" s="1"/>
  <c r="M8" i="28"/>
  <c r="L8" i="28"/>
  <c r="K8" i="28"/>
  <c r="J8" i="28"/>
  <c r="I8" i="28"/>
  <c r="H8" i="28"/>
  <c r="G8" i="28"/>
  <c r="F8" i="28"/>
  <c r="E8" i="28"/>
  <c r="D8" i="28"/>
  <c r="C8" i="28"/>
  <c r="B8" i="28"/>
  <c r="M7" i="28"/>
  <c r="L7" i="28"/>
  <c r="K7" i="28"/>
  <c r="J7" i="28"/>
  <c r="I7" i="28"/>
  <c r="H7" i="28"/>
  <c r="G7" i="28"/>
  <c r="F7" i="28"/>
  <c r="E7" i="28"/>
  <c r="D7" i="28"/>
  <c r="C7" i="28"/>
  <c r="B7" i="28"/>
  <c r="J44" i="4" l="1"/>
  <c r="T44" i="4" s="1"/>
  <c r="AG95" i="4"/>
  <c r="AF44" i="4" s="1"/>
  <c r="AP44" i="4" s="1"/>
  <c r="K96" i="4"/>
  <c r="D41" i="28"/>
  <c r="C35" i="28"/>
  <c r="G29" i="28"/>
  <c r="D47" i="28"/>
  <c r="F28" i="28"/>
  <c r="E32" i="28"/>
  <c r="F52" i="28"/>
  <c r="D28" i="28"/>
  <c r="G21" i="28"/>
  <c r="D52" i="28"/>
  <c r="E20" i="28"/>
  <c r="D13" i="28"/>
  <c r="D48" i="28"/>
  <c r="F36" i="28"/>
  <c r="D21" i="28"/>
  <c r="J38" i="28"/>
  <c r="D29" i="28"/>
  <c r="D20" i="28"/>
  <c r="G13" i="28"/>
  <c r="L34" i="28"/>
  <c r="D45" i="28"/>
  <c r="J22" i="28"/>
  <c r="L29" i="28"/>
  <c r="L42" i="28"/>
  <c r="F48" i="28"/>
  <c r="F21" i="28"/>
  <c r="D11" i="28"/>
  <c r="L38" i="28"/>
  <c r="F44" i="28"/>
  <c r="E36" i="28"/>
  <c r="L22" i="28"/>
  <c r="J27" i="28"/>
  <c r="J30" i="28"/>
  <c r="D44" i="28"/>
  <c r="D36" i="28"/>
  <c r="C27" i="28"/>
  <c r="C19" i="28"/>
  <c r="L27" i="28"/>
  <c r="L30" i="28"/>
  <c r="L35" i="28"/>
  <c r="J49" i="28"/>
  <c r="L23" i="28"/>
  <c r="G37" i="28"/>
  <c r="J28" i="28"/>
  <c r="L31" i="28"/>
  <c r="J41" i="28"/>
  <c r="L50" i="28"/>
  <c r="J45" i="28"/>
  <c r="G49" i="28"/>
  <c r="F37" i="28"/>
  <c r="F17" i="28"/>
  <c r="F12" i="28"/>
  <c r="J21" i="28"/>
  <c r="J37" i="28"/>
  <c r="J46" i="28"/>
  <c r="D49" i="28"/>
  <c r="G45" i="28"/>
  <c r="G41" i="28"/>
  <c r="D37" i="28"/>
  <c r="E24" i="28"/>
  <c r="F20" i="28"/>
  <c r="D12" i="28"/>
  <c r="L21" i="28"/>
  <c r="J25" i="28"/>
  <c r="J29" i="28"/>
  <c r="J42" i="28"/>
  <c r="L46" i="28"/>
  <c r="J26" i="28"/>
  <c r="J34" i="28"/>
  <c r="L39" i="28"/>
  <c r="L43" i="28"/>
  <c r="L47" i="28"/>
  <c r="J50" i="28"/>
  <c r="L51" i="28"/>
  <c r="E52" i="28"/>
  <c r="F49" i="28"/>
  <c r="C47" i="28"/>
  <c r="E44" i="28"/>
  <c r="F41" i="28"/>
  <c r="F32" i="28"/>
  <c r="F29" i="28"/>
  <c r="D24" i="28"/>
  <c r="G17" i="28"/>
  <c r="C15" i="28"/>
  <c r="E12" i="28"/>
  <c r="I21" i="28"/>
  <c r="K22" i="28"/>
  <c r="M23" i="28"/>
  <c r="I25" i="28"/>
  <c r="K26" i="28"/>
  <c r="M27" i="28"/>
  <c r="I29" i="28"/>
  <c r="K30" i="28"/>
  <c r="M31" i="28"/>
  <c r="I33" i="28"/>
  <c r="K34" i="28"/>
  <c r="M35" i="28"/>
  <c r="I37" i="28"/>
  <c r="K38" i="28"/>
  <c r="M39" i="28"/>
  <c r="I41" i="28"/>
  <c r="K42" i="28"/>
  <c r="M43" i="28"/>
  <c r="I45" i="28"/>
  <c r="K46" i="28"/>
  <c r="M47" i="28"/>
  <c r="I49" i="28"/>
  <c r="K50" i="28"/>
  <c r="M51" i="28"/>
  <c r="C9" i="28"/>
  <c r="D32" i="28"/>
  <c r="G25" i="28"/>
  <c r="C23" i="28"/>
  <c r="D17" i="28"/>
  <c r="K21" i="28"/>
  <c r="M22" i="28"/>
  <c r="I24" i="28"/>
  <c r="K25" i="28"/>
  <c r="M26" i="28"/>
  <c r="I28" i="28"/>
  <c r="K29" i="28"/>
  <c r="M30" i="28"/>
  <c r="I32" i="28"/>
  <c r="K33" i="28"/>
  <c r="M34" i="28"/>
  <c r="I36" i="28"/>
  <c r="K37" i="28"/>
  <c r="M38" i="28"/>
  <c r="I40" i="28"/>
  <c r="K41" i="28"/>
  <c r="M42" i="28"/>
  <c r="I44" i="28"/>
  <c r="K45" i="28"/>
  <c r="M46" i="28"/>
  <c r="I48" i="28"/>
  <c r="K49" i="28"/>
  <c r="M50" i="28"/>
  <c r="I52" i="28"/>
  <c r="D43" i="28"/>
  <c r="F40" i="28"/>
  <c r="J24" i="28"/>
  <c r="L25" i="28"/>
  <c r="J32" i="28"/>
  <c r="L33" i="28"/>
  <c r="J36" i="28"/>
  <c r="L37" i="28"/>
  <c r="J40" i="28"/>
  <c r="L41" i="28"/>
  <c r="J44" i="28"/>
  <c r="L45" i="28"/>
  <c r="J48" i="28"/>
  <c r="L49" i="28"/>
  <c r="J52" i="28"/>
  <c r="G9" i="28"/>
  <c r="D51" i="28"/>
  <c r="F25" i="28"/>
  <c r="F9" i="28"/>
  <c r="C51" i="28"/>
  <c r="E48" i="28"/>
  <c r="F45" i="28"/>
  <c r="C43" i="28"/>
  <c r="E40" i="28"/>
  <c r="G33" i="28"/>
  <c r="C31" i="28"/>
  <c r="E28" i="28"/>
  <c r="D25" i="28"/>
  <c r="F16" i="28"/>
  <c r="F13" i="28"/>
  <c r="C11" i="28"/>
  <c r="M21" i="28"/>
  <c r="I23" i="28"/>
  <c r="K24" i="28"/>
  <c r="M25" i="28"/>
  <c r="I27" i="28"/>
  <c r="K28" i="28"/>
  <c r="M29" i="28"/>
  <c r="I31" i="28"/>
  <c r="K32" i="28"/>
  <c r="M33" i="28"/>
  <c r="I35" i="28"/>
  <c r="K36" i="28"/>
  <c r="M37" i="28"/>
  <c r="I39" i="28"/>
  <c r="K40" i="28"/>
  <c r="M41" i="28"/>
  <c r="I43" i="28"/>
  <c r="K44" i="28"/>
  <c r="M45" i="28"/>
  <c r="I47" i="28"/>
  <c r="K48" i="28"/>
  <c r="M49" i="28"/>
  <c r="I51" i="28"/>
  <c r="K52" i="28"/>
  <c r="L26" i="28"/>
  <c r="E16" i="28"/>
  <c r="J23" i="28"/>
  <c r="L24" i="28"/>
  <c r="L28" i="28"/>
  <c r="J31" i="28"/>
  <c r="L32" i="28"/>
  <c r="J35" i="28"/>
  <c r="L36" i="28"/>
  <c r="J39" i="28"/>
  <c r="L40" i="28"/>
  <c r="J43" i="28"/>
  <c r="L44" i="28"/>
  <c r="J47" i="28"/>
  <c r="L48" i="28"/>
  <c r="J51" i="28"/>
  <c r="L52" i="28"/>
  <c r="J33" i="28"/>
  <c r="E9" i="28"/>
  <c r="F33" i="28"/>
  <c r="C39" i="28"/>
  <c r="D33" i="28"/>
  <c r="F24" i="28"/>
  <c r="D16" i="28"/>
  <c r="I22" i="28"/>
  <c r="K23" i="28"/>
  <c r="M24" i="28"/>
  <c r="I26" i="28"/>
  <c r="K27" i="28"/>
  <c r="M28" i="28"/>
  <c r="I30" i="28"/>
  <c r="K31" i="28"/>
  <c r="M32" i="28"/>
  <c r="I34" i="28"/>
  <c r="K35" i="28"/>
  <c r="M36" i="28"/>
  <c r="I38" i="28"/>
  <c r="K39" i="28"/>
  <c r="M40" i="28"/>
  <c r="I42" i="28"/>
  <c r="K43" i="28"/>
  <c r="M44" i="28"/>
  <c r="I46" i="28"/>
  <c r="K47" i="28"/>
  <c r="M48" i="28"/>
  <c r="I50" i="28"/>
  <c r="K51" i="28"/>
  <c r="M52" i="28"/>
  <c r="D40" i="28"/>
  <c r="C52" i="28"/>
  <c r="G50" i="28"/>
  <c r="E49" i="28"/>
  <c r="C48" i="28"/>
  <c r="G46" i="28"/>
  <c r="E45" i="28"/>
  <c r="C44" i="28"/>
  <c r="G42" i="28"/>
  <c r="E41" i="28"/>
  <c r="C40" i="28"/>
  <c r="G38" i="28"/>
  <c r="E37" i="28"/>
  <c r="C36" i="28"/>
  <c r="G34" i="28"/>
  <c r="E33" i="28"/>
  <c r="C32" i="28"/>
  <c r="G30" i="28"/>
  <c r="E29" i="28"/>
  <c r="C28" i="28"/>
  <c r="G26" i="28"/>
  <c r="E25" i="28"/>
  <c r="C24" i="28"/>
  <c r="G22" i="28"/>
  <c r="E21" i="28"/>
  <c r="C20" i="28"/>
  <c r="G18" i="28"/>
  <c r="E17" i="28"/>
  <c r="C16" i="28"/>
  <c r="G14" i="28"/>
  <c r="E13" i="28"/>
  <c r="C12" i="28"/>
  <c r="G10" i="28"/>
  <c r="F34" i="28"/>
  <c r="F30" i="28"/>
  <c r="F26" i="28"/>
  <c r="F22" i="28"/>
  <c r="F18" i="28"/>
  <c r="F14" i="28"/>
  <c r="F10" i="28"/>
  <c r="F50" i="28"/>
  <c r="F46" i="28"/>
  <c r="F42" i="28"/>
  <c r="F38" i="28"/>
  <c r="G51" i="28"/>
  <c r="E50" i="28"/>
  <c r="G47" i="28"/>
  <c r="E46" i="28"/>
  <c r="G43" i="28"/>
  <c r="E42" i="28"/>
  <c r="G39" i="28"/>
  <c r="E38" i="28"/>
  <c r="G35" i="28"/>
  <c r="E34" i="28"/>
  <c r="G31" i="28"/>
  <c r="E30" i="28"/>
  <c r="G27" i="28"/>
  <c r="E26" i="28"/>
  <c r="G23" i="28"/>
  <c r="E22" i="28"/>
  <c r="G19" i="28"/>
  <c r="E18" i="28"/>
  <c r="G15" i="28"/>
  <c r="E14" i="28"/>
  <c r="G11" i="28"/>
  <c r="E10" i="28"/>
  <c r="F51" i="28"/>
  <c r="D50" i="28"/>
  <c r="D42" i="28"/>
  <c r="F39" i="28"/>
  <c r="F35" i="28"/>
  <c r="D34" i="28"/>
  <c r="F31" i="28"/>
  <c r="D30" i="28"/>
  <c r="F27" i="28"/>
  <c r="D26" i="28"/>
  <c r="F23" i="28"/>
  <c r="D22" i="28"/>
  <c r="F19" i="28"/>
  <c r="D18" i="28"/>
  <c r="F15" i="28"/>
  <c r="D14" i="28"/>
  <c r="F11" i="28"/>
  <c r="D10" i="28"/>
  <c r="F47" i="28"/>
  <c r="D46" i="28"/>
  <c r="F43" i="28"/>
  <c r="D38" i="28"/>
  <c r="E39" i="28"/>
  <c r="E35" i="28"/>
  <c r="E31" i="28"/>
  <c r="E27" i="28"/>
  <c r="E23" i="28"/>
  <c r="E19" i="28"/>
  <c r="E15" i="28"/>
  <c r="J45" i="4" l="1"/>
  <c r="T45" i="4" s="1"/>
  <c r="AG96" i="4"/>
  <c r="AF45" i="4" s="1"/>
  <c r="AP45" i="4" s="1"/>
  <c r="K97" i="4"/>
  <c r="J46" i="4" l="1"/>
  <c r="T46" i="4" s="1"/>
  <c r="AG97" i="4"/>
  <c r="AF46" i="4" s="1"/>
  <c r="AP46" i="4" s="1"/>
  <c r="K98" i="4"/>
  <c r="H11" i="28"/>
  <c r="L20" i="28"/>
  <c r="M20" i="28"/>
  <c r="I20" i="28"/>
  <c r="J20" i="28"/>
  <c r="K20" i="28"/>
  <c r="M8" i="27"/>
  <c r="L8" i="27"/>
  <c r="K8" i="27"/>
  <c r="J8" i="27"/>
  <c r="I8" i="27"/>
  <c r="H8" i="27"/>
  <c r="G8" i="27"/>
  <c r="F8" i="27"/>
  <c r="E8" i="27"/>
  <c r="D8" i="27"/>
  <c r="C8" i="27"/>
  <c r="B8" i="27"/>
  <c r="M7" i="27"/>
  <c r="L7" i="27"/>
  <c r="K7" i="27"/>
  <c r="J7" i="27"/>
  <c r="I7" i="27"/>
  <c r="H7" i="27"/>
  <c r="G7" i="27"/>
  <c r="F7" i="27"/>
  <c r="E7" i="27"/>
  <c r="D7" i="27"/>
  <c r="C7" i="27"/>
  <c r="B7" i="27"/>
  <c r="AG98" i="4" l="1"/>
  <c r="J47" i="4"/>
  <c r="T47" i="4" s="1"/>
  <c r="K99" i="4"/>
  <c r="I19" i="28"/>
  <c r="M19" i="28"/>
  <c r="K19" i="28"/>
  <c r="L19" i="28"/>
  <c r="J19" i="28"/>
  <c r="H9" i="28"/>
  <c r="H10" i="28"/>
  <c r="I11" i="26"/>
  <c r="I12" i="26"/>
  <c r="I13" i="26"/>
  <c r="I14" i="26"/>
  <c r="I15" i="26"/>
  <c r="I16" i="26"/>
  <c r="I17" i="26"/>
  <c r="I18" i="26"/>
  <c r="I19" i="26"/>
  <c r="I20" i="26"/>
  <c r="I21" i="26"/>
  <c r="I22" i="26"/>
  <c r="I23" i="26"/>
  <c r="I24" i="26"/>
  <c r="I25" i="26"/>
  <c r="I26" i="26"/>
  <c r="I27" i="26"/>
  <c r="I28" i="26"/>
  <c r="I29" i="26"/>
  <c r="I30" i="26"/>
  <c r="I31" i="26"/>
  <c r="I32" i="26"/>
  <c r="I33" i="26"/>
  <c r="I34" i="26"/>
  <c r="I35" i="26"/>
  <c r="I36" i="26"/>
  <c r="I37" i="26"/>
  <c r="I38" i="26"/>
  <c r="I39" i="26"/>
  <c r="I40" i="26"/>
  <c r="I41" i="26"/>
  <c r="I42" i="26"/>
  <c r="I43" i="26"/>
  <c r="I44" i="26"/>
  <c r="I45" i="26"/>
  <c r="I46" i="26"/>
  <c r="I47" i="26"/>
  <c r="I48" i="26"/>
  <c r="I49" i="26"/>
  <c r="I50" i="26"/>
  <c r="I51" i="26"/>
  <c r="I52" i="26"/>
  <c r="I53" i="26"/>
  <c r="I10" i="26"/>
  <c r="AG99" i="4" l="1"/>
  <c r="AF48" i="4" s="1"/>
  <c r="AP48" i="4" s="1"/>
  <c r="J48" i="4"/>
  <c r="T48" i="4" s="1"/>
  <c r="AF47" i="4"/>
  <c r="AP47" i="4" s="1"/>
  <c r="K100" i="4"/>
  <c r="L18" i="28"/>
  <c r="K18" i="28"/>
  <c r="M18" i="28"/>
  <c r="J18" i="28"/>
  <c r="I18" i="28"/>
  <c r="A59" i="14"/>
  <c r="A58" i="14"/>
  <c r="A57" i="14"/>
  <c r="A56" i="14"/>
  <c r="A54" i="14"/>
  <c r="A59" i="15"/>
  <c r="A58" i="15"/>
  <c r="A57" i="15"/>
  <c r="A56" i="15"/>
  <c r="A54" i="15"/>
  <c r="A59" i="20"/>
  <c r="A58" i="20"/>
  <c r="A57" i="20"/>
  <c r="A56" i="20"/>
  <c r="A54" i="20"/>
  <c r="A60" i="24"/>
  <c r="A59" i="24"/>
  <c r="A58" i="24"/>
  <c r="A57" i="24"/>
  <c r="A55" i="24"/>
  <c r="A60" i="26"/>
  <c r="A59" i="26"/>
  <c r="A58" i="26"/>
  <c r="A57" i="26"/>
  <c r="H8" i="26"/>
  <c r="J8" i="26"/>
  <c r="K8" i="26"/>
  <c r="L8" i="26"/>
  <c r="M8" i="26"/>
  <c r="I8" i="26"/>
  <c r="B8" i="26"/>
  <c r="D8" i="26"/>
  <c r="E8" i="26"/>
  <c r="F8" i="26"/>
  <c r="G8" i="26"/>
  <c r="C8" i="26"/>
  <c r="AG100" i="4" l="1"/>
  <c r="AF49" i="4" s="1"/>
  <c r="AP49" i="4" s="1"/>
  <c r="J49" i="4"/>
  <c r="T49" i="4" s="1"/>
  <c r="K101" i="4"/>
  <c r="J17" i="28"/>
  <c r="M17" i="28"/>
  <c r="K17" i="28"/>
  <c r="I17" i="28"/>
  <c r="L17" i="28"/>
  <c r="A55" i="26"/>
  <c r="M9" i="26"/>
  <c r="L9" i="26"/>
  <c r="K9" i="26"/>
  <c r="J9" i="26"/>
  <c r="I9" i="26"/>
  <c r="H9" i="26"/>
  <c r="G9" i="26"/>
  <c r="F9" i="26"/>
  <c r="E9" i="26"/>
  <c r="D9" i="26"/>
  <c r="C9" i="26"/>
  <c r="B9" i="26"/>
  <c r="M7" i="26"/>
  <c r="L7" i="26"/>
  <c r="K7" i="26"/>
  <c r="J7" i="26"/>
  <c r="I7" i="26"/>
  <c r="H7" i="26"/>
  <c r="G7" i="26"/>
  <c r="F7" i="26"/>
  <c r="E7" i="26"/>
  <c r="D7" i="26"/>
  <c r="C7" i="26"/>
  <c r="B7" i="26"/>
  <c r="AG101" i="4" l="1"/>
  <c r="J50" i="4"/>
  <c r="T50" i="4" s="1"/>
  <c r="K102" i="4"/>
  <c r="I16" i="28"/>
  <c r="K16" i="28"/>
  <c r="M16" i="28"/>
  <c r="L16" i="28"/>
  <c r="J16" i="28"/>
  <c r="M9" i="24"/>
  <c r="L9" i="24"/>
  <c r="K9" i="24"/>
  <c r="J9" i="24"/>
  <c r="I9" i="24"/>
  <c r="H9" i="24"/>
  <c r="G9" i="24"/>
  <c r="F9" i="24"/>
  <c r="E9" i="24"/>
  <c r="D9" i="24"/>
  <c r="C9" i="24"/>
  <c r="B9" i="24"/>
  <c r="M8" i="24"/>
  <c r="L8" i="24"/>
  <c r="K8" i="24"/>
  <c r="J8" i="24"/>
  <c r="I8" i="24"/>
  <c r="H8" i="24"/>
  <c r="G8" i="24"/>
  <c r="F8" i="24"/>
  <c r="E8" i="24"/>
  <c r="D8" i="24"/>
  <c r="C8" i="24"/>
  <c r="B8" i="24"/>
  <c r="AG102" i="4" l="1"/>
  <c r="AF51" i="4" s="1"/>
  <c r="AP51" i="4" s="1"/>
  <c r="J51" i="4"/>
  <c r="T51" i="4" s="1"/>
  <c r="AF50" i="4"/>
  <c r="AP50" i="4" s="1"/>
  <c r="K103" i="4"/>
  <c r="L15" i="28"/>
  <c r="M15" i="28"/>
  <c r="K15" i="28"/>
  <c r="J15" i="28"/>
  <c r="I15" i="28"/>
  <c r="R23" i="1"/>
  <c r="S23" i="1"/>
  <c r="R24" i="1"/>
  <c r="S24" i="1"/>
  <c r="R25" i="1"/>
  <c r="S25" i="1"/>
  <c r="R26" i="1"/>
  <c r="S26" i="1"/>
  <c r="R27" i="1"/>
  <c r="S27" i="1"/>
  <c r="R28" i="1"/>
  <c r="S28" i="1"/>
  <c r="R29" i="1"/>
  <c r="S29" i="1"/>
  <c r="R30" i="1"/>
  <c r="S30" i="1"/>
  <c r="R31" i="1"/>
  <c r="S31" i="1"/>
  <c r="R32" i="1"/>
  <c r="S32" i="1"/>
  <c r="R33" i="1"/>
  <c r="S33" i="1"/>
  <c r="R34" i="1"/>
  <c r="S34" i="1"/>
  <c r="R35" i="1"/>
  <c r="S35" i="1"/>
  <c r="R36" i="1"/>
  <c r="S36" i="1"/>
  <c r="R37" i="1"/>
  <c r="S37" i="1"/>
  <c r="R38" i="1"/>
  <c r="S38" i="1"/>
  <c r="R39" i="1"/>
  <c r="S39" i="1"/>
  <c r="R40" i="1"/>
  <c r="S40" i="1"/>
  <c r="R41" i="1"/>
  <c r="S41" i="1"/>
  <c r="R42" i="1"/>
  <c r="S42" i="1"/>
  <c r="R43" i="1"/>
  <c r="S43" i="1"/>
  <c r="R44" i="1"/>
  <c r="S44" i="1"/>
  <c r="R45" i="1"/>
  <c r="S45" i="1"/>
  <c r="R46" i="1"/>
  <c r="S46" i="1"/>
  <c r="R47" i="1"/>
  <c r="S47" i="1"/>
  <c r="R48" i="1"/>
  <c r="S48" i="1"/>
  <c r="R49" i="1"/>
  <c r="S49" i="1"/>
  <c r="R50" i="1"/>
  <c r="S50" i="1"/>
  <c r="R51" i="1"/>
  <c r="S51" i="1"/>
  <c r="R52" i="1"/>
  <c r="S52" i="1"/>
  <c r="R53" i="1"/>
  <c r="S53" i="1"/>
  <c r="R54" i="1"/>
  <c r="S54" i="1"/>
  <c r="R55" i="1"/>
  <c r="S55" i="1"/>
  <c r="R56" i="1"/>
  <c r="S56" i="1"/>
  <c r="R57" i="1"/>
  <c r="S57" i="1"/>
  <c r="R58" i="1"/>
  <c r="S58" i="1"/>
  <c r="R59" i="1"/>
  <c r="S59" i="1"/>
  <c r="R60" i="1"/>
  <c r="S60" i="1"/>
  <c r="R61" i="1"/>
  <c r="S61" i="1"/>
  <c r="R62" i="1"/>
  <c r="S62" i="1"/>
  <c r="R63" i="1"/>
  <c r="S63" i="1"/>
  <c r="R64" i="1"/>
  <c r="S64" i="1"/>
  <c r="R65" i="1"/>
  <c r="S65" i="1"/>
  <c r="S22" i="1"/>
  <c r="R22" i="1"/>
  <c r="J52" i="4" l="1"/>
  <c r="T52" i="4" s="1"/>
  <c r="AG103" i="4"/>
  <c r="AF52" i="4" s="1"/>
  <c r="AP52" i="4" s="1"/>
  <c r="K104" i="4"/>
  <c r="J14" i="28"/>
  <c r="K14" i="28"/>
  <c r="M14" i="28"/>
  <c r="I14" i="28"/>
  <c r="L14" i="28"/>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T54" i="4" l="1"/>
  <c r="J53" i="4"/>
  <c r="T53" i="4" s="1"/>
  <c r="AG104" i="4"/>
  <c r="AF53" i="4" s="1"/>
  <c r="AP53" i="4" s="1"/>
  <c r="J13" i="23"/>
  <c r="J9" i="23"/>
  <c r="K12" i="23"/>
  <c r="J12" i="23"/>
  <c r="K11" i="23"/>
  <c r="J11" i="23"/>
  <c r="K14" i="23"/>
  <c r="K10" i="23"/>
  <c r="K9" i="23"/>
  <c r="J10" i="23"/>
  <c r="K13" i="23"/>
  <c r="K22" i="23"/>
  <c r="K15" i="23"/>
  <c r="K18" i="23"/>
  <c r="K19" i="23"/>
  <c r="K21" i="23"/>
  <c r="K23" i="23"/>
  <c r="K16" i="23"/>
  <c r="K27" i="23"/>
  <c r="K25" i="23"/>
  <c r="K17" i="23"/>
  <c r="K26" i="23"/>
  <c r="K24" i="23"/>
  <c r="K20" i="23"/>
  <c r="I13" i="28"/>
  <c r="M13" i="28"/>
  <c r="K13" i="28"/>
  <c r="L13" i="28"/>
  <c r="J13" i="28"/>
  <c r="M60" i="23"/>
  <c r="N60" i="23" s="1"/>
  <c r="N11" i="23"/>
  <c r="K28" i="23" s="1"/>
  <c r="N13" i="23"/>
  <c r="J14" i="23" s="1"/>
  <c r="N12" i="23"/>
  <c r="K29" i="23" s="1"/>
  <c r="K12" i="28" l="1"/>
  <c r="M12" i="28"/>
  <c r="L12" i="28"/>
  <c r="J12" i="28"/>
  <c r="I12" i="28"/>
  <c r="M61" i="23"/>
  <c r="M62" i="23" s="1"/>
  <c r="N14" i="23"/>
  <c r="K30" i="23" s="1"/>
  <c r="L11" i="28" l="1"/>
  <c r="M11" i="28"/>
  <c r="J11" i="28"/>
  <c r="I11" i="28"/>
  <c r="K11" i="28"/>
  <c r="N61" i="23"/>
  <c r="M63" i="23"/>
  <c r="N62" i="23"/>
  <c r="N15" i="23"/>
  <c r="J15" i="23" l="1"/>
  <c r="K31" i="23"/>
  <c r="J9" i="28"/>
  <c r="J10" i="28"/>
  <c r="M9" i="28"/>
  <c r="M10" i="28"/>
  <c r="I9" i="28"/>
  <c r="I10" i="28"/>
  <c r="K9" i="28"/>
  <c r="K10" i="28"/>
  <c r="L9" i="28"/>
  <c r="L10" i="28"/>
  <c r="M64" i="23"/>
  <c r="N63" i="23"/>
  <c r="N16" i="23"/>
  <c r="M65" i="23" l="1"/>
  <c r="N64" i="23"/>
  <c r="N17" i="23"/>
  <c r="C8" i="23" a="1"/>
  <c r="D8" i="23" s="1"/>
  <c r="J16" i="23" l="1"/>
  <c r="K32" i="23"/>
  <c r="M66" i="23"/>
  <c r="N65" i="23"/>
  <c r="N18" i="23"/>
  <c r="C8" i="23"/>
  <c r="H8" i="23"/>
  <c r="F8" i="23"/>
  <c r="K8" i="23"/>
  <c r="J8" i="23"/>
  <c r="E8" i="23"/>
  <c r="I8" i="23"/>
  <c r="G8" i="23"/>
  <c r="M67" i="23" l="1"/>
  <c r="N66" i="23"/>
  <c r="N19" i="23"/>
  <c r="H24" i="11"/>
  <c r="J17" i="23" l="1"/>
  <c r="K33" i="23"/>
  <c r="M68" i="23"/>
  <c r="N67" i="23"/>
  <c r="N20" i="23"/>
  <c r="AB126" i="13"/>
  <c r="AD124" i="13"/>
  <c r="AD123" i="13"/>
  <c r="AC171" i="13" s="1" a="1"/>
  <c r="AC171" i="13" s="1"/>
  <c r="AD72" i="13"/>
  <c r="AC119" i="13" s="1" a="1"/>
  <c r="AC119" i="13" s="1"/>
  <c r="AD71" i="13"/>
  <c r="AB74" i="13"/>
  <c r="L11" i="13"/>
  <c r="M11" i="13"/>
  <c r="L12" i="13"/>
  <c r="M12" i="13"/>
  <c r="L13" i="13"/>
  <c r="M13" i="13"/>
  <c r="L14" i="13"/>
  <c r="M14" i="13"/>
  <c r="L15" i="13"/>
  <c r="M15" i="13"/>
  <c r="L16" i="13"/>
  <c r="M16" i="13"/>
  <c r="AR12" i="4" a="1"/>
  <c r="AR12" i="4" s="1"/>
  <c r="G55" i="4"/>
  <c r="F55" i="4"/>
  <c r="E55" i="4"/>
  <c r="E56" i="4" s="1"/>
  <c r="D55" i="4"/>
  <c r="C55" i="4"/>
  <c r="B55" i="4"/>
  <c r="K15" i="4"/>
  <c r="K14" i="4"/>
  <c r="K13" i="4"/>
  <c r="K12" i="4"/>
  <c r="K11" i="4"/>
  <c r="K10" i="4"/>
  <c r="AB284" i="13"/>
  <c r="AD282" i="13"/>
  <c r="AD281" i="13"/>
  <c r="AB231" i="13"/>
  <c r="AD229" i="13"/>
  <c r="AD228" i="13"/>
  <c r="AD175" i="13"/>
  <c r="AD176" i="13"/>
  <c r="AB178" i="13"/>
  <c r="L55" i="4" l="1"/>
  <c r="X55" i="4"/>
  <c r="M55" i="4"/>
  <c r="Y55" i="4"/>
  <c r="D56" i="4"/>
  <c r="Z56" i="4" s="1"/>
  <c r="Z55" i="4"/>
  <c r="F56" i="4"/>
  <c r="F57" i="4" s="1"/>
  <c r="AB57" i="4" s="1"/>
  <c r="AB55" i="4"/>
  <c r="AR19" i="4"/>
  <c r="O55" i="4"/>
  <c r="P55" i="4"/>
  <c r="G56" i="4"/>
  <c r="N55" i="4"/>
  <c r="AB83" i="13" a="1"/>
  <c r="AB83" i="13" s="1"/>
  <c r="AB286" i="13" a="1"/>
  <c r="AB286" i="13" s="1"/>
  <c r="AB249" i="13" a="1"/>
  <c r="AB249" i="13" s="1"/>
  <c r="AB290" i="13" a="1"/>
  <c r="AB290" i="13" s="1"/>
  <c r="AB84" i="13" a="1"/>
  <c r="AB84" i="13" s="1"/>
  <c r="AB245" i="13" a="1"/>
  <c r="AB245" i="13" s="1"/>
  <c r="AB180" i="13" a="1"/>
  <c r="AB180" i="13" s="1"/>
  <c r="AB253" i="13" a="1"/>
  <c r="AB253" i="13" s="1"/>
  <c r="AB294" i="13" a="1"/>
  <c r="AB294" i="13" s="1"/>
  <c r="AB86" i="13" a="1"/>
  <c r="AB86" i="13" s="1"/>
  <c r="AB184" i="13" a="1"/>
  <c r="AB184" i="13" s="1"/>
  <c r="AB298" i="13" a="1"/>
  <c r="AB298" i="13" s="1"/>
  <c r="AB76" i="13" a="1"/>
  <c r="AB76" i="13" s="1"/>
  <c r="AB87" i="13" a="1"/>
  <c r="AB87" i="13" s="1"/>
  <c r="AB188" i="13" a="1"/>
  <c r="AB188" i="13" s="1"/>
  <c r="AB302" i="13" a="1"/>
  <c r="AB302" i="13" s="1"/>
  <c r="AB78" i="13" a="1"/>
  <c r="AB78" i="13" s="1"/>
  <c r="AB88" i="13" a="1"/>
  <c r="AB88" i="13" s="1"/>
  <c r="AB192" i="13" a="1"/>
  <c r="AB192" i="13" s="1"/>
  <c r="AB233" i="13" a="1"/>
  <c r="AB233" i="13" s="1"/>
  <c r="AB79" i="13" a="1"/>
  <c r="AB79" i="13" s="1"/>
  <c r="AB237" i="13" a="1"/>
  <c r="AB237" i="13" s="1"/>
  <c r="AB80" i="13" a="1"/>
  <c r="AB80" i="13" s="1"/>
  <c r="AB241" i="13" a="1"/>
  <c r="AB241" i="13" s="1"/>
  <c r="AB82" i="13" a="1"/>
  <c r="AB82"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134" i="13" a="1"/>
  <c r="AB134" i="13" s="1"/>
  <c r="AB138" i="13" a="1"/>
  <c r="AB138" i="13" s="1"/>
  <c r="AB142" i="13" a="1"/>
  <c r="AB142" i="13" s="1"/>
  <c r="AB150" i="13" a="1"/>
  <c r="AB150" i="13" s="1"/>
  <c r="AB154" i="13" a="1"/>
  <c r="AB154" i="13" s="1"/>
  <c r="AB162" i="13" a="1"/>
  <c r="AB162" i="13" s="1"/>
  <c r="AB166" i="13" a="1"/>
  <c r="AB166" i="13" s="1"/>
  <c r="AB170" i="13" a="1"/>
  <c r="AB170" i="13"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139" i="13" a="1"/>
  <c r="AB139" i="13" s="1"/>
  <c r="AB155" i="13" a="1"/>
  <c r="AB155" i="13"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86" i="13" a="1"/>
  <c r="AC286" i="13" s="1"/>
  <c r="AC290" i="13" a="1"/>
  <c r="AC290" i="13" s="1"/>
  <c r="AC294" i="13" a="1"/>
  <c r="AC294" i="13" s="1"/>
  <c r="AC298" i="13" a="1"/>
  <c r="AC298" i="13" s="1"/>
  <c r="AC302" i="13" a="1"/>
  <c r="AC302" i="13" s="1"/>
  <c r="AB181" i="13" a="1"/>
  <c r="AB181" i="13" s="1"/>
  <c r="AB185" i="13" a="1"/>
  <c r="AB185" i="13" s="1"/>
  <c r="AB189" i="13" a="1"/>
  <c r="AB189" i="13" s="1"/>
  <c r="AB234" i="13" a="1"/>
  <c r="AB234" i="13" s="1"/>
  <c r="AB238" i="13" a="1"/>
  <c r="AB238" i="13" s="1"/>
  <c r="AB242" i="13" a="1"/>
  <c r="AB242" i="13" s="1"/>
  <c r="AB246" i="13" a="1"/>
  <c r="AB246" i="13" s="1"/>
  <c r="AB250" i="13" a="1"/>
  <c r="AB250" i="13" s="1"/>
  <c r="AB287" i="13" a="1"/>
  <c r="AB287" i="13" s="1"/>
  <c r="AB291" i="13" a="1"/>
  <c r="AB291" i="13" s="1"/>
  <c r="AB295" i="13" a="1"/>
  <c r="AB295" i="13" s="1"/>
  <c r="AB299" i="13" a="1"/>
  <c r="AB299" i="13" s="1"/>
  <c r="AB303" i="13" a="1"/>
  <c r="AB303" i="13" s="1"/>
  <c r="AC181" i="13" a="1"/>
  <c r="AC181" i="13" s="1"/>
  <c r="AC185" i="13" a="1"/>
  <c r="AC185" i="13" s="1"/>
  <c r="AC189" i="13" a="1"/>
  <c r="AC189" i="13" s="1"/>
  <c r="AC234" i="13" a="1"/>
  <c r="AC234" i="13" s="1"/>
  <c r="AC238" i="13" a="1"/>
  <c r="AC238" i="13" s="1"/>
  <c r="AC242" i="13" a="1"/>
  <c r="AC242" i="13" s="1"/>
  <c r="AC246" i="13" a="1"/>
  <c r="AC246" i="13" s="1"/>
  <c r="AC250" i="13" a="1"/>
  <c r="AC250" i="13" s="1"/>
  <c r="AC287" i="13" a="1"/>
  <c r="AC287" i="13" s="1"/>
  <c r="AC291" i="13" a="1"/>
  <c r="AC291" i="13" s="1"/>
  <c r="AC295" i="13" a="1"/>
  <c r="AC295" i="13" s="1"/>
  <c r="AC299" i="13" a="1"/>
  <c r="AC299" i="13" s="1"/>
  <c r="AC303" i="13" a="1"/>
  <c r="AC303" i="13" s="1"/>
  <c r="AB182" i="13" a="1"/>
  <c r="AB182" i="13" s="1"/>
  <c r="AB186" i="13" a="1"/>
  <c r="AB186" i="13" s="1"/>
  <c r="AB190" i="13" a="1"/>
  <c r="AB190" i="13" s="1"/>
  <c r="AB235" i="13" a="1"/>
  <c r="AB235" i="13" s="1"/>
  <c r="AB239" i="13" a="1"/>
  <c r="AB239" i="13" s="1"/>
  <c r="AB243" i="13" a="1"/>
  <c r="AB243" i="13" s="1"/>
  <c r="AB247" i="13" a="1"/>
  <c r="AB247" i="13" s="1"/>
  <c r="AB251" i="13" a="1"/>
  <c r="AB251" i="13" s="1"/>
  <c r="AB288" i="13" a="1"/>
  <c r="AB288" i="13" s="1"/>
  <c r="AB292" i="13" a="1"/>
  <c r="AB292" i="13" s="1"/>
  <c r="AB296" i="13" a="1"/>
  <c r="AB296" i="13" s="1"/>
  <c r="AB300" i="13" a="1"/>
  <c r="AB300" i="13" s="1"/>
  <c r="AB304" i="13" a="1"/>
  <c r="AB304" i="13" s="1"/>
  <c r="AC182" i="13" a="1"/>
  <c r="AC182" i="13" s="1"/>
  <c r="AC186" i="13" a="1"/>
  <c r="AC186" i="13" s="1"/>
  <c r="AC190" i="13" a="1"/>
  <c r="AC190" i="13" s="1"/>
  <c r="AC235" i="13" a="1"/>
  <c r="AC235" i="13" s="1"/>
  <c r="AC239" i="13" a="1"/>
  <c r="AC239" i="13" s="1"/>
  <c r="AC243" i="13" a="1"/>
  <c r="AC243" i="13" s="1"/>
  <c r="AC247" i="13" a="1"/>
  <c r="AC247" i="13" s="1"/>
  <c r="AC251" i="13" a="1"/>
  <c r="AC251" i="13" s="1"/>
  <c r="AC288" i="13" a="1"/>
  <c r="AC288" i="13" s="1"/>
  <c r="AC292" i="13" a="1"/>
  <c r="AC292" i="13" s="1"/>
  <c r="AC296" i="13" a="1"/>
  <c r="AC296" i="13" s="1"/>
  <c r="AC300" i="13" a="1"/>
  <c r="AC300" i="13" s="1"/>
  <c r="AC304" i="13" a="1"/>
  <c r="AC304" i="13" s="1"/>
  <c r="AB183" i="13" a="1"/>
  <c r="AB183" i="13" s="1"/>
  <c r="AB187" i="13" a="1"/>
  <c r="AB187" i="13" s="1"/>
  <c r="AB191" i="13" a="1"/>
  <c r="AB191" i="13" s="1"/>
  <c r="AB236" i="13" a="1"/>
  <c r="AB236" i="13" s="1"/>
  <c r="AB240" i="13" a="1"/>
  <c r="AB240" i="13" s="1"/>
  <c r="AB244" i="13" a="1"/>
  <c r="AB244" i="13" s="1"/>
  <c r="AB248" i="13" a="1"/>
  <c r="AB248" i="13" s="1"/>
  <c r="AB252" i="13" a="1"/>
  <c r="AB252" i="13" s="1"/>
  <c r="AB289" i="13" a="1"/>
  <c r="AB289" i="13" s="1"/>
  <c r="AB293" i="13" a="1"/>
  <c r="AB293" i="13" s="1"/>
  <c r="AB297" i="13" a="1"/>
  <c r="AB297" i="13" s="1"/>
  <c r="AB301" i="13" a="1"/>
  <c r="AB301" i="13" s="1"/>
  <c r="AC183" i="13" a="1"/>
  <c r="AC183" i="13" s="1"/>
  <c r="AC187" i="13" a="1"/>
  <c r="AC187" i="13" s="1"/>
  <c r="AC191" i="13" a="1"/>
  <c r="AC191" i="13" s="1"/>
  <c r="AC236" i="13" a="1"/>
  <c r="AC236" i="13" s="1"/>
  <c r="AC240" i="13" a="1"/>
  <c r="AC240" i="13" s="1"/>
  <c r="AC244" i="13" a="1"/>
  <c r="AC244" i="13" s="1"/>
  <c r="AC248" i="13" a="1"/>
  <c r="AC248" i="13" s="1"/>
  <c r="AC252" i="13" a="1"/>
  <c r="AC252" i="13" s="1"/>
  <c r="AC289" i="13" a="1"/>
  <c r="AC289" i="13" s="1"/>
  <c r="AC293" i="13" a="1"/>
  <c r="AC293" i="13" s="1"/>
  <c r="AC297" i="13" a="1"/>
  <c r="AC297" i="13" s="1"/>
  <c r="AC301" i="13" a="1"/>
  <c r="AC301" i="13" s="1"/>
  <c r="M69" i="23"/>
  <c r="N68" i="23"/>
  <c r="N21" i="23"/>
  <c r="K34" i="23" s="1"/>
  <c r="AR18" i="4"/>
  <c r="AR17" i="4"/>
  <c r="AR16" i="4"/>
  <c r="AR15" i="4"/>
  <c r="AR14" i="4"/>
  <c r="AR13" i="4"/>
  <c r="AR20" i="4"/>
  <c r="O56" i="4"/>
  <c r="E57" i="4"/>
  <c r="B56" i="4"/>
  <c r="X56" i="4" s="1"/>
  <c r="C56" i="4"/>
  <c r="Y56" i="4" s="1"/>
  <c r="D57" i="4" l="1"/>
  <c r="Z57" i="4" s="1"/>
  <c r="N56" i="4"/>
  <c r="P56" i="4"/>
  <c r="AB56" i="4"/>
  <c r="G57" i="4"/>
  <c r="G58" i="4" s="1"/>
  <c r="AD128" i="13"/>
  <c r="J10" i="26" s="1"/>
  <c r="AD129" i="13"/>
  <c r="J11" i="26" s="1"/>
  <c r="M70" i="23"/>
  <c r="N69" i="23"/>
  <c r="N22" i="23"/>
  <c r="J18" i="23" s="1"/>
  <c r="P57" i="4"/>
  <c r="F58" i="4"/>
  <c r="L56" i="4"/>
  <c r="B57" i="4"/>
  <c r="X57" i="4" s="1"/>
  <c r="E58" i="4"/>
  <c r="O58" i="4" s="1"/>
  <c r="O57" i="4"/>
  <c r="C57" i="4"/>
  <c r="Y57" i="4" s="1"/>
  <c r="M56" i="4"/>
  <c r="AB284" i="11"/>
  <c r="AD283" i="11"/>
  <c r="AD282" i="11"/>
  <c r="AB231" i="11"/>
  <c r="AD230" i="11"/>
  <c r="AD229" i="11"/>
  <c r="AB74" i="11"/>
  <c r="AD73" i="11"/>
  <c r="AD72" i="11"/>
  <c r="AB126" i="11"/>
  <c r="AD125" i="11"/>
  <c r="AD124" i="11"/>
  <c r="AB178" i="11"/>
  <c r="AL183" i="11" a="1"/>
  <c r="AN183" i="11" s="1"/>
  <c r="AD177" i="11"/>
  <c r="AD176" i="11"/>
  <c r="N57" i="4" l="1"/>
  <c r="D58" i="4"/>
  <c r="N58" i="4" s="1"/>
  <c r="P58" i="4"/>
  <c r="AB58" i="4"/>
  <c r="M71" i="23"/>
  <c r="N70" i="23"/>
  <c r="N23" i="23"/>
  <c r="K35"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73" i="11" a="1"/>
  <c r="AB273" i="11" s="1"/>
  <c r="AB269" i="11" a="1"/>
  <c r="AB269" i="11" s="1"/>
  <c r="AB265" i="11" a="1"/>
  <c r="AB265" i="11" s="1"/>
  <c r="AB261" i="11" a="1"/>
  <c r="AB261" i="11" s="1"/>
  <c r="AB257" i="11" a="1"/>
  <c r="AB257" i="11" s="1"/>
  <c r="AB253" i="11" a="1"/>
  <c r="AB253" i="11" s="1"/>
  <c r="AB249" i="11" a="1"/>
  <c r="AB249" i="11" s="1"/>
  <c r="AB245" i="11" a="1"/>
  <c r="AB245" i="11" s="1"/>
  <c r="AB241" i="11" a="1"/>
  <c r="AB241" i="11" s="1"/>
  <c r="AB237" i="11" a="1"/>
  <c r="AB237" i="11" s="1"/>
  <c r="AB233" i="11" a="1"/>
  <c r="AB233" i="11" s="1"/>
  <c r="AC261" i="11" a="1"/>
  <c r="AC261" i="11" s="1"/>
  <c r="AC233" i="11" a="1"/>
  <c r="AC233" i="11" s="1"/>
  <c r="AC276" i="11" a="1"/>
  <c r="AC276" i="11" s="1"/>
  <c r="AC272" i="11" a="1"/>
  <c r="AC272" i="11" s="1"/>
  <c r="AC268" i="11" a="1"/>
  <c r="AC268" i="11" s="1"/>
  <c r="AC264" i="11" a="1"/>
  <c r="AC264" i="11" s="1"/>
  <c r="AC260" i="11" a="1"/>
  <c r="AC260" i="11" s="1"/>
  <c r="AC256" i="11" a="1"/>
  <c r="AC256" i="11" s="1"/>
  <c r="AC252" i="11" a="1"/>
  <c r="AC252" i="11" s="1"/>
  <c r="AC248" i="11" a="1"/>
  <c r="AC248" i="11" s="1"/>
  <c r="AC244" i="11" a="1"/>
  <c r="AC244" i="11" s="1"/>
  <c r="AC240" i="11" a="1"/>
  <c r="AC240" i="11" s="1"/>
  <c r="AC236" i="11" a="1"/>
  <c r="AC236" i="11" s="1"/>
  <c r="AC273" i="11" a="1"/>
  <c r="AC273" i="11" s="1"/>
  <c r="AC265" i="11" a="1"/>
  <c r="AC265" i="11" s="1"/>
  <c r="AC253" i="11" a="1"/>
  <c r="AC253" i="11" s="1"/>
  <c r="AC241" i="11" a="1"/>
  <c r="AC241" i="11" s="1"/>
  <c r="AB276" i="11" a="1"/>
  <c r="AB276" i="11" s="1"/>
  <c r="AB272" i="11" a="1"/>
  <c r="AB272" i="11" s="1"/>
  <c r="AB268" i="11" a="1"/>
  <c r="AB268" i="11" s="1"/>
  <c r="AB264" i="11" a="1"/>
  <c r="AB264" i="11" s="1"/>
  <c r="AB260" i="11" a="1"/>
  <c r="AB260" i="11" s="1"/>
  <c r="AB256" i="11" a="1"/>
  <c r="AB256" i="11" s="1"/>
  <c r="AB252" i="11" a="1"/>
  <c r="AB252" i="11" s="1"/>
  <c r="AB248" i="11" a="1"/>
  <c r="AB248" i="11" s="1"/>
  <c r="AB244" i="11" a="1"/>
  <c r="AB244" i="11" s="1"/>
  <c r="AB240" i="11" a="1"/>
  <c r="AB240" i="11" s="1"/>
  <c r="AB236" i="11" a="1"/>
  <c r="AB236" i="11" s="1"/>
  <c r="AC275" i="11" a="1"/>
  <c r="AC275" i="11" s="1"/>
  <c r="AC271" i="11" a="1"/>
  <c r="AC271" i="11" s="1"/>
  <c r="AC267" i="11" a="1"/>
  <c r="AC267" i="11" s="1"/>
  <c r="AC263" i="11" a="1"/>
  <c r="AC263" i="11" s="1"/>
  <c r="AC259" i="11" a="1"/>
  <c r="AC259" i="11" s="1"/>
  <c r="AC255" i="11" a="1"/>
  <c r="AC255" i="11" s="1"/>
  <c r="AC251" i="11" a="1"/>
  <c r="AC251" i="11" s="1"/>
  <c r="AC247" i="11" a="1"/>
  <c r="AC247" i="11" s="1"/>
  <c r="AC243" i="11" a="1"/>
  <c r="AC243" i="11" s="1"/>
  <c r="AC239" i="11" a="1"/>
  <c r="AC239" i="11" s="1"/>
  <c r="AC235" i="11" a="1"/>
  <c r="AC235" i="11" s="1"/>
  <c r="AC269" i="11" a="1"/>
  <c r="AC269" i="11" s="1"/>
  <c r="AC257" i="11" a="1"/>
  <c r="AC257" i="11" s="1"/>
  <c r="AC245" i="11" a="1"/>
  <c r="AC245" i="11" s="1"/>
  <c r="AC237" i="11" a="1"/>
  <c r="AC237" i="11" s="1"/>
  <c r="AB275" i="11" a="1"/>
  <c r="AB275" i="11" s="1"/>
  <c r="AB271" i="11" a="1"/>
  <c r="AB271" i="11" s="1"/>
  <c r="AB267" i="11" a="1"/>
  <c r="AB267" i="11" s="1"/>
  <c r="AB263" i="11" a="1"/>
  <c r="AB263" i="11" s="1"/>
  <c r="AB259" i="11" a="1"/>
  <c r="AB259" i="11" s="1"/>
  <c r="AB255" i="11" a="1"/>
  <c r="AB255" i="11" s="1"/>
  <c r="AB251" i="11" a="1"/>
  <c r="AB251" i="11" s="1"/>
  <c r="AB247" i="11" a="1"/>
  <c r="AB247" i="11" s="1"/>
  <c r="AB243" i="11" a="1"/>
  <c r="AB243" i="11" s="1"/>
  <c r="AB239" i="11" a="1"/>
  <c r="AB239" i="11" s="1"/>
  <c r="AB235" i="11" a="1"/>
  <c r="AB235" i="11" s="1"/>
  <c r="AC249" i="11" a="1"/>
  <c r="AC249" i="11" s="1"/>
  <c r="AC274" i="11" a="1"/>
  <c r="AC274" i="11" s="1"/>
  <c r="AC270" i="11" a="1"/>
  <c r="AC270" i="11" s="1"/>
  <c r="AC266" i="11" a="1"/>
  <c r="AC266" i="11" s="1"/>
  <c r="AC262" i="11" a="1"/>
  <c r="AC262" i="11" s="1"/>
  <c r="AC258" i="11" a="1"/>
  <c r="AC258" i="11" s="1"/>
  <c r="AC254" i="11" a="1"/>
  <c r="AC254" i="11" s="1"/>
  <c r="AC250" i="11" a="1"/>
  <c r="AC250" i="11" s="1"/>
  <c r="AC246" i="11" a="1"/>
  <c r="AC246" i="11" s="1"/>
  <c r="AC242" i="11" a="1"/>
  <c r="AC242" i="11" s="1"/>
  <c r="AC238" i="11" a="1"/>
  <c r="AC238" i="11" s="1"/>
  <c r="AC234" i="11" a="1"/>
  <c r="AC234" i="11" s="1"/>
  <c r="AB274" i="11" a="1"/>
  <c r="AB274" i="11" s="1"/>
  <c r="AB270" i="11" a="1"/>
  <c r="AB270" i="11" s="1"/>
  <c r="AB266" i="11" a="1"/>
  <c r="AB266" i="11" s="1"/>
  <c r="AB262" i="11" a="1"/>
  <c r="AB262" i="11" s="1"/>
  <c r="AB258" i="11" a="1"/>
  <c r="AB258" i="11" s="1"/>
  <c r="AB254" i="11" a="1"/>
  <c r="AB254" i="11" s="1"/>
  <c r="AB250" i="11" a="1"/>
  <c r="AB250" i="11" s="1"/>
  <c r="AB246" i="11" a="1"/>
  <c r="AB246" i="11" s="1"/>
  <c r="AB242" i="11" a="1"/>
  <c r="AB242" i="11" s="1"/>
  <c r="AB238" i="11" a="1"/>
  <c r="AB238" i="11" s="1"/>
  <c r="AB234" i="11" a="1"/>
  <c r="AB234" i="11" s="1"/>
  <c r="L57" i="4"/>
  <c r="B58" i="4"/>
  <c r="M57" i="4"/>
  <c r="C58" i="4"/>
  <c r="AR183" i="11"/>
  <c r="AT183" i="11"/>
  <c r="AQ183" i="11"/>
  <c r="AM183" i="11"/>
  <c r="AL183" i="11"/>
  <c r="AS183" i="11"/>
  <c r="AP183" i="11"/>
  <c r="AU183" i="11"/>
  <c r="AO183" i="11"/>
  <c r="AV183" i="11"/>
  <c r="Z58" i="4" l="1"/>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K36" i="23" s="1"/>
  <c r="K26" i="11"/>
  <c r="M8" i="20"/>
  <c r="L8" i="20"/>
  <c r="K8" i="20"/>
  <c r="J8" i="20"/>
  <c r="I8" i="20"/>
  <c r="H8" i="20"/>
  <c r="M7" i="20"/>
  <c r="L7" i="20"/>
  <c r="K7" i="20"/>
  <c r="J7" i="20"/>
  <c r="I7" i="20"/>
  <c r="H7" i="20"/>
  <c r="O12" i="13"/>
  <c r="O13" i="13"/>
  <c r="O14" i="13"/>
  <c r="O15" i="13"/>
  <c r="O16" i="13"/>
  <c r="O11" i="13"/>
  <c r="B25" i="13"/>
  <c r="C25" i="13"/>
  <c r="D25" i="13"/>
  <c r="E25" i="13"/>
  <c r="F25" i="13"/>
  <c r="G25" i="13"/>
  <c r="H25" i="13"/>
  <c r="I25" i="13"/>
  <c r="J25" i="13"/>
  <c r="K25" i="13"/>
  <c r="L25" i="13"/>
  <c r="M25" i="13"/>
  <c r="B26" i="13"/>
  <c r="C26" i="13"/>
  <c r="D26" i="13"/>
  <c r="E26" i="13"/>
  <c r="F26" i="13"/>
  <c r="G26" i="13"/>
  <c r="H26" i="13"/>
  <c r="I26" i="13"/>
  <c r="J26" i="13"/>
  <c r="K26" i="13"/>
  <c r="L26" i="13"/>
  <c r="M26" i="13"/>
  <c r="B27" i="13"/>
  <c r="C27" i="13"/>
  <c r="D27" i="13"/>
  <c r="E27" i="13"/>
  <c r="F27" i="13"/>
  <c r="G27" i="13"/>
  <c r="H27" i="13"/>
  <c r="I27" i="13"/>
  <c r="J27" i="13"/>
  <c r="K27" i="13"/>
  <c r="L27" i="13"/>
  <c r="M27" i="13"/>
  <c r="B28" i="13"/>
  <c r="C28" i="13"/>
  <c r="D28" i="13"/>
  <c r="E28" i="13"/>
  <c r="F28" i="13"/>
  <c r="G28" i="13"/>
  <c r="H28" i="13"/>
  <c r="I28" i="13"/>
  <c r="J28" i="13"/>
  <c r="K28" i="13"/>
  <c r="L28" i="13"/>
  <c r="M28" i="13"/>
  <c r="B29" i="13"/>
  <c r="C29" i="13"/>
  <c r="D29" i="13"/>
  <c r="E29" i="13"/>
  <c r="F29" i="13"/>
  <c r="G29" i="13"/>
  <c r="H29" i="13"/>
  <c r="I29" i="13"/>
  <c r="J29" i="13"/>
  <c r="K29" i="13"/>
  <c r="L29" i="13"/>
  <c r="M29" i="13"/>
  <c r="B30" i="13"/>
  <c r="C30" i="13"/>
  <c r="D30" i="13"/>
  <c r="E30" i="13"/>
  <c r="F30" i="13"/>
  <c r="G30" i="13"/>
  <c r="H30" i="13"/>
  <c r="I30" i="13"/>
  <c r="J30" i="13"/>
  <c r="K30" i="13"/>
  <c r="L30" i="13"/>
  <c r="M30" i="13"/>
  <c r="B31" i="13"/>
  <c r="C31" i="13"/>
  <c r="D31" i="13"/>
  <c r="E31" i="13"/>
  <c r="F31" i="13"/>
  <c r="G31" i="13"/>
  <c r="H31" i="13"/>
  <c r="I31" i="13"/>
  <c r="J31" i="13"/>
  <c r="K31" i="13"/>
  <c r="L31" i="13"/>
  <c r="M31" i="13"/>
  <c r="B32" i="13"/>
  <c r="C32" i="13"/>
  <c r="D32" i="13"/>
  <c r="E32" i="13"/>
  <c r="F32" i="13"/>
  <c r="G32" i="13"/>
  <c r="H32" i="13"/>
  <c r="I32" i="13"/>
  <c r="J32" i="13"/>
  <c r="K32" i="13"/>
  <c r="L32" i="13"/>
  <c r="M32" i="13"/>
  <c r="B33" i="13"/>
  <c r="C33" i="13"/>
  <c r="D33" i="13"/>
  <c r="E33" i="13"/>
  <c r="F33" i="13"/>
  <c r="G33" i="13"/>
  <c r="H33" i="13"/>
  <c r="I33" i="13"/>
  <c r="J33" i="13"/>
  <c r="K33" i="13"/>
  <c r="L33" i="13"/>
  <c r="M33" i="13"/>
  <c r="B34" i="13"/>
  <c r="C34" i="13"/>
  <c r="D34" i="13"/>
  <c r="E34" i="13"/>
  <c r="F34" i="13"/>
  <c r="G34" i="13"/>
  <c r="H34" i="13"/>
  <c r="I34" i="13"/>
  <c r="J34" i="13"/>
  <c r="K34" i="13"/>
  <c r="L34" i="13"/>
  <c r="M34" i="13"/>
  <c r="B35" i="13"/>
  <c r="C35" i="13"/>
  <c r="D35" i="13"/>
  <c r="E35" i="13"/>
  <c r="F35" i="13"/>
  <c r="G35" i="13"/>
  <c r="H35" i="13"/>
  <c r="I35" i="13"/>
  <c r="J35" i="13"/>
  <c r="K35" i="13"/>
  <c r="L35" i="13"/>
  <c r="M35" i="13"/>
  <c r="B36" i="13"/>
  <c r="C36" i="13"/>
  <c r="D36" i="13"/>
  <c r="E36" i="13"/>
  <c r="F36" i="13"/>
  <c r="G36" i="13"/>
  <c r="H36" i="13"/>
  <c r="I36" i="13"/>
  <c r="J36" i="13"/>
  <c r="K36" i="13"/>
  <c r="L36" i="13"/>
  <c r="M36" i="13"/>
  <c r="B37" i="13"/>
  <c r="C37" i="13"/>
  <c r="D37" i="13"/>
  <c r="E37" i="13"/>
  <c r="F37" i="13"/>
  <c r="G37" i="13"/>
  <c r="H37" i="13"/>
  <c r="I37" i="13"/>
  <c r="J37" i="13"/>
  <c r="K37" i="13"/>
  <c r="L37" i="13"/>
  <c r="M37" i="13"/>
  <c r="B38" i="13"/>
  <c r="C38" i="13"/>
  <c r="D38" i="13"/>
  <c r="E38" i="13"/>
  <c r="F38" i="13"/>
  <c r="G38" i="13"/>
  <c r="H38" i="13"/>
  <c r="I38" i="13"/>
  <c r="J38" i="13"/>
  <c r="K38" i="13"/>
  <c r="L38" i="13"/>
  <c r="M38" i="13"/>
  <c r="B39" i="13"/>
  <c r="C39" i="13"/>
  <c r="D39" i="13"/>
  <c r="E39" i="13"/>
  <c r="F39" i="13"/>
  <c r="G39" i="13"/>
  <c r="H39" i="13"/>
  <c r="I39" i="13"/>
  <c r="J39" i="13"/>
  <c r="K39" i="13"/>
  <c r="L39" i="13"/>
  <c r="M39" i="13"/>
  <c r="B40" i="13"/>
  <c r="C40" i="13"/>
  <c r="D40" i="13"/>
  <c r="E40" i="13"/>
  <c r="F40" i="13"/>
  <c r="G40" i="13"/>
  <c r="H40" i="13"/>
  <c r="I40" i="13"/>
  <c r="J40" i="13"/>
  <c r="K40" i="13"/>
  <c r="L40" i="13"/>
  <c r="M40" i="13"/>
  <c r="B41" i="13"/>
  <c r="C41" i="13"/>
  <c r="D41" i="13"/>
  <c r="E41" i="13"/>
  <c r="F41" i="13"/>
  <c r="G41" i="13"/>
  <c r="H41" i="13"/>
  <c r="I41" i="13"/>
  <c r="J41" i="13"/>
  <c r="K41" i="13"/>
  <c r="L41" i="13"/>
  <c r="M41" i="13"/>
  <c r="B42" i="13"/>
  <c r="C42" i="13"/>
  <c r="D42" i="13"/>
  <c r="E42" i="13"/>
  <c r="F42" i="13"/>
  <c r="G42" i="13"/>
  <c r="H42" i="13"/>
  <c r="I42" i="13"/>
  <c r="J42" i="13"/>
  <c r="K42" i="13"/>
  <c r="L42" i="13"/>
  <c r="M42" i="13"/>
  <c r="B43" i="13"/>
  <c r="C43" i="13"/>
  <c r="D43" i="13"/>
  <c r="E43" i="13"/>
  <c r="F43" i="13"/>
  <c r="G43" i="13"/>
  <c r="H43" i="13"/>
  <c r="I43" i="13"/>
  <c r="J43" i="13"/>
  <c r="K43" i="13"/>
  <c r="L43" i="13"/>
  <c r="M43" i="13"/>
  <c r="B44" i="13"/>
  <c r="C44" i="13"/>
  <c r="D44" i="13"/>
  <c r="E44" i="13"/>
  <c r="F44" i="13"/>
  <c r="G44" i="13"/>
  <c r="H44" i="13"/>
  <c r="I44" i="13"/>
  <c r="J44" i="13"/>
  <c r="K44" i="13"/>
  <c r="L44" i="13"/>
  <c r="M44" i="13"/>
  <c r="B45" i="13"/>
  <c r="C45" i="13"/>
  <c r="D45" i="13"/>
  <c r="E45" i="13"/>
  <c r="F45" i="13"/>
  <c r="G45" i="13"/>
  <c r="H45" i="13"/>
  <c r="I45" i="13"/>
  <c r="J45" i="13"/>
  <c r="K45" i="13"/>
  <c r="L45" i="13"/>
  <c r="M45" i="13"/>
  <c r="B46" i="13"/>
  <c r="C46" i="13"/>
  <c r="D46" i="13"/>
  <c r="E46" i="13"/>
  <c r="F46" i="13"/>
  <c r="G46" i="13"/>
  <c r="H46" i="13"/>
  <c r="I46" i="13"/>
  <c r="J46" i="13"/>
  <c r="K46" i="13"/>
  <c r="L46" i="13"/>
  <c r="M46" i="13"/>
  <c r="B47" i="13"/>
  <c r="C47" i="13"/>
  <c r="D47" i="13"/>
  <c r="E47" i="13"/>
  <c r="F47" i="13"/>
  <c r="G47" i="13"/>
  <c r="H47" i="13"/>
  <c r="I47" i="13"/>
  <c r="J47" i="13"/>
  <c r="K47" i="13"/>
  <c r="L47" i="13"/>
  <c r="M47" i="13"/>
  <c r="B48" i="13"/>
  <c r="C48" i="13"/>
  <c r="D48" i="13"/>
  <c r="E48" i="13"/>
  <c r="F48" i="13"/>
  <c r="G48" i="13"/>
  <c r="H48" i="13"/>
  <c r="I48" i="13"/>
  <c r="J48" i="13"/>
  <c r="K48" i="13"/>
  <c r="L48" i="13"/>
  <c r="M48" i="13"/>
  <c r="B49" i="13"/>
  <c r="C49" i="13"/>
  <c r="D49" i="13"/>
  <c r="E49" i="13"/>
  <c r="F49" i="13"/>
  <c r="G49" i="13"/>
  <c r="H49" i="13"/>
  <c r="I49" i="13"/>
  <c r="J49" i="13"/>
  <c r="K49" i="13"/>
  <c r="L49" i="13"/>
  <c r="M49" i="13"/>
  <c r="B50" i="13"/>
  <c r="C50" i="13"/>
  <c r="D50" i="13"/>
  <c r="E50" i="13"/>
  <c r="F50" i="13"/>
  <c r="G50" i="13"/>
  <c r="H50" i="13"/>
  <c r="I50" i="13"/>
  <c r="J50" i="13"/>
  <c r="K50" i="13"/>
  <c r="L50" i="13"/>
  <c r="M50" i="13"/>
  <c r="B51" i="13"/>
  <c r="C51" i="13"/>
  <c r="D51" i="13"/>
  <c r="E51" i="13"/>
  <c r="F51" i="13"/>
  <c r="G51" i="13"/>
  <c r="H51" i="13"/>
  <c r="I51" i="13"/>
  <c r="J51" i="13"/>
  <c r="K51" i="13"/>
  <c r="L51" i="13"/>
  <c r="M51" i="13"/>
  <c r="B52" i="13"/>
  <c r="C52" i="13"/>
  <c r="D52" i="13"/>
  <c r="E52" i="13"/>
  <c r="F52" i="13"/>
  <c r="G52" i="13"/>
  <c r="H52" i="13"/>
  <c r="I52" i="13"/>
  <c r="J52" i="13"/>
  <c r="K52" i="13"/>
  <c r="L52" i="13"/>
  <c r="M52" i="13"/>
  <c r="B53" i="13"/>
  <c r="C53" i="13"/>
  <c r="D53" i="13"/>
  <c r="E53" i="13"/>
  <c r="F53" i="13"/>
  <c r="G53" i="13"/>
  <c r="H53" i="13"/>
  <c r="I53" i="13"/>
  <c r="J53" i="13"/>
  <c r="K53" i="13"/>
  <c r="L53" i="13"/>
  <c r="M53" i="13"/>
  <c r="B54" i="13"/>
  <c r="C54" i="13"/>
  <c r="D54" i="13"/>
  <c r="E54" i="13"/>
  <c r="F54" i="13"/>
  <c r="G54" i="13"/>
  <c r="H54" i="13"/>
  <c r="I54" i="13"/>
  <c r="J54" i="13"/>
  <c r="K54" i="13"/>
  <c r="L54" i="13"/>
  <c r="M54" i="13"/>
  <c r="B55" i="13"/>
  <c r="C55" i="13"/>
  <c r="D55" i="13"/>
  <c r="E55" i="13"/>
  <c r="F55" i="13"/>
  <c r="G55" i="13"/>
  <c r="H55" i="13"/>
  <c r="I55" i="13"/>
  <c r="J55" i="13"/>
  <c r="K55" i="13"/>
  <c r="L55" i="13"/>
  <c r="M55" i="13"/>
  <c r="B56" i="13"/>
  <c r="C56" i="13"/>
  <c r="D56" i="13"/>
  <c r="E56" i="13"/>
  <c r="F56" i="13"/>
  <c r="G56" i="13"/>
  <c r="H56" i="13"/>
  <c r="I56" i="13"/>
  <c r="J56" i="13"/>
  <c r="K56" i="13"/>
  <c r="L56" i="13"/>
  <c r="M56" i="13"/>
  <c r="B57" i="13"/>
  <c r="C57" i="13"/>
  <c r="D57" i="13"/>
  <c r="E57" i="13"/>
  <c r="F57" i="13"/>
  <c r="G57" i="13"/>
  <c r="H57" i="13"/>
  <c r="I57" i="13"/>
  <c r="J57" i="13"/>
  <c r="K57" i="13"/>
  <c r="L57" i="13"/>
  <c r="M57" i="13"/>
  <c r="B58" i="13"/>
  <c r="C58" i="13"/>
  <c r="D58" i="13"/>
  <c r="E58" i="13"/>
  <c r="F58" i="13"/>
  <c r="G58" i="13"/>
  <c r="H58" i="13"/>
  <c r="I58" i="13"/>
  <c r="J58" i="13"/>
  <c r="K58" i="13"/>
  <c r="L58" i="13"/>
  <c r="M58" i="13"/>
  <c r="B59" i="13"/>
  <c r="C59" i="13"/>
  <c r="D59" i="13"/>
  <c r="E59" i="13"/>
  <c r="F59" i="13"/>
  <c r="G59" i="13"/>
  <c r="H59" i="13"/>
  <c r="I59" i="13"/>
  <c r="J59" i="13"/>
  <c r="K59" i="13"/>
  <c r="L59" i="13"/>
  <c r="M59" i="13"/>
  <c r="B60" i="13"/>
  <c r="C60" i="13"/>
  <c r="D60" i="13"/>
  <c r="E60" i="13"/>
  <c r="F60" i="13"/>
  <c r="G60" i="13"/>
  <c r="H60" i="13"/>
  <c r="I60" i="13"/>
  <c r="J60" i="13"/>
  <c r="K60" i="13"/>
  <c r="L60" i="13"/>
  <c r="M60" i="13"/>
  <c r="B61" i="13"/>
  <c r="C61" i="13"/>
  <c r="D61" i="13"/>
  <c r="E61" i="13"/>
  <c r="F61" i="13"/>
  <c r="G61" i="13"/>
  <c r="H61" i="13"/>
  <c r="I61" i="13"/>
  <c r="J61" i="13"/>
  <c r="K61" i="13"/>
  <c r="L61" i="13"/>
  <c r="M61" i="13"/>
  <c r="B62" i="13"/>
  <c r="C62" i="13"/>
  <c r="D62" i="13"/>
  <c r="E62" i="13"/>
  <c r="F62" i="13"/>
  <c r="G62" i="13"/>
  <c r="H62" i="13"/>
  <c r="I62" i="13"/>
  <c r="J62" i="13"/>
  <c r="K62" i="13"/>
  <c r="L62" i="13"/>
  <c r="M62" i="13"/>
  <c r="B63" i="13"/>
  <c r="C63" i="13"/>
  <c r="D63" i="13"/>
  <c r="E63" i="13"/>
  <c r="F63" i="13"/>
  <c r="G63" i="13"/>
  <c r="H63" i="13"/>
  <c r="I63" i="13"/>
  <c r="J63" i="13"/>
  <c r="K63" i="13"/>
  <c r="L63" i="13"/>
  <c r="M63" i="13"/>
  <c r="B64" i="13"/>
  <c r="C64" i="13"/>
  <c r="D64" i="13"/>
  <c r="E64" i="13"/>
  <c r="F64" i="13"/>
  <c r="G64" i="13"/>
  <c r="H64" i="13"/>
  <c r="I64" i="13"/>
  <c r="J64" i="13"/>
  <c r="K64" i="13"/>
  <c r="L64" i="13"/>
  <c r="M64" i="13"/>
  <c r="B65" i="13"/>
  <c r="C65" i="13"/>
  <c r="D65" i="13"/>
  <c r="E65" i="13"/>
  <c r="F65" i="13"/>
  <c r="G65" i="13"/>
  <c r="H65" i="13"/>
  <c r="I65" i="13"/>
  <c r="J65" i="13"/>
  <c r="K65" i="13"/>
  <c r="L65" i="13"/>
  <c r="M65" i="13"/>
  <c r="B66" i="13"/>
  <c r="C66" i="13"/>
  <c r="D66" i="13"/>
  <c r="E66" i="13"/>
  <c r="F66" i="13"/>
  <c r="G66" i="13"/>
  <c r="H66" i="13"/>
  <c r="I66" i="13"/>
  <c r="J66" i="13"/>
  <c r="K66" i="13"/>
  <c r="L66" i="13"/>
  <c r="M66" i="13"/>
  <c r="B67" i="13"/>
  <c r="C67" i="13"/>
  <c r="D67" i="13"/>
  <c r="E67" i="13"/>
  <c r="F67" i="13"/>
  <c r="H67" i="13"/>
  <c r="I67" i="13"/>
  <c r="J67" i="13"/>
  <c r="K67" i="13"/>
  <c r="L67" i="13"/>
  <c r="M67" i="13"/>
  <c r="M24" i="13"/>
  <c r="L24" i="13"/>
  <c r="K24" i="13"/>
  <c r="J24" i="13"/>
  <c r="I24" i="13"/>
  <c r="H24" i="13"/>
  <c r="G24" i="13"/>
  <c r="F24" i="13"/>
  <c r="E24" i="13"/>
  <c r="D24" i="13"/>
  <c r="C24" i="13"/>
  <c r="B24" i="13"/>
  <c r="N16" i="13"/>
  <c r="K16" i="13"/>
  <c r="AM22" i="13" s="1"/>
  <c r="J16" i="13"/>
  <c r="AM21" i="13" s="1"/>
  <c r="I16" i="13"/>
  <c r="H16" i="13"/>
  <c r="AC22" i="13" s="1"/>
  <c r="G16" i="13"/>
  <c r="F16" i="13"/>
  <c r="C16" i="13"/>
  <c r="N15" i="13"/>
  <c r="K15" i="13"/>
  <c r="AL22" i="13" s="1"/>
  <c r="J15" i="13"/>
  <c r="AL21" i="13" s="1"/>
  <c r="I15" i="13"/>
  <c r="H15" i="13"/>
  <c r="AB22" i="13" s="1"/>
  <c r="G15" i="13"/>
  <c r="F15" i="13"/>
  <c r="C15" i="13"/>
  <c r="N14" i="13"/>
  <c r="K14" i="13"/>
  <c r="AK22" i="13" s="1"/>
  <c r="J14" i="13"/>
  <c r="AK21" i="13" s="1"/>
  <c r="I14" i="13"/>
  <c r="H14" i="13"/>
  <c r="AA22" i="13" s="1"/>
  <c r="G14" i="13"/>
  <c r="F14" i="13"/>
  <c r="C14" i="13"/>
  <c r="N13" i="13"/>
  <c r="K13" i="13"/>
  <c r="AJ22" i="13" s="1"/>
  <c r="J13" i="13"/>
  <c r="AJ21" i="13" s="1"/>
  <c r="I13" i="13"/>
  <c r="H13" i="13"/>
  <c r="Z22" i="13" s="1"/>
  <c r="G13" i="13"/>
  <c r="F13" i="13"/>
  <c r="C13" i="13"/>
  <c r="N12" i="13"/>
  <c r="K12" i="13"/>
  <c r="AI22" i="13" s="1"/>
  <c r="J12" i="13"/>
  <c r="AI21" i="13" s="1"/>
  <c r="I12" i="13"/>
  <c r="H12" i="13"/>
  <c r="Y22" i="13" s="1"/>
  <c r="G12" i="13"/>
  <c r="F12" i="13"/>
  <c r="C12" i="13"/>
  <c r="N11" i="13"/>
  <c r="K11" i="13"/>
  <c r="J11" i="13"/>
  <c r="I11" i="13"/>
  <c r="H11" i="13"/>
  <c r="G11" i="13"/>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J12" i="11"/>
  <c r="AI21" i="11" s="1"/>
  <c r="K12" i="11"/>
  <c r="AI22" i="11" s="1"/>
  <c r="I13" i="11"/>
  <c r="J13" i="11"/>
  <c r="AJ21" i="11" s="1"/>
  <c r="K13" i="11"/>
  <c r="AJ22" i="11" s="1"/>
  <c r="I14" i="11"/>
  <c r="J14" i="11"/>
  <c r="AK21" i="11" s="1"/>
  <c r="K14" i="11"/>
  <c r="AK22" i="11" s="1"/>
  <c r="I15" i="11"/>
  <c r="J15" i="11"/>
  <c r="AL21" i="11" s="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H25" i="11"/>
  <c r="I25" i="11"/>
  <c r="J25" i="11"/>
  <c r="K25" i="11"/>
  <c r="M25" i="11"/>
  <c r="H26" i="11"/>
  <c r="I26" i="11"/>
  <c r="J26" i="11"/>
  <c r="M26" i="11"/>
  <c r="H27" i="11"/>
  <c r="I27" i="11"/>
  <c r="J27" i="11"/>
  <c r="M27" i="11"/>
  <c r="H28" i="11"/>
  <c r="I28" i="11"/>
  <c r="J28" i="11"/>
  <c r="M28" i="11"/>
  <c r="H29" i="11"/>
  <c r="I29" i="11"/>
  <c r="J29" i="11"/>
  <c r="M29" i="11"/>
  <c r="H30" i="11"/>
  <c r="I30" i="11"/>
  <c r="J30" i="11"/>
  <c r="M30" i="11"/>
  <c r="H31" i="11"/>
  <c r="I31" i="11"/>
  <c r="J31" i="11"/>
  <c r="M31" i="11"/>
  <c r="H32" i="11"/>
  <c r="I32" i="11"/>
  <c r="J32" i="11"/>
  <c r="M32" i="11"/>
  <c r="H33" i="11"/>
  <c r="I33" i="11"/>
  <c r="J33" i="11"/>
  <c r="M33" i="11"/>
  <c r="H34" i="11"/>
  <c r="I34" i="11"/>
  <c r="J34" i="11"/>
  <c r="M34" i="11"/>
  <c r="H35" i="11"/>
  <c r="I35" i="11"/>
  <c r="J35" i="11"/>
  <c r="M35" i="11"/>
  <c r="H36" i="11"/>
  <c r="I36" i="11"/>
  <c r="J36" i="11"/>
  <c r="M36" i="11"/>
  <c r="H37" i="11"/>
  <c r="I37" i="11"/>
  <c r="J37" i="11"/>
  <c r="M37" i="11"/>
  <c r="H38" i="11"/>
  <c r="I38" i="11"/>
  <c r="J38" i="11"/>
  <c r="M38" i="11"/>
  <c r="H39" i="11"/>
  <c r="I39" i="11"/>
  <c r="J39" i="11"/>
  <c r="M39" i="11"/>
  <c r="H40" i="11"/>
  <c r="I40" i="11"/>
  <c r="J40" i="11"/>
  <c r="M40" i="11"/>
  <c r="H41" i="11"/>
  <c r="I41" i="11"/>
  <c r="J41" i="11"/>
  <c r="M41" i="11"/>
  <c r="H42" i="11"/>
  <c r="I42" i="11"/>
  <c r="J42" i="11"/>
  <c r="M42" i="11"/>
  <c r="H43" i="11"/>
  <c r="I43" i="11"/>
  <c r="J43" i="11"/>
  <c r="M43" i="11"/>
  <c r="H44" i="11"/>
  <c r="I44" i="11"/>
  <c r="J44" i="11"/>
  <c r="M44" i="11"/>
  <c r="H45" i="11"/>
  <c r="I45" i="11"/>
  <c r="J45" i="11"/>
  <c r="M45" i="11"/>
  <c r="H46" i="11"/>
  <c r="I46" i="11"/>
  <c r="J46" i="11"/>
  <c r="M46" i="11"/>
  <c r="H47" i="11"/>
  <c r="I47" i="11"/>
  <c r="J47" i="11"/>
  <c r="M47" i="11"/>
  <c r="H48" i="11"/>
  <c r="I48" i="11"/>
  <c r="J48" i="11"/>
  <c r="M48" i="11"/>
  <c r="H49" i="11"/>
  <c r="I49" i="11"/>
  <c r="J49" i="11"/>
  <c r="M49" i="11"/>
  <c r="H50" i="11"/>
  <c r="I50" i="11"/>
  <c r="J50" i="11"/>
  <c r="M50" i="11"/>
  <c r="H51" i="11"/>
  <c r="I51" i="11"/>
  <c r="J51" i="11"/>
  <c r="M51" i="11"/>
  <c r="H52" i="11"/>
  <c r="I52" i="11"/>
  <c r="J52" i="11"/>
  <c r="M52" i="11"/>
  <c r="H53" i="11"/>
  <c r="I53" i="11"/>
  <c r="J53" i="11"/>
  <c r="M53" i="11"/>
  <c r="H54" i="11"/>
  <c r="I54" i="11"/>
  <c r="J54" i="11"/>
  <c r="M54" i="11"/>
  <c r="H55" i="11"/>
  <c r="I55" i="11"/>
  <c r="J55" i="11"/>
  <c r="M55" i="11"/>
  <c r="H56" i="11"/>
  <c r="I56" i="11"/>
  <c r="J56" i="11"/>
  <c r="M56" i="11"/>
  <c r="H57" i="11"/>
  <c r="I57" i="11"/>
  <c r="J57" i="11"/>
  <c r="M57" i="11"/>
  <c r="H58" i="11"/>
  <c r="I58" i="11"/>
  <c r="J58" i="11"/>
  <c r="M58" i="11"/>
  <c r="H59" i="11"/>
  <c r="I59" i="11"/>
  <c r="J59" i="11"/>
  <c r="M59" i="11"/>
  <c r="H60" i="11"/>
  <c r="I60" i="11"/>
  <c r="J60" i="11"/>
  <c r="M60" i="11"/>
  <c r="H61" i="11"/>
  <c r="I61" i="11"/>
  <c r="J61" i="11"/>
  <c r="M61" i="11"/>
  <c r="H62" i="11"/>
  <c r="I62" i="11"/>
  <c r="J62" i="11"/>
  <c r="M62" i="11"/>
  <c r="H63" i="11"/>
  <c r="I63" i="11"/>
  <c r="J63" i="11"/>
  <c r="M63" i="11"/>
  <c r="H64" i="11"/>
  <c r="I64" i="11"/>
  <c r="J64" i="11"/>
  <c r="M64" i="11"/>
  <c r="H65" i="11"/>
  <c r="I65" i="11"/>
  <c r="J65" i="11"/>
  <c r="M65" i="11"/>
  <c r="H66" i="11"/>
  <c r="I66" i="11"/>
  <c r="J66" i="11"/>
  <c r="M66" i="11"/>
  <c r="H67" i="11"/>
  <c r="I67" i="11"/>
  <c r="J67" i="11"/>
  <c r="M67" i="11"/>
  <c r="I24" i="11"/>
  <c r="J24" i="11"/>
  <c r="K24" i="11"/>
  <c r="L24" i="11"/>
  <c r="M24"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F45" i="11"/>
  <c r="G45" i="11"/>
  <c r="C46" i="11"/>
  <c r="D46" i="11"/>
  <c r="E46" i="11"/>
  <c r="F46" i="11"/>
  <c r="G46" i="11"/>
  <c r="C47" i="11"/>
  <c r="D47" i="11"/>
  <c r="E47" i="11"/>
  <c r="F47" i="11"/>
  <c r="G47" i="11"/>
  <c r="C48" i="11"/>
  <c r="D48" i="11"/>
  <c r="E48" i="11"/>
  <c r="F48" i="11"/>
  <c r="G48" i="11"/>
  <c r="C49" i="11"/>
  <c r="D49" i="11"/>
  <c r="E49" i="11"/>
  <c r="F49" i="11"/>
  <c r="G49" i="11"/>
  <c r="C50" i="11"/>
  <c r="D50" i="11"/>
  <c r="E50" i="11"/>
  <c r="F50" i="11"/>
  <c r="G50" i="11"/>
  <c r="C51" i="11"/>
  <c r="D51" i="11"/>
  <c r="E51" i="11"/>
  <c r="F51" i="11"/>
  <c r="G51" i="11"/>
  <c r="C52" i="11"/>
  <c r="D52" i="11"/>
  <c r="E52" i="11"/>
  <c r="F52" i="11"/>
  <c r="G52" i="11"/>
  <c r="C53" i="11"/>
  <c r="D53" i="11"/>
  <c r="E53" i="11"/>
  <c r="F53" i="11"/>
  <c r="G53" i="11"/>
  <c r="C54" i="11"/>
  <c r="D54" i="11"/>
  <c r="E54" i="11"/>
  <c r="F54" i="11"/>
  <c r="G54" i="11"/>
  <c r="C55" i="11"/>
  <c r="D55" i="11"/>
  <c r="E55" i="11"/>
  <c r="F55" i="11"/>
  <c r="G55" i="11"/>
  <c r="C56" i="11"/>
  <c r="D56" i="11"/>
  <c r="E56" i="11"/>
  <c r="F56" i="11"/>
  <c r="G56" i="11"/>
  <c r="C57" i="11"/>
  <c r="D57" i="11"/>
  <c r="E57" i="11"/>
  <c r="F57" i="11"/>
  <c r="G57" i="11"/>
  <c r="C58" i="11"/>
  <c r="D58" i="11"/>
  <c r="E58" i="11"/>
  <c r="F58" i="11"/>
  <c r="G58" i="11"/>
  <c r="C59" i="11"/>
  <c r="D59" i="11"/>
  <c r="E59" i="11"/>
  <c r="F59" i="11"/>
  <c r="G59" i="11"/>
  <c r="C60" i="11"/>
  <c r="D60" i="11"/>
  <c r="E60" i="11"/>
  <c r="F60" i="11"/>
  <c r="G60" i="11"/>
  <c r="C61" i="11"/>
  <c r="D61" i="11"/>
  <c r="E61" i="11"/>
  <c r="F61" i="11"/>
  <c r="G61" i="11"/>
  <c r="C62" i="11"/>
  <c r="D62" i="11"/>
  <c r="E62" i="11"/>
  <c r="F62" i="11"/>
  <c r="G62" i="11"/>
  <c r="C63" i="11"/>
  <c r="D63" i="11"/>
  <c r="E63" i="11"/>
  <c r="F63" i="11"/>
  <c r="G63" i="11"/>
  <c r="C64" i="11"/>
  <c r="D64" i="11"/>
  <c r="E64" i="11"/>
  <c r="F64" i="11"/>
  <c r="G64" i="11"/>
  <c r="C65" i="11"/>
  <c r="D65" i="11"/>
  <c r="E65" i="11"/>
  <c r="F65" i="11"/>
  <c r="G65" i="11"/>
  <c r="C66" i="11"/>
  <c r="D66" i="11"/>
  <c r="E66" i="11"/>
  <c r="F66" i="11"/>
  <c r="G66" i="11"/>
  <c r="C67" i="11"/>
  <c r="D67" i="11"/>
  <c r="E67" i="11"/>
  <c r="F67" i="11"/>
  <c r="G67" i="11"/>
  <c r="C24" i="11"/>
  <c r="D24" i="11"/>
  <c r="E24" i="11"/>
  <c r="F24" i="11"/>
  <c r="G24" i="11"/>
  <c r="B24" i="11"/>
  <c r="Y7" i="15"/>
  <c r="Z7" i="15"/>
  <c r="AA7" i="15"/>
  <c r="AB7" i="15"/>
  <c r="AC7" i="15"/>
  <c r="Y8" i="15"/>
  <c r="Z8" i="15"/>
  <c r="AA8" i="15"/>
  <c r="AB8" i="15"/>
  <c r="AC8" i="15"/>
  <c r="X8" i="15"/>
  <c r="X7" i="15"/>
  <c r="H21" i="13" l="1"/>
  <c r="N22" i="13"/>
  <c r="J21" i="13"/>
  <c r="P22" i="13"/>
  <c r="L21" i="13"/>
  <c r="R22" i="13"/>
  <c r="I21" i="13"/>
  <c r="O22" i="13"/>
  <c r="K21" i="13"/>
  <c r="Q22" i="13"/>
  <c r="M21" i="13"/>
  <c r="S22" i="13"/>
  <c r="M74" i="23"/>
  <c r="N73" i="23"/>
  <c r="N26" i="23"/>
  <c r="J19" i="23" s="1"/>
  <c r="I7" i="15"/>
  <c r="J7" i="15"/>
  <c r="K7" i="15"/>
  <c r="L7" i="15"/>
  <c r="M7" i="15"/>
  <c r="I8" i="15"/>
  <c r="J8" i="15"/>
  <c r="K8" i="15"/>
  <c r="L8" i="15"/>
  <c r="M8" i="15"/>
  <c r="H8" i="15"/>
  <c r="H7" i="15"/>
  <c r="L7" i="14"/>
  <c r="I8" i="14"/>
  <c r="J8" i="14"/>
  <c r="K8" i="14"/>
  <c r="L8" i="14"/>
  <c r="M8" i="14"/>
  <c r="H8" i="14"/>
  <c r="I7" i="14"/>
  <c r="J7" i="14"/>
  <c r="K7" i="14"/>
  <c r="M7" i="14"/>
  <c r="H7" i="14"/>
  <c r="Q16" i="11"/>
  <c r="Q15" i="11"/>
  <c r="Q14" i="11"/>
  <c r="Q13" i="11"/>
  <c r="Q12" i="11"/>
  <c r="Q11" i="11"/>
  <c r="M75" i="23" l="1"/>
  <c r="N74" i="23"/>
  <c r="N27" i="23"/>
  <c r="K37" i="23" s="1"/>
  <c r="K27" i="11"/>
  <c r="M76" i="23" l="1"/>
  <c r="N75" i="23"/>
  <c r="N28" i="23"/>
  <c r="K28" i="11"/>
  <c r="M77" i="23" l="1"/>
  <c r="N76" i="23"/>
  <c r="N29" i="23"/>
  <c r="J20" i="23" s="1"/>
  <c r="K29" i="11"/>
  <c r="M78" i="23" l="1"/>
  <c r="N77" i="23"/>
  <c r="N30" i="23"/>
  <c r="K38" i="23" s="1"/>
  <c r="K30" i="11"/>
  <c r="M79" i="23" l="1"/>
  <c r="N78" i="23"/>
  <c r="N31" i="23"/>
  <c r="J21" i="23" s="1"/>
  <c r="K31" i="11"/>
  <c r="D4" i="11"/>
  <c r="D3" i="11"/>
  <c r="M80" i="23" l="1"/>
  <c r="N79" i="23"/>
  <c r="N32" i="23"/>
  <c r="K39" i="23" s="1"/>
  <c r="K32" i="11"/>
  <c r="R7" i="15"/>
  <c r="S7" i="15"/>
  <c r="T7" i="15"/>
  <c r="U7" i="15"/>
  <c r="V7" i="15"/>
  <c r="W7" i="15"/>
  <c r="AU18" i="13"/>
  <c r="AV18" i="13" s="1"/>
  <c r="AQ17" i="13"/>
  <c r="AO18" i="13"/>
  <c r="AO17" i="13"/>
  <c r="AR66" i="13" l="1"/>
  <c r="AR67" i="13"/>
  <c r="AR51" i="13"/>
  <c r="AR56" i="13"/>
  <c r="AR57" i="13"/>
  <c r="AR64" i="13"/>
  <c r="AR65" i="13"/>
  <c r="AR58" i="13"/>
  <c r="AR62" i="13"/>
  <c r="AR63" i="13"/>
  <c r="AR60" i="13"/>
  <c r="AR61" i="13"/>
  <c r="AR59" i="13"/>
  <c r="AR54" i="13"/>
  <c r="AR55" i="13"/>
  <c r="AR52" i="13"/>
  <c r="AR53" i="13"/>
  <c r="AQ66" i="13"/>
  <c r="AQ50" i="13"/>
  <c r="AQ34" i="13"/>
  <c r="AP60" i="13"/>
  <c r="AP44" i="13"/>
  <c r="AP28" i="13"/>
  <c r="AO58" i="13"/>
  <c r="AO42" i="13"/>
  <c r="AO26" i="13"/>
  <c r="AN56" i="13"/>
  <c r="AR45" i="13"/>
  <c r="AR37" i="13"/>
  <c r="AR29" i="13"/>
  <c r="AQ63" i="13"/>
  <c r="AQ47" i="13"/>
  <c r="AQ31" i="13"/>
  <c r="AP61" i="13"/>
  <c r="AP45" i="13"/>
  <c r="AP29" i="13"/>
  <c r="AO53" i="13"/>
  <c r="AO37" i="13"/>
  <c r="AN67" i="13"/>
  <c r="AN51" i="13"/>
  <c r="AN43" i="13"/>
  <c r="AN35" i="13"/>
  <c r="AN27" i="13"/>
  <c r="AO38" i="13"/>
  <c r="AR43" i="13"/>
  <c r="AR35" i="13"/>
  <c r="AR27" i="13"/>
  <c r="AQ43" i="13"/>
  <c r="AQ27" i="13"/>
  <c r="AP57" i="13"/>
  <c r="AP41" i="13"/>
  <c r="AO49" i="13"/>
  <c r="AO33" i="13"/>
  <c r="AN49" i="13"/>
  <c r="AN41" i="13"/>
  <c r="AN25" i="13"/>
  <c r="AO46" i="13"/>
  <c r="AQ35" i="13"/>
  <c r="AO41" i="13"/>
  <c r="AN37" i="13"/>
  <c r="AO28" i="13"/>
  <c r="AO39" i="13"/>
  <c r="AQ64" i="13"/>
  <c r="AQ48" i="13"/>
  <c r="AQ32" i="13"/>
  <c r="AP58" i="13"/>
  <c r="AP42" i="13"/>
  <c r="AP26" i="13"/>
  <c r="AO56" i="13"/>
  <c r="AO40" i="13"/>
  <c r="AR24" i="13"/>
  <c r="AN54" i="13"/>
  <c r="AN44" i="13"/>
  <c r="AN36" i="13"/>
  <c r="AN28" i="13"/>
  <c r="AQ61" i="13"/>
  <c r="AQ45" i="13"/>
  <c r="AQ29" i="13"/>
  <c r="AP59" i="13"/>
  <c r="AP43" i="13"/>
  <c r="AP27" i="13"/>
  <c r="AO51" i="13"/>
  <c r="AO35" i="13"/>
  <c r="AN65" i="13"/>
  <c r="AR50" i="13"/>
  <c r="AR42" i="13"/>
  <c r="AR34" i="13"/>
  <c r="AR26" i="13"/>
  <c r="AP49" i="13"/>
  <c r="AQ62" i="13"/>
  <c r="AQ46" i="13"/>
  <c r="AQ30" i="13"/>
  <c r="AP56" i="13"/>
  <c r="AP40" i="13"/>
  <c r="AO67" i="13"/>
  <c r="AO54" i="13"/>
  <c r="AO24" i="13"/>
  <c r="AN52" i="13"/>
  <c r="AQ59" i="13"/>
  <c r="AP25" i="13"/>
  <c r="AN63" i="13"/>
  <c r="AN33" i="13"/>
  <c r="AQ60" i="13"/>
  <c r="AQ44" i="13"/>
  <c r="AQ28" i="13"/>
  <c r="AP54" i="13"/>
  <c r="AP38" i="13"/>
  <c r="AN24" i="13"/>
  <c r="AO52" i="13"/>
  <c r="AO36" i="13"/>
  <c r="AN66" i="13"/>
  <c r="AN50" i="13"/>
  <c r="AN42" i="13"/>
  <c r="AN34" i="13"/>
  <c r="AN26" i="13"/>
  <c r="AQ57" i="13"/>
  <c r="AQ41" i="13"/>
  <c r="AQ25" i="13"/>
  <c r="AP55" i="13"/>
  <c r="AP39" i="13"/>
  <c r="AO63" i="13"/>
  <c r="AO47" i="13"/>
  <c r="AO31" i="13"/>
  <c r="AN61" i="13"/>
  <c r="AR48" i="13"/>
  <c r="AR40" i="13"/>
  <c r="AR32" i="13"/>
  <c r="AR47" i="13"/>
  <c r="AN55" i="13"/>
  <c r="AN38" i="13"/>
  <c r="AP63" i="13"/>
  <c r="AO55" i="13"/>
  <c r="AR44" i="13"/>
  <c r="AQ58" i="13"/>
  <c r="AQ42" i="13"/>
  <c r="AQ26" i="13"/>
  <c r="AP52" i="13"/>
  <c r="AP36" i="13"/>
  <c r="AO66" i="13"/>
  <c r="AO50" i="13"/>
  <c r="AO34" i="13"/>
  <c r="AN64" i="13"/>
  <c r="AR49" i="13"/>
  <c r="AR41" i="13"/>
  <c r="AR33" i="13"/>
  <c r="AR25" i="13"/>
  <c r="AQ55" i="13"/>
  <c r="AQ39" i="13"/>
  <c r="AQ24" i="13"/>
  <c r="AP53" i="13"/>
  <c r="AP37" i="13"/>
  <c r="AO61" i="13"/>
  <c r="AO45" i="13"/>
  <c r="AO29" i="13"/>
  <c r="AN59" i="13"/>
  <c r="AN47" i="13"/>
  <c r="AN39" i="13"/>
  <c r="AN31" i="13"/>
  <c r="AN60" i="13"/>
  <c r="AQ51" i="13"/>
  <c r="AO57" i="13"/>
  <c r="AN45" i="13"/>
  <c r="AN58" i="13"/>
  <c r="AP47" i="13"/>
  <c r="AO65" i="13"/>
  <c r="AQ56" i="13"/>
  <c r="AQ40" i="13"/>
  <c r="AP66" i="13"/>
  <c r="AP50" i="13"/>
  <c r="AP34" i="13"/>
  <c r="AO64" i="13"/>
  <c r="AO48" i="13"/>
  <c r="AO32" i="13"/>
  <c r="AN62" i="13"/>
  <c r="AN48" i="13"/>
  <c r="AN40" i="13"/>
  <c r="AN32" i="13"/>
  <c r="AP24" i="13"/>
  <c r="AQ53" i="13"/>
  <c r="AQ37" i="13"/>
  <c r="AP67" i="13"/>
  <c r="AP51" i="13"/>
  <c r="AP35" i="13"/>
  <c r="AO59" i="13"/>
  <c r="AO43" i="13"/>
  <c r="AO27" i="13"/>
  <c r="AN57" i="13"/>
  <c r="AR46" i="13"/>
  <c r="AR38" i="13"/>
  <c r="AR30" i="13"/>
  <c r="AP32" i="13"/>
  <c r="AO30" i="13"/>
  <c r="AR39" i="13"/>
  <c r="AQ67" i="13"/>
  <c r="AP65" i="13"/>
  <c r="AO25" i="13"/>
  <c r="AR36" i="13"/>
  <c r="AQ54" i="13"/>
  <c r="AQ38" i="13"/>
  <c r="AP64" i="13"/>
  <c r="AP48" i="13"/>
  <c r="AO62" i="13"/>
  <c r="AR31" i="13"/>
  <c r="AP33" i="13"/>
  <c r="AN29" i="13"/>
  <c r="AQ65" i="13"/>
  <c r="AR28" i="13"/>
  <c r="AQ52" i="13"/>
  <c r="AQ36" i="13"/>
  <c r="AP62" i="13"/>
  <c r="AP46" i="13"/>
  <c r="AP30" i="13"/>
  <c r="AO60" i="13"/>
  <c r="AO44" i="13"/>
  <c r="AN46" i="13"/>
  <c r="AN30" i="13"/>
  <c r="AQ49" i="13"/>
  <c r="AQ33" i="13"/>
  <c r="AP31" i="13"/>
  <c r="AN53" i="13"/>
  <c r="M81" i="23"/>
  <c r="N80" i="23"/>
  <c r="N33" i="23"/>
  <c r="K33" i="11"/>
  <c r="M82" i="23" l="1"/>
  <c r="N81" i="23"/>
  <c r="N34" i="23"/>
  <c r="J22" i="23" s="1"/>
  <c r="K34" i="11"/>
  <c r="M83" i="23" l="1"/>
  <c r="N82" i="23"/>
  <c r="N35" i="23"/>
  <c r="K40" i="23" s="1"/>
  <c r="K35" i="11"/>
  <c r="AD23" i="1"/>
  <c r="M84" i="23" l="1"/>
  <c r="N83" i="23"/>
  <c r="N36" i="23"/>
  <c r="L25" i="11"/>
  <c r="K36" i="11"/>
  <c r="AD24" i="1"/>
  <c r="J32" i="23" l="1"/>
  <c r="J33" i="23"/>
  <c r="J36" i="23"/>
  <c r="K50" i="23"/>
  <c r="J34" i="23"/>
  <c r="J31" i="23"/>
  <c r="K49" i="23"/>
  <c r="K51" i="23"/>
  <c r="J35" i="23"/>
  <c r="K52" i="23"/>
  <c r="M85" i="23"/>
  <c r="N84" i="23"/>
  <c r="N37" i="23"/>
  <c r="J23" i="23" s="1"/>
  <c r="K37" i="11"/>
  <c r="L26" i="11"/>
  <c r="AD25" i="1"/>
  <c r="M86" i="23" l="1"/>
  <c r="N85" i="23"/>
  <c r="N38" i="23"/>
  <c r="K41" i="23" s="1"/>
  <c r="L27" i="11"/>
  <c r="K38" i="11"/>
  <c r="AD26" i="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L55" i="1"/>
  <c r="M55" i="1"/>
  <c r="K56" i="1"/>
  <c r="L56" i="1"/>
  <c r="M56" i="1"/>
  <c r="K57" i="1"/>
  <c r="L57" i="1"/>
  <c r="M57" i="1"/>
  <c r="K58" i="1"/>
  <c r="L58" i="1"/>
  <c r="M58" i="1"/>
  <c r="K59" i="1"/>
  <c r="L59" i="1"/>
  <c r="M59" i="1"/>
  <c r="K60" i="1"/>
  <c r="L60" i="1"/>
  <c r="M60" i="1"/>
  <c r="K61" i="1"/>
  <c r="L61" i="1"/>
  <c r="M61" i="1"/>
  <c r="K62" i="1"/>
  <c r="L62" i="1"/>
  <c r="M62" i="1"/>
  <c r="K63" i="1"/>
  <c r="L63" i="1"/>
  <c r="M63" i="1"/>
  <c r="K64" i="1"/>
  <c r="L64" i="1"/>
  <c r="M64" i="1"/>
  <c r="K65" i="1"/>
  <c r="L65" i="1"/>
  <c r="M65" i="1"/>
  <c r="I23" i="1"/>
  <c r="J23" i="1"/>
  <c r="I24" i="1"/>
  <c r="J24" i="1"/>
  <c r="I25" i="1"/>
  <c r="J25" i="1"/>
  <c r="I26" i="1"/>
  <c r="J26" i="1"/>
  <c r="I27" i="1"/>
  <c r="J27" i="1"/>
  <c r="I28" i="1"/>
  <c r="J28" i="1"/>
  <c r="I29" i="1"/>
  <c r="J29" i="1"/>
  <c r="I30" i="1"/>
  <c r="J30" i="1"/>
  <c r="I31" i="1"/>
  <c r="J31" i="1"/>
  <c r="I32" i="1"/>
  <c r="J32" i="1"/>
  <c r="I33" i="1"/>
  <c r="J33" i="1"/>
  <c r="I34" i="1"/>
  <c r="J34" i="1"/>
  <c r="I35" i="1"/>
  <c r="J35" i="1"/>
  <c r="I36" i="1"/>
  <c r="J36" i="1"/>
  <c r="I37" i="1"/>
  <c r="J37" i="1"/>
  <c r="I38" i="1"/>
  <c r="J38" i="1"/>
  <c r="I39" i="1"/>
  <c r="J39" i="1"/>
  <c r="I40" i="1"/>
  <c r="J40" i="1"/>
  <c r="I41" i="1"/>
  <c r="J41" i="1"/>
  <c r="I42" i="1"/>
  <c r="J42" i="1"/>
  <c r="I43" i="1"/>
  <c r="J43" i="1"/>
  <c r="I44" i="1"/>
  <c r="J44" i="1"/>
  <c r="I45" i="1"/>
  <c r="J45" i="1"/>
  <c r="I46" i="1"/>
  <c r="J46" i="1"/>
  <c r="I47" i="1"/>
  <c r="J47" i="1"/>
  <c r="I48" i="1"/>
  <c r="J48" i="1"/>
  <c r="I49" i="1"/>
  <c r="J49" i="1"/>
  <c r="I50" i="1"/>
  <c r="J50" i="1"/>
  <c r="I51" i="1"/>
  <c r="J51" i="1"/>
  <c r="I52" i="1"/>
  <c r="J52" i="1"/>
  <c r="I53" i="1"/>
  <c r="J53" i="1"/>
  <c r="I54" i="1"/>
  <c r="J54" i="1"/>
  <c r="I55" i="1"/>
  <c r="J55" i="1"/>
  <c r="I56" i="1"/>
  <c r="J56" i="1"/>
  <c r="I57" i="1"/>
  <c r="J57" i="1"/>
  <c r="I58" i="1"/>
  <c r="J58" i="1"/>
  <c r="I59" i="1"/>
  <c r="J59" i="1"/>
  <c r="I60" i="1"/>
  <c r="J60" i="1"/>
  <c r="I61" i="1"/>
  <c r="J61" i="1"/>
  <c r="I62" i="1"/>
  <c r="J62" i="1"/>
  <c r="I63" i="1"/>
  <c r="J63" i="1"/>
  <c r="I64" i="1"/>
  <c r="J64" i="1"/>
  <c r="I65" i="1"/>
  <c r="J65" i="1"/>
  <c r="J22" i="1"/>
  <c r="I22" i="1"/>
  <c r="B25" i="11"/>
  <c r="M87" i="23" l="1"/>
  <c r="N86" i="23"/>
  <c r="N39" i="23"/>
  <c r="L28" i="11"/>
  <c r="K39" i="11"/>
  <c r="AD27" i="1"/>
  <c r="B26" i="11"/>
  <c r="AL23" i="11"/>
  <c r="M88" i="23" l="1"/>
  <c r="N87" i="23"/>
  <c r="N40" i="23"/>
  <c r="L29" i="11"/>
  <c r="K40" i="11"/>
  <c r="AD28" i="1"/>
  <c r="B27" i="11"/>
  <c r="J24" i="23" l="1"/>
  <c r="K42" i="23"/>
  <c r="M89" i="23"/>
  <c r="N88" i="23"/>
  <c r="N41" i="23"/>
  <c r="L30" i="11"/>
  <c r="K41" i="11"/>
  <c r="AD29" i="1"/>
  <c r="B28" i="11"/>
  <c r="AV21" i="11"/>
  <c r="M90" i="23" l="1"/>
  <c r="N89" i="23"/>
  <c r="N42" i="23"/>
  <c r="L31" i="11"/>
  <c r="K42" i="11"/>
  <c r="AD30" i="1"/>
  <c r="B29" i="11"/>
  <c r="P15" i="13"/>
  <c r="P16" i="13"/>
  <c r="P14" i="13"/>
  <c r="V22" i="11"/>
  <c r="W22" i="11"/>
  <c r="X22" i="1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W8" i="15"/>
  <c r="V8" i="15"/>
  <c r="U8" i="15"/>
  <c r="T8" i="15"/>
  <c r="S8" i="15"/>
  <c r="R8" i="15"/>
  <c r="G8" i="15"/>
  <c r="F8" i="15"/>
  <c r="E8" i="15"/>
  <c r="D8" i="15"/>
  <c r="C8" i="15"/>
  <c r="B8" i="15"/>
  <c r="C7" i="15"/>
  <c r="D7" i="15"/>
  <c r="E7" i="15"/>
  <c r="F7" i="15"/>
  <c r="G7" i="15"/>
  <c r="B7" i="15"/>
  <c r="C8" i="14"/>
  <c r="D8" i="14"/>
  <c r="E8" i="14"/>
  <c r="F8" i="14"/>
  <c r="G8" i="14"/>
  <c r="B8" i="14"/>
  <c r="B7" i="14"/>
  <c r="C7" i="14"/>
  <c r="D7" i="14"/>
  <c r="G7" i="14"/>
  <c r="F7" i="14"/>
  <c r="M91" i="23" l="1"/>
  <c r="N90" i="23"/>
  <c r="N43" i="23"/>
  <c r="L32" i="11"/>
  <c r="K43" i="11"/>
  <c r="AD31" i="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AI30" i="13" s="1"/>
  <c r="Y21" i="13"/>
  <c r="AU21" i="13"/>
  <c r="BC21" i="13"/>
  <c r="K43" i="23" l="1"/>
  <c r="J25" i="23"/>
  <c r="AI44" i="13"/>
  <c r="AI59" i="13"/>
  <c r="AI65" i="13"/>
  <c r="AI56" i="13"/>
  <c r="AI39" i="13"/>
  <c r="AI36" i="13"/>
  <c r="AI66" i="13"/>
  <c r="AI57" i="13"/>
  <c r="AI48" i="13"/>
  <c r="AI31" i="13"/>
  <c r="AI28" i="13"/>
  <c r="AI58" i="13"/>
  <c r="AI49" i="13"/>
  <c r="AI40" i="13"/>
  <c r="AI61" i="13"/>
  <c r="AI67" i="13"/>
  <c r="AI50" i="13"/>
  <c r="AI41" i="13"/>
  <c r="AI32" i="13"/>
  <c r="AI62" i="13"/>
  <c r="AI51" i="13"/>
  <c r="AI42" i="13"/>
  <c r="AI33" i="13"/>
  <c r="AI53" i="13"/>
  <c r="AI54" i="13"/>
  <c r="AI29" i="13"/>
  <c r="AI43" i="13"/>
  <c r="AI34" i="13"/>
  <c r="AI25" i="13"/>
  <c r="AI63" i="13"/>
  <c r="AI46" i="13"/>
  <c r="AI60" i="13"/>
  <c r="AI35" i="13"/>
  <c r="AI26" i="13"/>
  <c r="AI45" i="13"/>
  <c r="AI55" i="13"/>
  <c r="AI38" i="13"/>
  <c r="AI52" i="13"/>
  <c r="AI27" i="13"/>
  <c r="AI37" i="13"/>
  <c r="AI64" i="13"/>
  <c r="AI47" i="13"/>
  <c r="AK24" i="13"/>
  <c r="AM29" i="13"/>
  <c r="AL24" i="13"/>
  <c r="AJ31" i="13"/>
  <c r="AL37" i="13"/>
  <c r="AL25" i="13"/>
  <c r="AM35" i="13"/>
  <c r="AM25" i="13"/>
  <c r="AM37" i="13"/>
  <c r="AM26" i="13"/>
  <c r="AL31" i="13"/>
  <c r="AK26" i="13"/>
  <c r="AJ26" i="13"/>
  <c r="AJ33" i="13"/>
  <c r="AK32" i="13"/>
  <c r="AM31" i="13"/>
  <c r="AM28" i="13"/>
  <c r="AL33" i="13"/>
  <c r="AL28" i="13"/>
  <c r="AL27" i="13"/>
  <c r="AK31" i="13"/>
  <c r="AM33" i="13"/>
  <c r="AL30" i="13"/>
  <c r="AL35" i="13"/>
  <c r="AL26" i="13"/>
  <c r="AM24" i="13"/>
  <c r="AM34" i="13"/>
  <c r="AL36" i="13"/>
  <c r="AL34" i="13"/>
  <c r="AK33" i="13"/>
  <c r="AK25" i="13"/>
  <c r="AJ29" i="13"/>
  <c r="AJ28" i="13"/>
  <c r="AI24" i="13"/>
  <c r="AM27" i="13"/>
  <c r="AM36" i="13"/>
  <c r="AL29" i="13"/>
  <c r="AK27" i="13"/>
  <c r="AJ25" i="13"/>
  <c r="AM32" i="13"/>
  <c r="AM30" i="13"/>
  <c r="AK28" i="13"/>
  <c r="AJ27" i="13"/>
  <c r="AJ30" i="13"/>
  <c r="AJ24" i="13"/>
  <c r="AL32" i="13"/>
  <c r="AK29" i="13"/>
  <c r="AK30" i="13"/>
  <c r="AJ32" i="13"/>
  <c r="M92" i="23"/>
  <c r="N91" i="23"/>
  <c r="N44" i="23"/>
  <c r="L33" i="11"/>
  <c r="K44" i="11"/>
  <c r="AD32" i="1"/>
  <c r="B31" i="11"/>
  <c r="M93" i="23" l="1"/>
  <c r="N92" i="23"/>
  <c r="N45" i="23"/>
  <c r="L34" i="11"/>
  <c r="K45" i="11"/>
  <c r="AD33" i="1"/>
  <c r="B32" i="11"/>
  <c r="AI23" i="11"/>
  <c r="AD21" i="11"/>
  <c r="AD22" i="11"/>
  <c r="AJ23" i="11"/>
  <c r="AE21" i="11"/>
  <c r="AE22" i="11"/>
  <c r="AK23" i="11"/>
  <c r="AF21" i="11"/>
  <c r="AF22" i="11"/>
  <c r="AG21" i="11"/>
  <c r="AG22" i="11"/>
  <c r="AM23" i="11"/>
  <c r="AH21" i="11"/>
  <c r="AH22" i="11"/>
  <c r="BC21" i="11"/>
  <c r="W68" i="11"/>
  <c r="X68" i="11"/>
  <c r="M94" i="23" l="1"/>
  <c r="N93" i="23"/>
  <c r="N46" i="23"/>
  <c r="L35" i="11"/>
  <c r="K46" i="11"/>
  <c r="AD34" i="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6" i="23" l="1"/>
  <c r="K44" i="23"/>
  <c r="AK24" i="11"/>
  <c r="AK35" i="11"/>
  <c r="AK26" i="11"/>
  <c r="AM42" i="11"/>
  <c r="AM38" i="11"/>
  <c r="AM40" i="11"/>
  <c r="AM30" i="11"/>
  <c r="AL28" i="11"/>
  <c r="AL34" i="11"/>
  <c r="AL36" i="11"/>
  <c r="AL29" i="11"/>
  <c r="AL24" i="11"/>
  <c r="AL30" i="11"/>
  <c r="AL37" i="11"/>
  <c r="AL31" i="11"/>
  <c r="AL32" i="11"/>
  <c r="AL39" i="11"/>
  <c r="AL38" i="11"/>
  <c r="AL27" i="11"/>
  <c r="AL35" i="11"/>
  <c r="AL33" i="11"/>
  <c r="AL26" i="11"/>
  <c r="AL25" i="11"/>
  <c r="AK33" i="11"/>
  <c r="AM25" i="11"/>
  <c r="AM41" i="11"/>
  <c r="AM24" i="11"/>
  <c r="AK30" i="11"/>
  <c r="AK31" i="11"/>
  <c r="AK37" i="11"/>
  <c r="AK25" i="11"/>
  <c r="AM33" i="11"/>
  <c r="AM26" i="11"/>
  <c r="AM34" i="11"/>
  <c r="AK29" i="11"/>
  <c r="AM32" i="11"/>
  <c r="AK32" i="11"/>
  <c r="AM44" i="11"/>
  <c r="AM45" i="11"/>
  <c r="AM47" i="11"/>
  <c r="AK36" i="11"/>
  <c r="AM36" i="11"/>
  <c r="AM29" i="11"/>
  <c r="AM37" i="11"/>
  <c r="AM43" i="11"/>
  <c r="AM39" i="11"/>
  <c r="AK34" i="11"/>
  <c r="AK27" i="11"/>
  <c r="AM27" i="11"/>
  <c r="AM35" i="11"/>
  <c r="AM28" i="11"/>
  <c r="AM46" i="11"/>
  <c r="M95" i="23"/>
  <c r="N94" i="23"/>
  <c r="N47" i="23"/>
  <c r="L36" i="11"/>
  <c r="K47" i="11"/>
  <c r="AD35" i="1"/>
  <c r="B34" i="11"/>
  <c r="M96" i="23" l="1"/>
  <c r="N95" i="23"/>
  <c r="N48" i="23"/>
  <c r="K48" i="11"/>
  <c r="L37" i="11"/>
  <c r="AD36" i="1"/>
  <c r="B35" i="11"/>
  <c r="M97" i="23" l="1"/>
  <c r="N96" i="23"/>
  <c r="N49" i="23"/>
  <c r="L38" i="11"/>
  <c r="K49" i="11"/>
  <c r="AD37" i="1"/>
  <c r="B36" i="11"/>
  <c r="AC55" i="4"/>
  <c r="AA55" i="4"/>
  <c r="AA56" i="4" s="1"/>
  <c r="AA57" i="4" s="1"/>
  <c r="AA58" i="4" s="1"/>
  <c r="AK58" i="4" s="1"/>
  <c r="AI55" i="4"/>
  <c r="K45" i="23" l="1"/>
  <c r="J27" i="23"/>
  <c r="J37" i="23"/>
  <c r="J39" i="23"/>
  <c r="J38" i="23"/>
  <c r="AL40" i="11"/>
  <c r="O57" i="13"/>
  <c r="O49" i="13"/>
  <c r="O28" i="13"/>
  <c r="O25" i="13"/>
  <c r="O42" i="13"/>
  <c r="Q34" i="13"/>
  <c r="Q33" i="13"/>
  <c r="Q26" i="13"/>
  <c r="N55" i="13"/>
  <c r="N36" i="13"/>
  <c r="N24" i="13"/>
  <c r="N57" i="13"/>
  <c r="N35" i="13"/>
  <c r="N48" i="13"/>
  <c r="R30" i="13"/>
  <c r="P63" i="13"/>
  <c r="P29" i="13"/>
  <c r="P32" i="13"/>
  <c r="P56" i="13"/>
  <c r="P67" i="13"/>
  <c r="N39" i="13"/>
  <c r="N66" i="13"/>
  <c r="N65" i="13"/>
  <c r="P44" i="13"/>
  <c r="P64" i="13"/>
  <c r="P49" i="13"/>
  <c r="O24" i="13"/>
  <c r="O62" i="13"/>
  <c r="O59" i="13"/>
  <c r="O61" i="13"/>
  <c r="O27" i="13"/>
  <c r="O34" i="13"/>
  <c r="Q35" i="13"/>
  <c r="Q31" i="13"/>
  <c r="N47" i="13"/>
  <c r="N28" i="13"/>
  <c r="N46" i="13"/>
  <c r="N49" i="13"/>
  <c r="N27" i="13"/>
  <c r="N40" i="13"/>
  <c r="R29" i="13"/>
  <c r="P65" i="13"/>
  <c r="P28" i="13"/>
  <c r="P57" i="13"/>
  <c r="P53" i="13"/>
  <c r="P31" i="13"/>
  <c r="P45" i="13"/>
  <c r="N62" i="13"/>
  <c r="N33" i="13"/>
  <c r="N32" i="13"/>
  <c r="P30" i="13"/>
  <c r="P61" i="13"/>
  <c r="P52" i="13"/>
  <c r="O55" i="13"/>
  <c r="O54" i="13"/>
  <c r="O43" i="13"/>
  <c r="O53" i="13"/>
  <c r="O48" i="13"/>
  <c r="O26" i="13"/>
  <c r="Q25" i="13"/>
  <c r="Q27" i="13"/>
  <c r="O47" i="13"/>
  <c r="O46" i="13"/>
  <c r="O33" i="13"/>
  <c r="O45" i="13"/>
  <c r="O32" i="13"/>
  <c r="O67" i="13"/>
  <c r="Q24" i="13"/>
  <c r="Q29" i="13"/>
  <c r="N31" i="13"/>
  <c r="N61" i="13"/>
  <c r="N58" i="13"/>
  <c r="N30" i="13"/>
  <c r="N41" i="13"/>
  <c r="R32" i="13"/>
  <c r="R36" i="13"/>
  <c r="R33" i="13"/>
  <c r="P50" i="13"/>
  <c r="P48" i="13"/>
  <c r="P26" i="13"/>
  <c r="P40" i="13"/>
  <c r="P51" i="13"/>
  <c r="P58" i="13"/>
  <c r="O65" i="13"/>
  <c r="N63" i="13"/>
  <c r="N43" i="13"/>
  <c r="R27" i="13"/>
  <c r="P59" i="13"/>
  <c r="P54" i="13"/>
  <c r="O39" i="13"/>
  <c r="O38" i="13"/>
  <c r="O60" i="13"/>
  <c r="O37" i="13"/>
  <c r="O41" i="13"/>
  <c r="O51" i="13"/>
  <c r="N54" i="13"/>
  <c r="N53" i="13"/>
  <c r="N50" i="13"/>
  <c r="N67" i="13"/>
  <c r="N25" i="13"/>
  <c r="R24" i="13"/>
  <c r="R28" i="13"/>
  <c r="R25" i="13"/>
  <c r="P60" i="13"/>
  <c r="P36" i="13"/>
  <c r="P42" i="13"/>
  <c r="P37" i="13"/>
  <c r="P62" i="13"/>
  <c r="P66" i="13"/>
  <c r="O40" i="13"/>
  <c r="O50" i="13"/>
  <c r="N26" i="13"/>
  <c r="R26" i="13"/>
  <c r="P34" i="13"/>
  <c r="O31" i="13"/>
  <c r="O30" i="13"/>
  <c r="O52" i="13"/>
  <c r="O29" i="13"/>
  <c r="O66" i="13"/>
  <c r="Q32" i="13"/>
  <c r="Q28" i="13"/>
  <c r="N60" i="13"/>
  <c r="N45" i="13"/>
  <c r="N42" i="13"/>
  <c r="N59" i="13"/>
  <c r="N38" i="13"/>
  <c r="P38" i="13"/>
  <c r="P41" i="13"/>
  <c r="P39" i="13"/>
  <c r="P43" i="13"/>
  <c r="P35" i="13"/>
  <c r="O56" i="13"/>
  <c r="Q36" i="13"/>
  <c r="N44" i="13"/>
  <c r="N56" i="13"/>
  <c r="P46" i="13"/>
  <c r="O64" i="13"/>
  <c r="O63" i="13"/>
  <c r="O44" i="13"/>
  <c r="O35" i="13"/>
  <c r="O58" i="13"/>
  <c r="Q30" i="13"/>
  <c r="N52" i="13"/>
  <c r="N37" i="13"/>
  <c r="N34" i="13"/>
  <c r="N51" i="13"/>
  <c r="N64" i="13"/>
  <c r="R35" i="13"/>
  <c r="R34" i="13"/>
  <c r="P27" i="13"/>
  <c r="P25" i="13"/>
  <c r="P55" i="13"/>
  <c r="P33" i="13"/>
  <c r="P24" i="13"/>
  <c r="O36" i="13"/>
  <c r="N29" i="13"/>
  <c r="R31" i="13"/>
  <c r="P47" i="13"/>
  <c r="Q30" i="11"/>
  <c r="Q38" i="11"/>
  <c r="N58" i="11"/>
  <c r="N51" i="11"/>
  <c r="N25" i="11"/>
  <c r="N66" i="11"/>
  <c r="N48" i="11"/>
  <c r="N28" i="11"/>
  <c r="R27" i="11"/>
  <c r="Q31" i="11"/>
  <c r="Q39" i="11"/>
  <c r="N42" i="11"/>
  <c r="N35" i="11"/>
  <c r="N57" i="11"/>
  <c r="N50" i="11"/>
  <c r="N32" i="11"/>
  <c r="N55" i="11"/>
  <c r="R28" i="11"/>
  <c r="Q26" i="11"/>
  <c r="Q32" i="11"/>
  <c r="Q40" i="11"/>
  <c r="N53" i="11"/>
  <c r="N30" i="11"/>
  <c r="N52" i="11"/>
  <c r="N34" i="11"/>
  <c r="N59" i="11"/>
  <c r="N39" i="11"/>
  <c r="R29" i="11"/>
  <c r="Q25" i="11"/>
  <c r="Q33" i="11"/>
  <c r="Q41" i="11"/>
  <c r="N37" i="11"/>
  <c r="N54" i="11"/>
  <c r="N36" i="11"/>
  <c r="N61" i="11"/>
  <c r="N43" i="11"/>
  <c r="Q46" i="11"/>
  <c r="R30" i="11"/>
  <c r="R34" i="11"/>
  <c r="Q24" i="11"/>
  <c r="Q34" i="11"/>
  <c r="Q42" i="11"/>
  <c r="N56" i="11"/>
  <c r="N38" i="11"/>
  <c r="N63" i="11"/>
  <c r="N45" i="11"/>
  <c r="N27" i="11"/>
  <c r="R35" i="11"/>
  <c r="R31" i="11"/>
  <c r="Q45" i="11"/>
  <c r="Q27" i="11"/>
  <c r="Q35" i="11"/>
  <c r="Q43" i="11"/>
  <c r="N40" i="11"/>
  <c r="N65" i="11"/>
  <c r="N47" i="11"/>
  <c r="N29" i="11"/>
  <c r="N62" i="11"/>
  <c r="R24" i="11"/>
  <c r="R32" i="11"/>
  <c r="Q28" i="11"/>
  <c r="Q36" i="11"/>
  <c r="Q44" i="11"/>
  <c r="N26" i="11"/>
  <c r="N49" i="11"/>
  <c r="N31" i="11"/>
  <c r="N46" i="11"/>
  <c r="N60" i="11"/>
  <c r="R25" i="11"/>
  <c r="R33" i="11"/>
  <c r="Q29" i="11"/>
  <c r="Q37" i="11"/>
  <c r="N24" i="11"/>
  <c r="N67" i="11"/>
  <c r="N33" i="11"/>
  <c r="N41" i="11"/>
  <c r="N64" i="11"/>
  <c r="N44" i="11"/>
  <c r="R26" i="11"/>
  <c r="R36" i="11"/>
  <c r="Q47" i="11"/>
  <c r="Q49" i="11"/>
  <c r="Q48" i="11"/>
  <c r="M98" i="23"/>
  <c r="N97" i="23"/>
  <c r="N50" i="23"/>
  <c r="L39" i="11"/>
  <c r="K50" i="11"/>
  <c r="Q50" i="11" s="1"/>
  <c r="AD38" i="1"/>
  <c r="B37" i="11"/>
  <c r="AH55" i="4"/>
  <c r="AK55" i="4"/>
  <c r="AL55" i="4"/>
  <c r="AK56" i="4"/>
  <c r="AH56" i="4"/>
  <c r="AL56" i="4"/>
  <c r="AJ56" i="4"/>
  <c r="AC56" i="4"/>
  <c r="AK57" i="4"/>
  <c r="AJ55" i="4"/>
  <c r="AL41" i="11" l="1"/>
  <c r="M99" i="23"/>
  <c r="N98" i="23"/>
  <c r="N51" i="23"/>
  <c r="AE59" i="13"/>
  <c r="L40" i="11"/>
  <c r="K51" i="11"/>
  <c r="AD39" i="1"/>
  <c r="AG35" i="13"/>
  <c r="AG36" i="13"/>
  <c r="AG34" i="13"/>
  <c r="V32" i="11"/>
  <c r="W32" i="11"/>
  <c r="AF32" i="11"/>
  <c r="AG32" i="11"/>
  <c r="AE57" i="13"/>
  <c r="V46" i="11"/>
  <c r="AF46" i="11"/>
  <c r="AE49" i="13"/>
  <c r="AE34" i="13"/>
  <c r="AF34" i="13"/>
  <c r="AD34" i="13"/>
  <c r="AD27" i="13"/>
  <c r="AG27" i="13"/>
  <c r="AE27" i="13"/>
  <c r="AF27" i="13"/>
  <c r="AE42" i="13"/>
  <c r="AG25" i="13"/>
  <c r="AE25" i="13"/>
  <c r="AD25" i="13"/>
  <c r="AF25" i="13"/>
  <c r="V47" i="11"/>
  <c r="AF47" i="11"/>
  <c r="V43" i="11"/>
  <c r="AF43" i="11"/>
  <c r="W29" i="11"/>
  <c r="AF29" i="11"/>
  <c r="V29" i="11"/>
  <c r="AG29" i="11"/>
  <c r="AF25" i="11"/>
  <c r="AG25" i="11"/>
  <c r="V25" i="11"/>
  <c r="W25" i="11"/>
  <c r="AE55" i="13"/>
  <c r="AE56" i="13"/>
  <c r="AE45" i="13"/>
  <c r="AE48" i="13"/>
  <c r="AE50" i="13"/>
  <c r="AF31" i="13"/>
  <c r="AE31" i="13"/>
  <c r="AD31" i="13"/>
  <c r="AG31" i="13"/>
  <c r="AF42" i="11"/>
  <c r="V42" i="11"/>
  <c r="AG24" i="11"/>
  <c r="W24" i="11"/>
  <c r="V24" i="11"/>
  <c r="AF24" i="11"/>
  <c r="V40" i="11"/>
  <c r="AF40" i="11"/>
  <c r="V37" i="11"/>
  <c r="AF37" i="11"/>
  <c r="AG24" i="13"/>
  <c r="AE24" i="13"/>
  <c r="AD24" i="13"/>
  <c r="AF24" i="13"/>
  <c r="AG30" i="13"/>
  <c r="AF30" i="13"/>
  <c r="AD30" i="13"/>
  <c r="AE30" i="13"/>
  <c r="AF44" i="11"/>
  <c r="V44" i="11"/>
  <c r="AG36" i="11"/>
  <c r="AF36" i="11"/>
  <c r="V36" i="11"/>
  <c r="W36" i="11"/>
  <c r="V28" i="11"/>
  <c r="AG28" i="11"/>
  <c r="W28" i="11"/>
  <c r="AF28" i="11"/>
  <c r="AE38" i="13"/>
  <c r="AF36" i="13"/>
  <c r="AE36" i="13"/>
  <c r="AD36" i="13"/>
  <c r="AE53" i="13"/>
  <c r="AG30" i="11"/>
  <c r="AF30" i="11"/>
  <c r="V30" i="11"/>
  <c r="W30" i="11"/>
  <c r="V45" i="11"/>
  <c r="AF45" i="11"/>
  <c r="AE37" i="13"/>
  <c r="AD37" i="13"/>
  <c r="V33" i="11"/>
  <c r="W33" i="11"/>
  <c r="AF33" i="11"/>
  <c r="AG33" i="11"/>
  <c r="AF41" i="11"/>
  <c r="V41" i="11"/>
  <c r="AE47" i="13"/>
  <c r="AE44" i="13"/>
  <c r="AD28" i="13"/>
  <c r="AG28" i="13"/>
  <c r="AE28" i="13"/>
  <c r="AF28" i="13"/>
  <c r="V31" i="11"/>
  <c r="AG31" i="11"/>
  <c r="W31" i="11"/>
  <c r="AF31" i="11"/>
  <c r="AE40" i="13"/>
  <c r="AE41" i="13"/>
  <c r="W26" i="11"/>
  <c r="AF26" i="11"/>
  <c r="V26" i="11"/>
  <c r="AG26" i="11"/>
  <c r="V38" i="11"/>
  <c r="AF38" i="11"/>
  <c r="AE54" i="13"/>
  <c r="AD33" i="13"/>
  <c r="AG33" i="13"/>
  <c r="AF33" i="13"/>
  <c r="AE33" i="13"/>
  <c r="AF35" i="13"/>
  <c r="AD35" i="13"/>
  <c r="AE35" i="13"/>
  <c r="AF32" i="13"/>
  <c r="AG32" i="13"/>
  <c r="AD32" i="13"/>
  <c r="AE32" i="13"/>
  <c r="V39" i="11"/>
  <c r="AF39" i="11"/>
  <c r="AE52" i="13"/>
  <c r="V48" i="11"/>
  <c r="AF48" i="11"/>
  <c r="W27" i="11"/>
  <c r="AF27" i="11"/>
  <c r="V27" i="11"/>
  <c r="AG27" i="11"/>
  <c r="AF29" i="13"/>
  <c r="AD29" i="13"/>
  <c r="AE29" i="13"/>
  <c r="AG29" i="13"/>
  <c r="W35" i="11"/>
  <c r="V35" i="11"/>
  <c r="AG35" i="11"/>
  <c r="AF35" i="11"/>
  <c r="AF49" i="11"/>
  <c r="V49" i="11"/>
  <c r="W34" i="11"/>
  <c r="AG34" i="11"/>
  <c r="AF34" i="11"/>
  <c r="V34" i="11"/>
  <c r="V50" i="11"/>
  <c r="AF50" i="11"/>
  <c r="AE39" i="13"/>
  <c r="AD26" i="13"/>
  <c r="AE26" i="13"/>
  <c r="AG26" i="13"/>
  <c r="AF26" i="13"/>
  <c r="AE51" i="13"/>
  <c r="AE46" i="13"/>
  <c r="B38" i="11"/>
  <c r="AJ58" i="4"/>
  <c r="AJ57" i="4"/>
  <c r="AL57" i="4"/>
  <c r="AL58" i="4"/>
  <c r="AC57" i="4"/>
  <c r="AI56" i="4"/>
  <c r="AH57" i="4"/>
  <c r="AH58" i="4"/>
  <c r="AB32" i="11"/>
  <c r="AB33" i="11"/>
  <c r="AB34" i="11"/>
  <c r="AB36" i="11"/>
  <c r="AB27" i="11"/>
  <c r="AB26" i="11"/>
  <c r="AB31" i="11"/>
  <c r="AB35" i="11"/>
  <c r="AB30" i="11"/>
  <c r="AB24" i="11"/>
  <c r="AB25" i="11"/>
  <c r="AB29" i="11"/>
  <c r="AB28" i="11"/>
  <c r="AA36" i="11"/>
  <c r="AA44" i="11"/>
  <c r="AA49" i="11"/>
  <c r="AA29" i="11"/>
  <c r="AA37" i="11"/>
  <c r="AA40" i="11"/>
  <c r="AA32" i="11"/>
  <c r="AA50" i="11"/>
  <c r="AA42" i="11"/>
  <c r="AA24" i="11"/>
  <c r="AA38" i="11"/>
  <c r="AA43" i="11"/>
  <c r="AA45" i="11"/>
  <c r="AA47" i="11"/>
  <c r="AA30" i="11"/>
  <c r="AA34" i="11"/>
  <c r="AA31" i="11"/>
  <c r="AA39" i="11"/>
  <c r="AA27" i="11"/>
  <c r="AA26" i="11"/>
  <c r="AA33" i="11"/>
  <c r="AA28" i="11"/>
  <c r="AA35" i="11"/>
  <c r="AA46" i="11"/>
  <c r="AA25" i="11"/>
  <c r="AA41" i="11"/>
  <c r="AA48" i="11"/>
  <c r="M100" i="23" l="1"/>
  <c r="N99" i="23"/>
  <c r="N52" i="23"/>
  <c r="J28" i="23" s="1"/>
  <c r="Q51" i="11"/>
  <c r="V51" i="11" s="1"/>
  <c r="L41" i="11"/>
  <c r="K52" i="11"/>
  <c r="Q52" i="11" s="1"/>
  <c r="AD40" i="1"/>
  <c r="AV36" i="11"/>
  <c r="AU34" i="11"/>
  <c r="AU49" i="11"/>
  <c r="AV27" i="11"/>
  <c r="AU41" i="11"/>
  <c r="AV33" i="11"/>
  <c r="AU45" i="11"/>
  <c r="AU29" i="11"/>
  <c r="AU47" i="11"/>
  <c r="AV24" i="11"/>
  <c r="AU38" i="11"/>
  <c r="AV25" i="11"/>
  <c r="AU43" i="11"/>
  <c r="AU48" i="11"/>
  <c r="AV28" i="11"/>
  <c r="AV32" i="11"/>
  <c r="AU30" i="11"/>
  <c r="AV35" i="11"/>
  <c r="AV31" i="11"/>
  <c r="AU36" i="11"/>
  <c r="AU31" i="11"/>
  <c r="AU33" i="11"/>
  <c r="AV26" i="11"/>
  <c r="AU27" i="11"/>
  <c r="AU44" i="11"/>
  <c r="AU37" i="11"/>
  <c r="AU42" i="11"/>
  <c r="AU25" i="11"/>
  <c r="AV29" i="11"/>
  <c r="AU32" i="11"/>
  <c r="AU35" i="11"/>
  <c r="AU39" i="11"/>
  <c r="AU24" i="11"/>
  <c r="AU26" i="11"/>
  <c r="AU40" i="11"/>
  <c r="AV34" i="11"/>
  <c r="AV30" i="11"/>
  <c r="AU28" i="11"/>
  <c r="AU46" i="11"/>
  <c r="AE58" i="13"/>
  <c r="B39" i="11"/>
  <c r="AI57" i="4"/>
  <c r="AI58" i="4"/>
  <c r="AC58" i="4"/>
  <c r="AA51" i="11"/>
  <c r="M101" i="23" l="1"/>
  <c r="N100" i="23"/>
  <c r="N53" i="23"/>
  <c r="K46" i="23" s="1"/>
  <c r="AF51" i="11"/>
  <c r="AF52" i="11"/>
  <c r="V52" i="11"/>
  <c r="K53" i="11"/>
  <c r="Q53" i="11" s="1"/>
  <c r="L42" i="11"/>
  <c r="AD41" i="1"/>
  <c r="AE60" i="13"/>
  <c r="B40" i="11"/>
  <c r="AA52" i="11"/>
  <c r="AL42" i="11" l="1"/>
  <c r="M102" i="23"/>
  <c r="N101" i="23"/>
  <c r="N54" i="23"/>
  <c r="V53" i="11"/>
  <c r="AF53" i="11"/>
  <c r="L43" i="11"/>
  <c r="K54" i="11"/>
  <c r="Q54" i="11" s="1"/>
  <c r="AD42" i="1"/>
  <c r="AE61" i="13"/>
  <c r="B41" i="11"/>
  <c r="AA53" i="11"/>
  <c r="M103" i="23" l="1"/>
  <c r="N102" i="23"/>
  <c r="N55" i="23"/>
  <c r="AF54" i="11"/>
  <c r="V54" i="11"/>
  <c r="K55" i="11"/>
  <c r="Q55" i="11" s="1"/>
  <c r="L44" i="11"/>
  <c r="AD43" i="1"/>
  <c r="AE62" i="13"/>
  <c r="B42" i="11"/>
  <c r="AA54" i="11"/>
  <c r="J41" i="23" l="1"/>
  <c r="J40" i="23"/>
  <c r="N103" i="23"/>
  <c r="M104" i="23"/>
  <c r="N56" i="23"/>
  <c r="V55" i="11"/>
  <c r="AF55" i="11"/>
  <c r="K56" i="11"/>
  <c r="Q56" i="11" s="1"/>
  <c r="L45" i="11"/>
  <c r="AD44" i="1"/>
  <c r="AE63" i="13"/>
  <c r="B43" i="11"/>
  <c r="AA55" i="11"/>
  <c r="K47" i="23" l="1"/>
  <c r="J29" i="23"/>
  <c r="M105" i="23"/>
  <c r="N104" i="23"/>
  <c r="N57" i="23"/>
  <c r="AF56" i="11"/>
  <c r="V56" i="11"/>
  <c r="K57" i="11"/>
  <c r="Q57" i="11" s="1"/>
  <c r="L46" i="11"/>
  <c r="AD45" i="1"/>
  <c r="B44" i="11"/>
  <c r="AA56" i="11"/>
  <c r="M106" i="23" l="1"/>
  <c r="N105" i="23"/>
  <c r="N58" i="23"/>
  <c r="L47" i="11"/>
  <c r="K58" i="11"/>
  <c r="Q58" i="11" s="1"/>
  <c r="V57" i="11"/>
  <c r="AF57" i="11"/>
  <c r="AD46" i="1"/>
  <c r="B45" i="11"/>
  <c r="AA57" i="11"/>
  <c r="M107" i="23" l="1"/>
  <c r="N106" i="23"/>
  <c r="N59" i="23"/>
  <c r="V58" i="11"/>
  <c r="AF58" i="11"/>
  <c r="L48" i="11"/>
  <c r="K59" i="11"/>
  <c r="Q59" i="11" s="1"/>
  <c r="AD47" i="1"/>
  <c r="B46" i="11"/>
  <c r="O120" i="13"/>
  <c r="B120" i="13"/>
  <c r="A68" i="13"/>
  <c r="U120" i="11"/>
  <c r="B120" i="11"/>
  <c r="B224" i="11" s="1"/>
  <c r="A68" i="11"/>
  <c r="P11" i="13"/>
  <c r="P13" i="13"/>
  <c r="P12" i="13"/>
  <c r="X136" i="5"/>
  <c r="Y136" i="5" s="1"/>
  <c r="V136" i="5"/>
  <c r="W136" i="5" s="1"/>
  <c r="N136" i="5"/>
  <c r="O136" i="5" s="1"/>
  <c r="L136" i="5"/>
  <c r="M136" i="5" s="1"/>
  <c r="L135" i="5"/>
  <c r="M135"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28" i="5"/>
  <c r="E128" i="5" s="1"/>
  <c r="B128" i="5"/>
  <c r="C128" i="5" s="1"/>
  <c r="D127" i="5"/>
  <c r="E127" i="5" s="1"/>
  <c r="B127" i="5"/>
  <c r="C127" i="5" s="1"/>
  <c r="D126" i="5"/>
  <c r="B126" i="5"/>
  <c r="V49" i="5"/>
  <c r="D149" i="5" s="1"/>
  <c r="X49" i="5"/>
  <c r="D150" i="5" s="1"/>
  <c r="U9" i="5"/>
  <c r="U46" i="5"/>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6" i="5"/>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5" i="5" s="1"/>
  <c r="L102" i="5"/>
  <c r="L100" i="5" s="1"/>
  <c r="L108" i="5"/>
  <c r="L114" i="5"/>
  <c r="L111" i="5" s="1"/>
  <c r="L118" i="5"/>
  <c r="B49" i="5"/>
  <c r="D141" i="5" s="1"/>
  <c r="D49" i="5"/>
  <c r="D142" i="5" s="1"/>
  <c r="A9" i="5"/>
  <c r="A10" i="5" s="1"/>
  <c r="A11" i="5" s="1"/>
  <c r="A46" i="5"/>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AM47" i="13"/>
  <c r="M19" i="9"/>
  <c r="N19" i="9"/>
  <c r="O19" i="9" s="1"/>
  <c r="Z19" i="9"/>
  <c r="M20" i="9"/>
  <c r="N20" i="9"/>
  <c r="O20" i="9" s="1"/>
  <c r="Z20" i="9"/>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58" i="11"/>
  <c r="J30" i="23" l="1"/>
  <c r="K48" i="23"/>
  <c r="AJ35" i="13"/>
  <c r="AK35" i="13"/>
  <c r="AL39" i="13"/>
  <c r="AM39" i="13"/>
  <c r="AJ34" i="13"/>
  <c r="AL38" i="13"/>
  <c r="AK34" i="13"/>
  <c r="AM38" i="13"/>
  <c r="AJ41" i="13"/>
  <c r="AK41" i="13"/>
  <c r="AM45" i="13"/>
  <c r="AJ39" i="13"/>
  <c r="AK39" i="13"/>
  <c r="AM43" i="13"/>
  <c r="AL41" i="13"/>
  <c r="AJ37" i="13"/>
  <c r="AK37" i="13"/>
  <c r="AM41" i="13"/>
  <c r="AM46" i="13"/>
  <c r="AJ42" i="13"/>
  <c r="AK42" i="13"/>
  <c r="AK40" i="13"/>
  <c r="AJ40" i="13"/>
  <c r="AM44" i="13"/>
  <c r="AD38" i="13"/>
  <c r="AK38" i="13"/>
  <c r="AL42" i="13"/>
  <c r="AJ38" i="13"/>
  <c r="AM42" i="13"/>
  <c r="AJ36" i="13"/>
  <c r="AL40" i="13"/>
  <c r="AK36" i="13"/>
  <c r="AM40" i="13"/>
  <c r="L93" i="5"/>
  <c r="V68" i="5"/>
  <c r="L94" i="5"/>
  <c r="L92" i="5"/>
  <c r="C126" i="5"/>
  <c r="M126" i="5"/>
  <c r="E126" i="5"/>
  <c r="O126" i="5"/>
  <c r="L68" i="5"/>
  <c r="H5" i="24"/>
  <c r="F141" i="5"/>
  <c r="G141" i="5" s="1"/>
  <c r="B5" i="24"/>
  <c r="V75" i="5"/>
  <c r="X107" i="5"/>
  <c r="L56" i="5"/>
  <c r="P56" i="5" s="1"/>
  <c r="L89" i="5"/>
  <c r="L86" i="5"/>
  <c r="L87" i="5"/>
  <c r="L58" i="5"/>
  <c r="P58" i="5" s="1"/>
  <c r="L57" i="5"/>
  <c r="P57" i="5" s="1"/>
  <c r="X105" i="5"/>
  <c r="X106" i="5"/>
  <c r="X104" i="5"/>
  <c r="AD60" i="13"/>
  <c r="AJ64" i="13"/>
  <c r="AE64" i="13" s="1"/>
  <c r="AK59" i="11"/>
  <c r="AD52" i="13"/>
  <c r="AJ56" i="13"/>
  <c r="AK56" i="13"/>
  <c r="AK51" i="11"/>
  <c r="AU51" i="11" s="1"/>
  <c r="AM61" i="11"/>
  <c r="AL50" i="11"/>
  <c r="AK50" i="13"/>
  <c r="AL50" i="13"/>
  <c r="AM55" i="13"/>
  <c r="AJ50" i="13"/>
  <c r="AM55" i="11"/>
  <c r="AK45" i="11"/>
  <c r="AD67" i="13"/>
  <c r="AD63" i="13"/>
  <c r="AJ67" i="13"/>
  <c r="AE67" i="13" s="1"/>
  <c r="AD65" i="13"/>
  <c r="AD66" i="13"/>
  <c r="AD64" i="13"/>
  <c r="AK65" i="11"/>
  <c r="AK67" i="11"/>
  <c r="AK66" i="11"/>
  <c r="AK64" i="11"/>
  <c r="AK63" i="11"/>
  <c r="AK62" i="11"/>
  <c r="AD59" i="13"/>
  <c r="AJ63" i="13"/>
  <c r="AK58" i="11"/>
  <c r="AU58" i="11" s="1"/>
  <c r="AD57" i="13"/>
  <c r="AJ61" i="13"/>
  <c r="AK56" i="11"/>
  <c r="AU56" i="11" s="1"/>
  <c r="AM66" i="11"/>
  <c r="AD53" i="13"/>
  <c r="AJ57" i="13"/>
  <c r="AK52" i="11"/>
  <c r="AU52" i="11" s="1"/>
  <c r="AM62" i="11"/>
  <c r="AL53" i="11"/>
  <c r="AJ53" i="13"/>
  <c r="AM58" i="13"/>
  <c r="AK53" i="13"/>
  <c r="AD49" i="13"/>
  <c r="AL53" i="13"/>
  <c r="AK48" i="11"/>
  <c r="AM58" i="11"/>
  <c r="AL51" i="11"/>
  <c r="AL51" i="13"/>
  <c r="AM56" i="13"/>
  <c r="AJ51" i="13"/>
  <c r="AK51" i="13"/>
  <c r="AK46" i="11"/>
  <c r="AM56" i="11"/>
  <c r="AL47" i="11"/>
  <c r="AM52" i="13"/>
  <c r="AK47" i="13"/>
  <c r="AJ47" i="13"/>
  <c r="AL47" i="13"/>
  <c r="AK42" i="11"/>
  <c r="AM52" i="11"/>
  <c r="AL45" i="11"/>
  <c r="AK45" i="13"/>
  <c r="AJ45" i="13"/>
  <c r="AL45" i="13"/>
  <c r="AD41" i="13"/>
  <c r="AM50" i="13"/>
  <c r="AK40" i="11"/>
  <c r="AM50" i="11"/>
  <c r="L101" i="5"/>
  <c r="C51" i="5"/>
  <c r="H48" i="5" s="1"/>
  <c r="AL43" i="11"/>
  <c r="AD39" i="13"/>
  <c r="AL43" i="13"/>
  <c r="AM48" i="13"/>
  <c r="AJ43" i="13"/>
  <c r="AE43" i="13" s="1"/>
  <c r="AK43" i="13"/>
  <c r="AK38" i="11"/>
  <c r="AM48" i="11"/>
  <c r="B107" i="5"/>
  <c r="AJ62" i="13"/>
  <c r="AD58" i="13"/>
  <c r="AK57" i="11"/>
  <c r="AU57" i="11" s="1"/>
  <c r="AL52" i="11"/>
  <c r="AJ52" i="13"/>
  <c r="AK52" i="13"/>
  <c r="AM57" i="13"/>
  <c r="AL52" i="13"/>
  <c r="AM57" i="11"/>
  <c r="AK47" i="11"/>
  <c r="D71" i="5"/>
  <c r="AL44" i="11"/>
  <c r="AJ44" i="13"/>
  <c r="AL44" i="13"/>
  <c r="AM49" i="13"/>
  <c r="AK44" i="13"/>
  <c r="AD40" i="13"/>
  <c r="AM49" i="11"/>
  <c r="AK39" i="11"/>
  <c r="AD54" i="13"/>
  <c r="AJ58" i="13"/>
  <c r="AM63" i="11"/>
  <c r="AK53" i="11"/>
  <c r="AU53" i="11" s="1"/>
  <c r="AL46" i="11"/>
  <c r="AL46" i="13"/>
  <c r="AD42" i="13"/>
  <c r="AM51" i="13"/>
  <c r="AJ46" i="13"/>
  <c r="AK46" i="13"/>
  <c r="AM51" i="11"/>
  <c r="AK41" i="11"/>
  <c r="D70" i="5"/>
  <c r="D69" i="5"/>
  <c r="N74" i="5"/>
  <c r="AD62" i="13"/>
  <c r="AJ66" i="13"/>
  <c r="AE66" i="13" s="1"/>
  <c r="AK61" i="11"/>
  <c r="AD56" i="13"/>
  <c r="AJ60" i="13"/>
  <c r="AK55" i="11"/>
  <c r="AU55" i="11" s="1"/>
  <c r="AM65" i="11"/>
  <c r="AK54" i="13"/>
  <c r="AM59" i="13"/>
  <c r="AJ54" i="13"/>
  <c r="AD50" i="13"/>
  <c r="AM59" i="11"/>
  <c r="AK49" i="11"/>
  <c r="AL48" i="11"/>
  <c r="AD44" i="13"/>
  <c r="AL48" i="13"/>
  <c r="AJ48" i="13"/>
  <c r="AK48" i="13"/>
  <c r="AM53" i="13"/>
  <c r="AK43" i="11"/>
  <c r="AM53" i="11"/>
  <c r="AD61" i="13"/>
  <c r="AJ65" i="13"/>
  <c r="AE65" i="13" s="1"/>
  <c r="AK60" i="11"/>
  <c r="AD55" i="13"/>
  <c r="AJ59" i="13"/>
  <c r="AM64" i="11"/>
  <c r="AK54" i="11"/>
  <c r="AU54" i="11" s="1"/>
  <c r="AD51" i="13"/>
  <c r="AK55" i="13"/>
  <c r="AJ55" i="13"/>
  <c r="AK50" i="11"/>
  <c r="AU50" i="11" s="1"/>
  <c r="AM60" i="11"/>
  <c r="AL49" i="11"/>
  <c r="AJ49" i="13"/>
  <c r="AK49" i="13"/>
  <c r="AL49" i="13"/>
  <c r="AM54" i="13"/>
  <c r="AM54" i="11"/>
  <c r="AK44" i="11"/>
  <c r="M108" i="23"/>
  <c r="N107" i="23"/>
  <c r="AF59" i="11"/>
  <c r="V59" i="11"/>
  <c r="L49" i="11"/>
  <c r="K60" i="11"/>
  <c r="Q60" i="11" s="1"/>
  <c r="AD48" i="1"/>
  <c r="X65" i="5"/>
  <c r="X82" i="5"/>
  <c r="L104" i="5"/>
  <c r="L69" i="5"/>
  <c r="B68" i="5"/>
  <c r="L107" i="5"/>
  <c r="L105" i="5"/>
  <c r="N76" i="5"/>
  <c r="N64" i="5"/>
  <c r="X117" i="5"/>
  <c r="AB117" i="5" s="1"/>
  <c r="AB118" i="5" s="1"/>
  <c r="E51" i="5"/>
  <c r="G28" i="5" s="1"/>
  <c r="N104" i="5"/>
  <c r="D151" i="5"/>
  <c r="N101" i="5"/>
  <c r="V89"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B76" i="5"/>
  <c r="N88" i="5"/>
  <c r="AN25" i="11"/>
  <c r="AQ26" i="11"/>
  <c r="AO28" i="11"/>
  <c r="AR29" i="11"/>
  <c r="AP31" i="11"/>
  <c r="AN33" i="11"/>
  <c r="AQ34" i="11"/>
  <c r="AO36" i="11"/>
  <c r="AR37" i="11"/>
  <c r="AP39" i="11"/>
  <c r="AN41" i="11"/>
  <c r="AQ42" i="11"/>
  <c r="AO44" i="11"/>
  <c r="AR45" i="11"/>
  <c r="AP24" i="11"/>
  <c r="AO31" i="11"/>
  <c r="AO25" i="11"/>
  <c r="AR26" i="11"/>
  <c r="AP28" i="11"/>
  <c r="AN30" i="11"/>
  <c r="AQ31" i="11"/>
  <c r="AO33" i="11"/>
  <c r="AR34" i="11"/>
  <c r="AP36" i="11"/>
  <c r="AN38" i="11"/>
  <c r="AQ39" i="11"/>
  <c r="AO41" i="11"/>
  <c r="AR42" i="11"/>
  <c r="AP44" i="11"/>
  <c r="AN46" i="11"/>
  <c r="AQ24" i="11"/>
  <c r="AP25" i="11"/>
  <c r="AN27" i="11"/>
  <c r="AQ28" i="11"/>
  <c r="AO30" i="11"/>
  <c r="AR31" i="11"/>
  <c r="AP33" i="11"/>
  <c r="AN35" i="11"/>
  <c r="AQ36" i="11"/>
  <c r="AO38" i="11"/>
  <c r="AR39" i="11"/>
  <c r="AP41" i="11"/>
  <c r="AN43" i="11"/>
  <c r="AQ44" i="11"/>
  <c r="AO46" i="11"/>
  <c r="AR24" i="11"/>
  <c r="AQ29" i="11"/>
  <c r="AQ25" i="11"/>
  <c r="AO27" i="11"/>
  <c r="AR28" i="11"/>
  <c r="AP30" i="11"/>
  <c r="AN32" i="11"/>
  <c r="AQ33" i="11"/>
  <c r="AO35" i="11"/>
  <c r="AR36" i="11"/>
  <c r="AP38" i="11"/>
  <c r="AN40" i="11"/>
  <c r="AQ41" i="11"/>
  <c r="AO43" i="11"/>
  <c r="AR44" i="11"/>
  <c r="AP46" i="11"/>
  <c r="AN24" i="11"/>
  <c r="AN28" i="11"/>
  <c r="AO24" i="11"/>
  <c r="AR25" i="11"/>
  <c r="AP27" i="11"/>
  <c r="AN29" i="11"/>
  <c r="AQ30" i="11"/>
  <c r="AO32" i="11"/>
  <c r="AR33" i="11"/>
  <c r="AP35" i="11"/>
  <c r="AN37" i="11"/>
  <c r="AQ38" i="11"/>
  <c r="AO40" i="11"/>
  <c r="AR41" i="11"/>
  <c r="AP43" i="11"/>
  <c r="AN45" i="11"/>
  <c r="AQ46" i="11"/>
  <c r="AN26" i="11"/>
  <c r="AQ27" i="11"/>
  <c r="AO29" i="11"/>
  <c r="AR30" i="11"/>
  <c r="AP32" i="11"/>
  <c r="AN34" i="11"/>
  <c r="AQ35" i="11"/>
  <c r="AO37" i="11"/>
  <c r="AR38" i="11"/>
  <c r="AP40" i="11"/>
  <c r="AN42" i="11"/>
  <c r="AQ43" i="11"/>
  <c r="AO45" i="11"/>
  <c r="AR46" i="11"/>
  <c r="AP34" i="11"/>
  <c r="AO26" i="11"/>
  <c r="AR27" i="11"/>
  <c r="AP29" i="11"/>
  <c r="AN31" i="11"/>
  <c r="AQ32" i="11"/>
  <c r="AO34" i="11"/>
  <c r="AR35" i="11"/>
  <c r="AP37" i="11"/>
  <c r="AN39" i="11"/>
  <c r="AQ40" i="11"/>
  <c r="AO42" i="11"/>
  <c r="AR43" i="11"/>
  <c r="AP45" i="11"/>
  <c r="AP26" i="11"/>
  <c r="AR32" i="11"/>
  <c r="AN36" i="11"/>
  <c r="AQ37" i="11"/>
  <c r="AO39" i="11"/>
  <c r="AR40" i="11"/>
  <c r="AP42" i="11"/>
  <c r="AN44" i="11"/>
  <c r="AQ45" i="11"/>
  <c r="Q16" i="13"/>
  <c r="X22" i="13" s="1"/>
  <c r="Q15" i="13"/>
  <c r="W22" i="13" s="1"/>
  <c r="O172" i="13"/>
  <c r="O330" i="13"/>
  <c r="O277" i="13"/>
  <c r="B224" i="13"/>
  <c r="B330" i="13"/>
  <c r="B277" i="13"/>
  <c r="Q14" i="13"/>
  <c r="V22" i="13" s="1"/>
  <c r="U224" i="11"/>
  <c r="U330" i="11"/>
  <c r="U277" i="11"/>
  <c r="B172" i="11"/>
  <c r="B330" i="11"/>
  <c r="B277" i="11"/>
  <c r="P21" i="11"/>
  <c r="AJ56" i="11" s="1"/>
  <c r="O21" i="11"/>
  <c r="AI54" i="11" s="1"/>
  <c r="A12" i="5"/>
  <c r="A13" i="5" s="1"/>
  <c r="A14" i="5" s="1"/>
  <c r="A15" i="5" s="1"/>
  <c r="X127" i="5" s="1"/>
  <c r="Y127" i="5" s="1"/>
  <c r="X126" i="5"/>
  <c r="Y126" i="5" s="1"/>
  <c r="V126" i="5"/>
  <c r="W126" i="5" s="1"/>
  <c r="D62" i="5"/>
  <c r="B75" i="5"/>
  <c r="B63" i="5"/>
  <c r="N110" i="5"/>
  <c r="N98" i="5"/>
  <c r="N62" i="5"/>
  <c r="V107" i="5"/>
  <c r="V86" i="5"/>
  <c r="X80" i="5"/>
  <c r="V65" i="5"/>
  <c r="L77" i="5"/>
  <c r="V64" i="5"/>
  <c r="X81" i="5"/>
  <c r="U10" i="5"/>
  <c r="U11" i="5" s="1"/>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F28" i="5" l="1"/>
  <c r="I14" i="5"/>
  <c r="G18" i="5"/>
  <c r="F37" i="5"/>
  <c r="H32" i="5"/>
  <c r="F40" i="5"/>
  <c r="H34" i="5"/>
  <c r="F26" i="5"/>
  <c r="F29" i="5"/>
  <c r="H15" i="5"/>
  <c r="H43" i="5"/>
  <c r="H9" i="5"/>
  <c r="F16" i="5"/>
  <c r="H27" i="5"/>
  <c r="H46" i="5"/>
  <c r="F42" i="5"/>
  <c r="F10" i="5"/>
  <c r="F35" i="5"/>
  <c r="H42" i="5"/>
  <c r="F17" i="5"/>
  <c r="H38" i="5"/>
  <c r="F11" i="5"/>
  <c r="H35" i="5"/>
  <c r="F31" i="5"/>
  <c r="H25" i="5"/>
  <c r="F33" i="5"/>
  <c r="H40" i="5"/>
  <c r="H13" i="5"/>
  <c r="H36" i="5"/>
  <c r="F27" i="5"/>
  <c r="F30" i="5"/>
  <c r="H39" i="5"/>
  <c r="F45" i="5"/>
  <c r="H10" i="5"/>
  <c r="F47" i="5"/>
  <c r="H31" i="5"/>
  <c r="F38" i="5"/>
  <c r="F7" i="5"/>
  <c r="H33" i="5"/>
  <c r="F24" i="5"/>
  <c r="H11" i="5"/>
  <c r="F46" i="5"/>
  <c r="F19" i="5"/>
  <c r="F18" i="5"/>
  <c r="H44" i="5"/>
  <c r="F36" i="5"/>
  <c r="H14" i="5"/>
  <c r="F12" i="5"/>
  <c r="H16" i="5"/>
  <c r="H21" i="5"/>
  <c r="H19" i="5"/>
  <c r="F15" i="5"/>
  <c r="F41" i="5"/>
  <c r="F8" i="5"/>
  <c r="H22" i="5"/>
  <c r="H12" i="5"/>
  <c r="F14" i="5"/>
  <c r="H24" i="5"/>
  <c r="H30" i="5"/>
  <c r="F39" i="5"/>
  <c r="H23" i="5"/>
  <c r="F32" i="5"/>
  <c r="F43" i="5"/>
  <c r="F21" i="5"/>
  <c r="F22" i="5"/>
  <c r="H26" i="5"/>
  <c r="H47" i="5"/>
  <c r="H136" i="5" s="1"/>
  <c r="F25" i="5"/>
  <c r="H18" i="5"/>
  <c r="H28" i="5"/>
  <c r="F13" i="5"/>
  <c r="F23" i="5"/>
  <c r="H29" i="5"/>
  <c r="F20" i="5"/>
  <c r="H37" i="5"/>
  <c r="H41" i="5"/>
  <c r="F34" i="5"/>
  <c r="F48" i="5"/>
  <c r="H45" i="5"/>
  <c r="F44" i="5"/>
  <c r="H17" i="5"/>
  <c r="I13" i="5"/>
  <c r="G19" i="5"/>
  <c r="I20" i="5"/>
  <c r="H51" i="5"/>
  <c r="I42" i="5"/>
  <c r="G39" i="5"/>
  <c r="G24" i="5"/>
  <c r="I38" i="5"/>
  <c r="G47" i="5"/>
  <c r="I26" i="5"/>
  <c r="G37" i="5"/>
  <c r="I21" i="5"/>
  <c r="G43" i="5"/>
  <c r="I10" i="5"/>
  <c r="I40" i="5"/>
  <c r="I34" i="5"/>
  <c r="I17" i="5"/>
  <c r="I36" i="5"/>
  <c r="G16" i="5"/>
  <c r="G31" i="5"/>
  <c r="G33" i="5"/>
  <c r="I41" i="5"/>
  <c r="G35" i="5"/>
  <c r="G12" i="5"/>
  <c r="G27" i="5"/>
  <c r="G30" i="5"/>
  <c r="I18" i="5"/>
  <c r="I24" i="5"/>
  <c r="I45" i="5"/>
  <c r="I12" i="5"/>
  <c r="G13" i="5"/>
  <c r="G34" i="5"/>
  <c r="G48" i="5"/>
  <c r="I23" i="5"/>
  <c r="G29" i="5"/>
  <c r="G44" i="5"/>
  <c r="G46" i="5"/>
  <c r="I47" i="5"/>
  <c r="G17" i="5"/>
  <c r="I43" i="5"/>
  <c r="I37" i="5"/>
  <c r="G14" i="5"/>
  <c r="G41" i="5"/>
  <c r="I7" i="5"/>
  <c r="I29" i="5"/>
  <c r="G8" i="5"/>
  <c r="Z46" i="5"/>
  <c r="G9" i="5"/>
  <c r="G40" i="5"/>
  <c r="G21" i="5"/>
  <c r="G38" i="5"/>
  <c r="I19" i="5"/>
  <c r="G36" i="5"/>
  <c r="G26" i="5"/>
  <c r="G11" i="5"/>
  <c r="I9" i="5"/>
  <c r="G42" i="5"/>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I24" i="11"/>
  <c r="AJ55" i="11"/>
  <c r="AJ59"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26" i="11"/>
  <c r="O31" i="11"/>
  <c r="O25" i="11"/>
  <c r="O29" i="11"/>
  <c r="O30" i="11"/>
  <c r="O27" i="11"/>
  <c r="O24" i="11"/>
  <c r="O32" i="11"/>
  <c r="O34" i="11"/>
  <c r="O36" i="11"/>
  <c r="O35" i="11"/>
  <c r="O33"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AN47" i="11" s="1"/>
  <c r="V60" i="11"/>
  <c r="AF60" i="11"/>
  <c r="K61" i="11"/>
  <c r="Q61" i="11" s="1"/>
  <c r="L50" i="11"/>
  <c r="AU59" i="11"/>
  <c r="AD49" i="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28" i="13"/>
  <c r="V26" i="13"/>
  <c r="V25" i="13"/>
  <c r="V31" i="13"/>
  <c r="V30" i="13"/>
  <c r="V34" i="13"/>
  <c r="V36" i="13"/>
  <c r="V32" i="13"/>
  <c r="V24" i="13"/>
  <c r="V27" i="13"/>
  <c r="V29" i="13"/>
  <c r="V33" i="13"/>
  <c r="V3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16" i="5"/>
  <c r="A17" i="5" s="1"/>
  <c r="A18" i="5" s="1"/>
  <c r="A19"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R51"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A60" i="11"/>
  <c r="F135" i="5" l="1"/>
  <c r="H135" i="5"/>
  <c r="F133" i="5"/>
  <c r="F130" i="5"/>
  <c r="H132" i="5"/>
  <c r="H130" i="5"/>
  <c r="F127" i="5"/>
  <c r="H127" i="5"/>
  <c r="G136" i="5"/>
  <c r="H133" i="5"/>
  <c r="F129" i="5"/>
  <c r="H134" i="5"/>
  <c r="F136" i="5"/>
  <c r="J136" i="5" s="1"/>
  <c r="F134" i="5"/>
  <c r="F128" i="5"/>
  <c r="H131" i="5"/>
  <c r="H128" i="5"/>
  <c r="F132" i="5"/>
  <c r="F131" i="5"/>
  <c r="F49" i="5"/>
  <c r="I136" i="5"/>
  <c r="I127" i="5"/>
  <c r="G135" i="5"/>
  <c r="G134" i="5"/>
  <c r="G128" i="5"/>
  <c r="G127" i="5"/>
  <c r="G131" i="5"/>
  <c r="I134" i="5"/>
  <c r="I133" i="5"/>
  <c r="I128" i="5"/>
  <c r="I130" i="5"/>
  <c r="G132" i="5"/>
  <c r="G130" i="5"/>
  <c r="G129" i="5"/>
  <c r="I129" i="5"/>
  <c r="I132" i="5"/>
  <c r="I135" i="5"/>
  <c r="H49" i="5"/>
  <c r="G133" i="5"/>
  <c r="I126" i="5"/>
  <c r="H129" i="5"/>
  <c r="Z133" i="5"/>
  <c r="H126" i="5"/>
  <c r="G126" i="5"/>
  <c r="F126" i="5"/>
  <c r="G49" i="5"/>
  <c r="Z134" i="5"/>
  <c r="I49" i="5"/>
  <c r="AR47" i="11"/>
  <c r="AO47" i="11"/>
  <c r="AP47" i="11"/>
  <c r="AQ47" i="11"/>
  <c r="N109" i="23"/>
  <c r="AU60" i="11"/>
  <c r="K62" i="11"/>
  <c r="Q62" i="11" s="1"/>
  <c r="L51" i="11"/>
  <c r="V61" i="11"/>
  <c r="AF61" i="11"/>
  <c r="U25" i="11"/>
  <c r="U28" i="11"/>
  <c r="U38" i="11"/>
  <c r="U35" i="11"/>
  <c r="U67" i="11"/>
  <c r="U52" i="11"/>
  <c r="T27" i="11"/>
  <c r="U29" i="11"/>
  <c r="U49" i="11"/>
  <c r="U42" i="11"/>
  <c r="U39" i="11"/>
  <c r="U27" i="11"/>
  <c r="U56" i="11"/>
  <c r="T31" i="11"/>
  <c r="U61" i="11"/>
  <c r="U53" i="11"/>
  <c r="U46" i="11"/>
  <c r="U43" i="11"/>
  <c r="U31" i="11"/>
  <c r="U60" i="11"/>
  <c r="T35" i="11"/>
  <c r="U33" i="11"/>
  <c r="U57" i="11"/>
  <c r="U50" i="11"/>
  <c r="U47" i="11"/>
  <c r="U32" i="11"/>
  <c r="U64" i="11"/>
  <c r="AD24" i="11"/>
  <c r="U41" i="11"/>
  <c r="U65" i="11"/>
  <c r="U54" i="11"/>
  <c r="U51" i="11"/>
  <c r="U36" i="11"/>
  <c r="T25" i="11"/>
  <c r="T28" i="11"/>
  <c r="U37" i="11"/>
  <c r="U26" i="11"/>
  <c r="U58" i="11"/>
  <c r="U55" i="11"/>
  <c r="U40" i="11"/>
  <c r="T26" i="11"/>
  <c r="T32" i="11"/>
  <c r="U45" i="11"/>
  <c r="U30" i="11"/>
  <c r="U62" i="11"/>
  <c r="U59" i="11"/>
  <c r="U44" i="11"/>
  <c r="T30" i="11"/>
  <c r="T36" i="11"/>
  <c r="T29" i="11"/>
  <c r="U24" i="11"/>
  <c r="U34" i="11"/>
  <c r="U66" i="11"/>
  <c r="U63" i="11"/>
  <c r="U48" i="11"/>
  <c r="T34" i="11"/>
  <c r="T33" i="11"/>
  <c r="AD50" i="1"/>
  <c r="I131" i="5"/>
  <c r="AB127" i="5"/>
  <c r="Z132" i="5"/>
  <c r="AB126" i="5"/>
  <c r="AB135" i="5"/>
  <c r="Z129" i="5"/>
  <c r="AB132" i="5"/>
  <c r="AB129" i="5"/>
  <c r="AB128" i="5"/>
  <c r="R131" i="5"/>
  <c r="AB131" i="5"/>
  <c r="Z127" i="5"/>
  <c r="Z130" i="5"/>
  <c r="Z128" i="5"/>
  <c r="AD34" i="11"/>
  <c r="AE28" i="11"/>
  <c r="AD30" i="11"/>
  <c r="AD25" i="11"/>
  <c r="AD27" i="11"/>
  <c r="AE37" i="11"/>
  <c r="AE32" i="11"/>
  <c r="AE45" i="11"/>
  <c r="AE35" i="11"/>
  <c r="AE60" i="11"/>
  <c r="AE42" i="11"/>
  <c r="AE34" i="11"/>
  <c r="AE38" i="11"/>
  <c r="AE66" i="11"/>
  <c r="AD31" i="11"/>
  <c r="AE31" i="11"/>
  <c r="AE41" i="11"/>
  <c r="AE40" i="11"/>
  <c r="AE64" i="11"/>
  <c r="AE29" i="11"/>
  <c r="AE55" i="11"/>
  <c r="AE36" i="11"/>
  <c r="AE25" i="11"/>
  <c r="AD36" i="11"/>
  <c r="AD35" i="11"/>
  <c r="AE67" i="11"/>
  <c r="AE47" i="11"/>
  <c r="AE48" i="11"/>
  <c r="AE49" i="11"/>
  <c r="AE24" i="11"/>
  <c r="AD28" i="11"/>
  <c r="AE54" i="11"/>
  <c r="AE53" i="11"/>
  <c r="AD33" i="11"/>
  <c r="AE46" i="11"/>
  <c r="AE59" i="11"/>
  <c r="AE57" i="11"/>
  <c r="AE51" i="11"/>
  <c r="AB130" i="5"/>
  <c r="AD26" i="11"/>
  <c r="R126" i="5"/>
  <c r="P136" i="5"/>
  <c r="P49" i="5"/>
  <c r="AE61" i="11"/>
  <c r="AE65" i="11"/>
  <c r="AD29" i="11"/>
  <c r="AD32" i="11"/>
  <c r="AR48" i="11"/>
  <c r="AO48" i="11"/>
  <c r="AQ48" i="11"/>
  <c r="AN48" i="11"/>
  <c r="AP48" i="11"/>
  <c r="P126" i="5"/>
  <c r="AE52" i="11"/>
  <c r="AE44" i="11"/>
  <c r="AE43" i="11"/>
  <c r="AE33" i="11"/>
  <c r="AE56" i="11"/>
  <c r="P132" i="5"/>
  <c r="Q136" i="5"/>
  <c r="S132" i="5"/>
  <c r="AE30" i="11"/>
  <c r="AE50" i="11"/>
  <c r="AE39" i="11"/>
  <c r="R135" i="5"/>
  <c r="AB133" i="5"/>
  <c r="AE58" i="11"/>
  <c r="Z136" i="5"/>
  <c r="Z135" i="5"/>
  <c r="Z131" i="5"/>
  <c r="AB134" i="5"/>
  <c r="AB49" i="5"/>
  <c r="Z126" i="5"/>
  <c r="AE63" i="11"/>
  <c r="AE27" i="11"/>
  <c r="AE62" i="11"/>
  <c r="AE26" i="11"/>
  <c r="T24" i="11"/>
  <c r="B49" i="11"/>
  <c r="E147" i="5"/>
  <c r="A20" i="5"/>
  <c r="A21" i="5" s="1"/>
  <c r="A22" i="5" s="1"/>
  <c r="A23" i="5" s="1"/>
  <c r="X128" i="5"/>
  <c r="Y128" i="5" s="1"/>
  <c r="V128" i="5"/>
  <c r="W128" i="5" s="1"/>
  <c r="P129" i="5"/>
  <c r="Q133" i="5"/>
  <c r="P134" i="5"/>
  <c r="R49" i="5"/>
  <c r="R130" i="5"/>
  <c r="R134" i="5"/>
  <c r="R129" i="5"/>
  <c r="S127" i="5"/>
  <c r="Z49" i="5"/>
  <c r="AB136" i="5"/>
  <c r="R128" i="5"/>
  <c r="P131" i="5"/>
  <c r="S129" i="5"/>
  <c r="S128" i="5"/>
  <c r="U13" i="5"/>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Z49" i="11"/>
  <c r="Z63" i="11"/>
  <c r="Z35" i="11"/>
  <c r="Z51" i="11"/>
  <c r="Z40" i="11"/>
  <c r="Z65" i="11"/>
  <c r="Z36" i="11"/>
  <c r="Z58" i="11"/>
  <c r="Z52" i="11"/>
  <c r="Z59" i="11"/>
  <c r="Z44" i="11"/>
  <c r="Z32" i="11"/>
  <c r="Y33" i="11"/>
  <c r="Z66" i="11"/>
  <c r="Z61" i="11"/>
  <c r="Z47" i="11"/>
  <c r="Y32" i="11"/>
  <c r="Z25" i="11"/>
  <c r="Z33" i="11"/>
  <c r="Z42" i="11"/>
  <c r="Z48" i="11"/>
  <c r="Z50" i="11"/>
  <c r="Z45" i="11"/>
  <c r="Z30" i="11"/>
  <c r="Z53" i="11"/>
  <c r="Z60" i="11"/>
  <c r="Y28" i="11"/>
  <c r="Z29" i="11"/>
  <c r="Z39" i="11"/>
  <c r="Y29" i="11"/>
  <c r="Z62" i="11"/>
  <c r="Y24" i="11"/>
  <c r="Z41" i="11"/>
  <c r="Y27" i="11"/>
  <c r="Y26" i="11"/>
  <c r="Y30" i="11"/>
  <c r="Z37" i="11"/>
  <c r="Y25" i="11"/>
  <c r="Z54" i="11"/>
  <c r="Z31" i="11"/>
  <c r="Y36" i="11"/>
  <c r="Z56" i="11"/>
  <c r="Z46" i="11"/>
  <c r="Z24" i="11"/>
  <c r="Y34" i="11"/>
  <c r="Z57" i="11"/>
  <c r="Z28" i="11"/>
  <c r="Z34" i="11"/>
  <c r="Z27" i="11"/>
  <c r="Y35" i="11"/>
  <c r="Z38" i="11"/>
  <c r="Z64" i="11"/>
  <c r="Z67" i="11"/>
  <c r="AA61" i="11"/>
  <c r="Y31" i="11"/>
  <c r="Z55" i="11"/>
  <c r="Z26" i="11"/>
  <c r="Z43" i="11"/>
  <c r="J52" i="23" l="1"/>
  <c r="AK67" i="13" s="1"/>
  <c r="J45" i="23"/>
  <c r="AK60" i="13" s="1"/>
  <c r="J51" i="23"/>
  <c r="AK66" i="13" s="1"/>
  <c r="J50" i="23"/>
  <c r="AK65" i="13" s="1"/>
  <c r="J48" i="23"/>
  <c r="AK63" i="13" s="1"/>
  <c r="J46" i="23"/>
  <c r="AK61" i="13" s="1"/>
  <c r="J49" i="23"/>
  <c r="AK64" i="13" s="1"/>
  <c r="J44" i="23"/>
  <c r="AK59" i="13" s="1"/>
  <c r="J42" i="23"/>
  <c r="AK57" i="13" s="1"/>
  <c r="J47" i="23"/>
  <c r="AK62" i="13" s="1"/>
  <c r="J43" i="23"/>
  <c r="AK58" i="13" s="1"/>
  <c r="J135" i="5"/>
  <c r="AL55" i="11"/>
  <c r="AL58" i="13"/>
  <c r="AL54" i="13"/>
  <c r="AL54" i="11"/>
  <c r="J127" i="5"/>
  <c r="J132" i="5"/>
  <c r="J133" i="5"/>
  <c r="J130" i="5"/>
  <c r="J134" i="5"/>
  <c r="J129" i="5"/>
  <c r="AD134" i="5"/>
  <c r="J128" i="5"/>
  <c r="B125" i="13" a="1"/>
  <c r="B177" i="13" a="1"/>
  <c r="B73" i="13" a="1"/>
  <c r="B283" i="13" a="1"/>
  <c r="B230" i="13" a="1"/>
  <c r="O126" i="11" a="1"/>
  <c r="O178" i="11" a="1"/>
  <c r="O284" i="11" a="1"/>
  <c r="O231" i="11" a="1"/>
  <c r="O74" i="11" a="1"/>
  <c r="O284" i="13" a="1"/>
  <c r="O178" i="13" a="1"/>
  <c r="O231" i="13" a="1"/>
  <c r="O74" i="13" a="1"/>
  <c r="O126" i="13" a="1"/>
  <c r="O283" i="11" a="1"/>
  <c r="O73" i="11" a="1"/>
  <c r="O177" i="11" a="1"/>
  <c r="O125" i="11" a="1"/>
  <c r="O230" i="11" a="1"/>
  <c r="B284" i="13" a="1"/>
  <c r="B231" i="13" a="1"/>
  <c r="B178" i="13" a="1"/>
  <c r="B74" i="13" a="1"/>
  <c r="B126" i="13" a="1"/>
  <c r="B283" i="11" a="1"/>
  <c r="B73" i="11" a="1"/>
  <c r="B177" i="11" a="1"/>
  <c r="B125" i="11" a="1"/>
  <c r="B230" i="11" a="1"/>
  <c r="O283" i="13" a="1"/>
  <c r="O125" i="13" a="1"/>
  <c r="O73" i="13" a="1"/>
  <c r="O230" i="13" a="1"/>
  <c r="O177" i="13" a="1"/>
  <c r="H137" i="5"/>
  <c r="B74" i="11" a="1"/>
  <c r="B284" i="11" a="1"/>
  <c r="B178" i="11" a="1"/>
  <c r="B126" i="11" a="1"/>
  <c r="B231" i="11" a="1"/>
  <c r="J131" i="5"/>
  <c r="F137" i="5"/>
  <c r="AD126" i="5"/>
  <c r="AD133" i="5"/>
  <c r="G137" i="5"/>
  <c r="AD132" i="5"/>
  <c r="B129" i="5"/>
  <c r="D129" i="5"/>
  <c r="J126" i="5"/>
  <c r="I137" i="5"/>
  <c r="AL184" i="11" a="1"/>
  <c r="AR184" i="11" s="1"/>
  <c r="AD135" i="5"/>
  <c r="AL67" i="13"/>
  <c r="AM67" i="13"/>
  <c r="AL64" i="13"/>
  <c r="AL62" i="13"/>
  <c r="AD128" i="5"/>
  <c r="T136" i="5"/>
  <c r="T126" i="5"/>
  <c r="AD129" i="5"/>
  <c r="AD130" i="5"/>
  <c r="AD131" i="5"/>
  <c r="AB137" i="5"/>
  <c r="AU61" i="11"/>
  <c r="L52" i="11"/>
  <c r="AF62" i="11"/>
  <c r="V62" i="11"/>
  <c r="K63" i="11"/>
  <c r="Q63" i="11" s="1"/>
  <c r="AT28" i="11"/>
  <c r="AT58" i="11"/>
  <c r="AT52" i="11"/>
  <c r="AT51" i="11"/>
  <c r="AT54" i="11"/>
  <c r="AT67" i="11"/>
  <c r="AT29" i="11"/>
  <c r="AS31" i="11"/>
  <c r="AT35" i="11"/>
  <c r="AS25" i="11"/>
  <c r="AT27" i="11"/>
  <c r="AT56" i="11"/>
  <c r="AS32" i="11"/>
  <c r="AT57" i="11"/>
  <c r="AS28" i="11"/>
  <c r="AS35" i="11"/>
  <c r="AT66" i="11"/>
  <c r="AT63" i="11"/>
  <c r="AT64" i="11"/>
  <c r="AT38" i="11"/>
  <c r="AT45" i="11"/>
  <c r="AT39" i="11"/>
  <c r="AS29" i="11"/>
  <c r="AS26" i="11"/>
  <c r="AT59" i="11"/>
  <c r="AT24" i="11"/>
  <c r="AS36" i="11"/>
  <c r="AT40" i="11"/>
  <c r="AS30" i="11"/>
  <c r="AT50" i="11"/>
  <c r="AT46" i="11"/>
  <c r="AT34" i="11"/>
  <c r="AT32" i="11"/>
  <c r="AT26" i="11"/>
  <c r="AT30" i="11"/>
  <c r="AT33" i="11"/>
  <c r="AT65" i="11"/>
  <c r="AT49" i="11"/>
  <c r="AT25" i="11"/>
  <c r="AT42" i="11"/>
  <c r="AT37" i="11"/>
  <c r="AT62" i="11"/>
  <c r="AT43" i="11"/>
  <c r="AT61" i="11"/>
  <c r="AS33" i="11"/>
  <c r="AT48" i="11"/>
  <c r="AT36" i="11"/>
  <c r="AT41" i="11"/>
  <c r="AS27" i="11"/>
  <c r="AS34" i="11"/>
  <c r="AT44" i="11"/>
  <c r="AT53" i="11"/>
  <c r="AT47" i="11"/>
  <c r="AT55" i="11"/>
  <c r="AT31" i="11"/>
  <c r="AT60" i="11"/>
  <c r="AD51" i="1"/>
  <c r="AD127" i="5"/>
  <c r="T135" i="5"/>
  <c r="Z137" i="5"/>
  <c r="AS24" i="11"/>
  <c r="T128" i="5"/>
  <c r="T129" i="5"/>
  <c r="R137" i="5"/>
  <c r="AR49" i="11"/>
  <c r="AO49" i="11"/>
  <c r="AN49" i="11"/>
  <c r="AQ49" i="11"/>
  <c r="AP49" i="11"/>
  <c r="B50" i="11"/>
  <c r="V129" i="5"/>
  <c r="W129" i="5" s="1"/>
  <c r="X129" i="5"/>
  <c r="Y129" i="5" s="1"/>
  <c r="A24" i="5"/>
  <c r="A25" i="5" s="1"/>
  <c r="A26" i="5" s="1"/>
  <c r="A27" i="5" s="1"/>
  <c r="T131" i="5"/>
  <c r="T134" i="5"/>
  <c r="AD136" i="5"/>
  <c r="T132" i="5"/>
  <c r="U14" i="5"/>
  <c r="P137" i="5"/>
  <c r="S137" i="5"/>
  <c r="T133" i="5"/>
  <c r="A65" i="5"/>
  <c r="P64" i="5"/>
  <c r="Z64" i="5"/>
  <c r="F64" i="5"/>
  <c r="H64" i="5"/>
  <c r="R64" i="5"/>
  <c r="AB64" i="5"/>
  <c r="T130" i="5"/>
  <c r="Q137" i="5"/>
  <c r="T127" i="5"/>
  <c r="AA62" i="11"/>
  <c r="AL63" i="11" l="1"/>
  <c r="AL58" i="11"/>
  <c r="AL55" i="13"/>
  <c r="AL57" i="13"/>
  <c r="AL57" i="11"/>
  <c r="AL56" i="11"/>
  <c r="AL56" i="13"/>
  <c r="AL59" i="11"/>
  <c r="AL59" i="13"/>
  <c r="AM66" i="13"/>
  <c r="AL66" i="13"/>
  <c r="J137" i="5"/>
  <c r="AM61" i="13"/>
  <c r="AL61" i="13"/>
  <c r="AM63" i="13"/>
  <c r="AL63" i="13"/>
  <c r="AM60" i="13"/>
  <c r="AL60" i="13"/>
  <c r="AM65" i="13"/>
  <c r="AL65" i="13"/>
  <c r="AL184" i="11"/>
  <c r="AO184" i="11"/>
  <c r="AQ184" i="11"/>
  <c r="AS184" i="11"/>
  <c r="AP184" i="11"/>
  <c r="AU184" i="11"/>
  <c r="AL62" i="11"/>
  <c r="AM62" i="13"/>
  <c r="AL64" i="11"/>
  <c r="AM64" i="13"/>
  <c r="AL60" i="11"/>
  <c r="AT184" i="11"/>
  <c r="AV184" i="11"/>
  <c r="AM184" i="11"/>
  <c r="AN184" i="11"/>
  <c r="H126" i="11"/>
  <c r="E126" i="11"/>
  <c r="B126" i="11"/>
  <c r="F126" i="11"/>
  <c r="K126" i="11"/>
  <c r="D126" i="11"/>
  <c r="L126" i="11"/>
  <c r="J126" i="11"/>
  <c r="C126" i="11"/>
  <c r="I126" i="11"/>
  <c r="G126" i="11"/>
  <c r="H178" i="11"/>
  <c r="C178" i="11"/>
  <c r="G178" i="11"/>
  <c r="K178" i="11"/>
  <c r="D178" i="11"/>
  <c r="J178" i="11"/>
  <c r="F178" i="11"/>
  <c r="B178" i="11"/>
  <c r="I178" i="11"/>
  <c r="L178" i="11"/>
  <c r="E178" i="11"/>
  <c r="R283" i="13"/>
  <c r="O283" i="13"/>
  <c r="V283" i="13"/>
  <c r="U283" i="13"/>
  <c r="Q283" i="13"/>
  <c r="X283" i="13"/>
  <c r="P283" i="13"/>
  <c r="Y283" i="13"/>
  <c r="W283" i="13"/>
  <c r="T283" i="13"/>
  <c r="S283" i="13"/>
  <c r="H178" i="13"/>
  <c r="E178" i="13"/>
  <c r="L178" i="13"/>
  <c r="J178" i="13"/>
  <c r="I178" i="13"/>
  <c r="B178" i="13"/>
  <c r="C178" i="13"/>
  <c r="F178" i="13"/>
  <c r="G178" i="13"/>
  <c r="K178" i="13"/>
  <c r="D178" i="13"/>
  <c r="Y126" i="13"/>
  <c r="X126" i="13"/>
  <c r="V126" i="13"/>
  <c r="R126" i="13"/>
  <c r="Q126" i="13"/>
  <c r="T126" i="13"/>
  <c r="S126" i="13"/>
  <c r="W126" i="13"/>
  <c r="P126" i="13"/>
  <c r="U126" i="13"/>
  <c r="O126" i="13"/>
  <c r="Y178" i="11"/>
  <c r="V178" i="11"/>
  <c r="Q178" i="11"/>
  <c r="P178" i="11"/>
  <c r="R178" i="11"/>
  <c r="O178" i="11"/>
  <c r="S178" i="11"/>
  <c r="T178" i="11"/>
  <c r="X178" i="11"/>
  <c r="W178" i="11"/>
  <c r="U178" i="11"/>
  <c r="Y283" i="11"/>
  <c r="S283" i="11"/>
  <c r="X283" i="11"/>
  <c r="O283" i="11"/>
  <c r="T283" i="11"/>
  <c r="V283" i="11"/>
  <c r="U283" i="11"/>
  <c r="R283" i="11"/>
  <c r="Q283" i="11"/>
  <c r="P283" i="11"/>
  <c r="W283" i="11"/>
  <c r="Y284" i="11"/>
  <c r="T284" i="11"/>
  <c r="Q284" i="11"/>
  <c r="U284" i="11"/>
  <c r="O284" i="11"/>
  <c r="V284" i="11"/>
  <c r="R284" i="11"/>
  <c r="W284" i="11"/>
  <c r="X284" i="11"/>
  <c r="S284" i="11"/>
  <c r="P284" i="11"/>
  <c r="E74" i="13"/>
  <c r="H74" i="13"/>
  <c r="G74" i="13"/>
  <c r="F74" i="13"/>
  <c r="D74" i="13"/>
  <c r="C74" i="13"/>
  <c r="I74" i="13"/>
  <c r="B74" i="13"/>
  <c r="J74" i="13"/>
  <c r="K74" i="13"/>
  <c r="L74" i="13"/>
  <c r="Y125" i="13"/>
  <c r="U125" i="13"/>
  <c r="S125" i="13"/>
  <c r="T125" i="13"/>
  <c r="Q125" i="13"/>
  <c r="W125" i="13"/>
  <c r="P125" i="13"/>
  <c r="X125" i="13"/>
  <c r="R125" i="13"/>
  <c r="V125" i="13"/>
  <c r="O125" i="13"/>
  <c r="C129" i="5"/>
  <c r="H284" i="11"/>
  <c r="B284" i="11"/>
  <c r="L284" i="11"/>
  <c r="J284" i="11"/>
  <c r="G284" i="11"/>
  <c r="I284" i="11"/>
  <c r="C284" i="11"/>
  <c r="K284" i="11"/>
  <c r="D284" i="11"/>
  <c r="E284" i="11"/>
  <c r="F284" i="11"/>
  <c r="H230" i="11"/>
  <c r="B230" i="11"/>
  <c r="J230" i="11"/>
  <c r="C230" i="11"/>
  <c r="F230" i="11"/>
  <c r="I230" i="11"/>
  <c r="E230" i="11"/>
  <c r="K230" i="11"/>
  <c r="G230" i="11"/>
  <c r="D230" i="11"/>
  <c r="L230" i="11"/>
  <c r="H231" i="13"/>
  <c r="I231" i="13"/>
  <c r="C231" i="13"/>
  <c r="L231" i="13"/>
  <c r="K231" i="13"/>
  <c r="D231" i="13"/>
  <c r="E231" i="13"/>
  <c r="G231" i="13"/>
  <c r="B231" i="13"/>
  <c r="J231" i="13"/>
  <c r="F231" i="13"/>
  <c r="V74" i="13"/>
  <c r="O74" i="13"/>
  <c r="P74" i="13"/>
  <c r="Y74" i="13"/>
  <c r="Q74" i="13"/>
  <c r="X74" i="13"/>
  <c r="W74" i="13"/>
  <c r="S74" i="13"/>
  <c r="T74" i="13"/>
  <c r="U74" i="13"/>
  <c r="R74" i="13"/>
  <c r="Y126" i="11"/>
  <c r="R126" i="11"/>
  <c r="X126" i="11"/>
  <c r="T126" i="11"/>
  <c r="S126" i="11"/>
  <c r="W126" i="11"/>
  <c r="O126" i="11"/>
  <c r="Q126" i="11"/>
  <c r="U126" i="11"/>
  <c r="V126" i="11"/>
  <c r="P126" i="11"/>
  <c r="E74" i="11"/>
  <c r="H74" i="11"/>
  <c r="G74" i="11"/>
  <c r="L74" i="11"/>
  <c r="F74" i="11"/>
  <c r="C74" i="11"/>
  <c r="J74" i="11"/>
  <c r="B74" i="11"/>
  <c r="I74" i="11"/>
  <c r="K74" i="11"/>
  <c r="D74" i="11"/>
  <c r="H125" i="11"/>
  <c r="C125" i="11"/>
  <c r="K125" i="11"/>
  <c r="E125" i="11"/>
  <c r="B125" i="11"/>
  <c r="F125" i="11"/>
  <c r="D125" i="11"/>
  <c r="G125" i="11"/>
  <c r="J125" i="11"/>
  <c r="L125" i="11"/>
  <c r="I125" i="11"/>
  <c r="E284" i="13"/>
  <c r="H284" i="13"/>
  <c r="G284" i="13"/>
  <c r="D284" i="13"/>
  <c r="L284" i="13"/>
  <c r="F284" i="13"/>
  <c r="C284" i="13"/>
  <c r="J284" i="13"/>
  <c r="K284" i="13"/>
  <c r="I284" i="13"/>
  <c r="B284" i="13"/>
  <c r="Y231" i="13"/>
  <c r="W231" i="13"/>
  <c r="Q231" i="13"/>
  <c r="T231" i="13"/>
  <c r="P231" i="13"/>
  <c r="V231" i="13"/>
  <c r="U231" i="13"/>
  <c r="O231" i="13"/>
  <c r="S231" i="13"/>
  <c r="X231" i="13"/>
  <c r="R231" i="13"/>
  <c r="H230" i="13"/>
  <c r="E230" i="13"/>
  <c r="B230" i="13"/>
  <c r="C230" i="13"/>
  <c r="K230" i="13"/>
  <c r="I230" i="13"/>
  <c r="F230" i="13"/>
  <c r="L230" i="13"/>
  <c r="G230" i="13"/>
  <c r="J230" i="13"/>
  <c r="D230" i="13"/>
  <c r="H177" i="11"/>
  <c r="B177" i="11"/>
  <c r="J177" i="11"/>
  <c r="I177" i="11"/>
  <c r="F177" i="11"/>
  <c r="C177" i="11"/>
  <c r="G177" i="11"/>
  <c r="K177" i="11"/>
  <c r="L177" i="11"/>
  <c r="D177" i="11"/>
  <c r="E177" i="11"/>
  <c r="Y230" i="11"/>
  <c r="U230" i="11"/>
  <c r="X230" i="11"/>
  <c r="R230" i="11"/>
  <c r="P230" i="11"/>
  <c r="V230" i="11"/>
  <c r="T230" i="11"/>
  <c r="S230" i="11"/>
  <c r="W230" i="11"/>
  <c r="O230" i="11"/>
  <c r="Q230" i="11"/>
  <c r="Y178" i="13"/>
  <c r="U178" i="13"/>
  <c r="R178" i="13"/>
  <c r="T178" i="13"/>
  <c r="Q178" i="13"/>
  <c r="O178" i="13"/>
  <c r="S178" i="13"/>
  <c r="P178" i="13"/>
  <c r="X178" i="13"/>
  <c r="V178" i="13"/>
  <c r="W178" i="13"/>
  <c r="E283" i="13"/>
  <c r="C283" i="13"/>
  <c r="J283" i="13"/>
  <c r="H283" i="13"/>
  <c r="G283" i="13"/>
  <c r="L283" i="13"/>
  <c r="F283" i="13"/>
  <c r="D283" i="13"/>
  <c r="I283" i="13"/>
  <c r="K283" i="13"/>
  <c r="B283" i="13"/>
  <c r="Y177" i="13"/>
  <c r="S177" i="13"/>
  <c r="O177" i="13"/>
  <c r="T177" i="13"/>
  <c r="R177" i="13"/>
  <c r="X177" i="13"/>
  <c r="Q177" i="13"/>
  <c r="U177" i="13"/>
  <c r="P177" i="13"/>
  <c r="V177" i="13"/>
  <c r="W177" i="13"/>
  <c r="C73" i="11"/>
  <c r="E73" i="11"/>
  <c r="L73" i="11"/>
  <c r="J73" i="11"/>
  <c r="I73" i="11"/>
  <c r="F73" i="11"/>
  <c r="H73" i="11"/>
  <c r="G73" i="11"/>
  <c r="B73" i="11"/>
  <c r="K73" i="11"/>
  <c r="D73" i="11"/>
  <c r="Y125" i="11"/>
  <c r="S125" i="11"/>
  <c r="W125" i="11"/>
  <c r="P125" i="11"/>
  <c r="V125" i="11"/>
  <c r="R125" i="11"/>
  <c r="X125" i="11"/>
  <c r="Q125" i="11"/>
  <c r="U125" i="11"/>
  <c r="O125" i="11"/>
  <c r="T125" i="11"/>
  <c r="S284" i="13"/>
  <c r="Y284" i="13"/>
  <c r="Q284" i="13"/>
  <c r="X284" i="13"/>
  <c r="W284" i="13"/>
  <c r="O284" i="13"/>
  <c r="U284" i="13"/>
  <c r="P284" i="13"/>
  <c r="R284" i="13"/>
  <c r="V284" i="13"/>
  <c r="T284" i="13"/>
  <c r="L73" i="13"/>
  <c r="E73" i="13"/>
  <c r="F73" i="13"/>
  <c r="G73" i="13"/>
  <c r="H73" i="13"/>
  <c r="I73" i="13"/>
  <c r="K73" i="13"/>
  <c r="D73" i="13"/>
  <c r="J73" i="13"/>
  <c r="B73" i="13"/>
  <c r="C73" i="13"/>
  <c r="Y230" i="13"/>
  <c r="U230" i="13"/>
  <c r="X230" i="13"/>
  <c r="S230" i="13"/>
  <c r="O230" i="13"/>
  <c r="V230" i="13"/>
  <c r="W230" i="13"/>
  <c r="P230" i="13"/>
  <c r="Q230" i="13"/>
  <c r="T230" i="13"/>
  <c r="R230" i="13"/>
  <c r="H283" i="11"/>
  <c r="F283" i="11"/>
  <c r="I283" i="11"/>
  <c r="K283" i="11"/>
  <c r="D283" i="11"/>
  <c r="L283" i="11"/>
  <c r="G283" i="11"/>
  <c r="J283" i="11"/>
  <c r="E283" i="11"/>
  <c r="B283" i="11"/>
  <c r="C283" i="11"/>
  <c r="Y177" i="11"/>
  <c r="U177" i="11"/>
  <c r="P177" i="11"/>
  <c r="W177" i="11"/>
  <c r="T177" i="11"/>
  <c r="X177" i="11"/>
  <c r="S177" i="11"/>
  <c r="O177" i="11"/>
  <c r="Q177" i="11"/>
  <c r="R177" i="11"/>
  <c r="V177" i="11"/>
  <c r="S74" i="11"/>
  <c r="X74" i="11"/>
  <c r="P74" i="11"/>
  <c r="U74" i="11"/>
  <c r="V74" i="11"/>
  <c r="R74" i="11"/>
  <c r="T74" i="11"/>
  <c r="Y74" i="11"/>
  <c r="Q74" i="11"/>
  <c r="O74" i="11"/>
  <c r="W74" i="11"/>
  <c r="H177" i="13"/>
  <c r="E177" i="13"/>
  <c r="K177" i="13"/>
  <c r="I177" i="13"/>
  <c r="F177" i="13"/>
  <c r="G177" i="13"/>
  <c r="D177" i="13"/>
  <c r="L177" i="13"/>
  <c r="B177" i="13"/>
  <c r="J177" i="13"/>
  <c r="C177" i="13"/>
  <c r="E129" i="5"/>
  <c r="H231" i="11"/>
  <c r="J231" i="11"/>
  <c r="C231" i="11"/>
  <c r="E231" i="11"/>
  <c r="F231" i="11"/>
  <c r="G231" i="11"/>
  <c r="K231" i="11"/>
  <c r="D231" i="11"/>
  <c r="L231" i="11"/>
  <c r="I231" i="11"/>
  <c r="B231" i="11"/>
  <c r="V73" i="13"/>
  <c r="W73" i="13"/>
  <c r="P73" i="13"/>
  <c r="Q73" i="13"/>
  <c r="X73" i="13"/>
  <c r="O73" i="13"/>
  <c r="Y73" i="13"/>
  <c r="T73" i="13"/>
  <c r="U73" i="13"/>
  <c r="R73" i="13"/>
  <c r="S73" i="13"/>
  <c r="H126" i="13"/>
  <c r="I126" i="13"/>
  <c r="E126" i="13"/>
  <c r="C126" i="13"/>
  <c r="D126" i="13"/>
  <c r="L126" i="13"/>
  <c r="B126" i="13"/>
  <c r="F126" i="13"/>
  <c r="J126" i="13"/>
  <c r="K126" i="13"/>
  <c r="G126" i="13"/>
  <c r="S73" i="11"/>
  <c r="Y73" i="11"/>
  <c r="Q73" i="11"/>
  <c r="W73" i="11"/>
  <c r="O73" i="11"/>
  <c r="U73" i="11"/>
  <c r="X73" i="11"/>
  <c r="P73" i="11"/>
  <c r="R73" i="11"/>
  <c r="V73" i="11"/>
  <c r="T73" i="11"/>
  <c r="Y231" i="11"/>
  <c r="Q231" i="11"/>
  <c r="S231" i="11"/>
  <c r="O231" i="11"/>
  <c r="W231" i="11"/>
  <c r="R231" i="11"/>
  <c r="X231" i="11"/>
  <c r="U231" i="11"/>
  <c r="P231" i="11"/>
  <c r="T231" i="11"/>
  <c r="V231" i="11"/>
  <c r="H125" i="13"/>
  <c r="K125" i="13"/>
  <c r="F125" i="13"/>
  <c r="B125" i="13"/>
  <c r="I125" i="13"/>
  <c r="J125" i="13"/>
  <c r="L125" i="13"/>
  <c r="D125" i="13"/>
  <c r="G125" i="13"/>
  <c r="C125" i="13"/>
  <c r="E125" i="13"/>
  <c r="AM67" i="11"/>
  <c r="X130" i="5"/>
  <c r="Y130" i="5" s="1"/>
  <c r="B130" i="5"/>
  <c r="D130" i="5"/>
  <c r="AL66" i="11"/>
  <c r="AD137" i="5"/>
  <c r="AL67" i="11"/>
  <c r="AL65" i="11"/>
  <c r="AL61" i="11"/>
  <c r="AU62" i="11"/>
  <c r="L53" i="11"/>
  <c r="K64" i="11"/>
  <c r="Q64" i="11" s="1"/>
  <c r="V63" i="11"/>
  <c r="AF63" i="11"/>
  <c r="AD52" i="1"/>
  <c r="V130" i="5"/>
  <c r="W130" i="5" s="1"/>
  <c r="AQ50" i="11"/>
  <c r="AP50" i="11"/>
  <c r="AO50" i="11"/>
  <c r="AR50" i="11"/>
  <c r="AN50" i="11"/>
  <c r="B51" i="11"/>
  <c r="T137" i="5"/>
  <c r="A28" i="5"/>
  <c r="A29" i="5" s="1"/>
  <c r="A30" i="5" s="1"/>
  <c r="A31" i="5" s="1"/>
  <c r="B131" i="5" s="1"/>
  <c r="C131" i="5" s="1"/>
  <c r="F65" i="5"/>
  <c r="F66" i="5" s="1"/>
  <c r="Z65" i="5"/>
  <c r="Z66" i="5" s="1"/>
  <c r="AB65" i="5"/>
  <c r="AB66" i="5" s="1"/>
  <c r="A68" i="5"/>
  <c r="P65" i="5"/>
  <c r="P66" i="5" s="1"/>
  <c r="R65" i="5"/>
  <c r="R66" i="5" s="1"/>
  <c r="H65" i="5"/>
  <c r="H66" i="5" s="1"/>
  <c r="U15" i="5"/>
  <c r="AA63" i="11"/>
  <c r="Z291" i="11" l="1"/>
  <c r="N154" i="11"/>
  <c r="N251" i="13"/>
  <c r="AA184" i="11"/>
  <c r="Z156" i="11"/>
  <c r="N170" i="13"/>
  <c r="N145" i="13"/>
  <c r="AA84" i="13"/>
  <c r="N246" i="13"/>
  <c r="AA186" i="11"/>
  <c r="AA158" i="11"/>
  <c r="N144" i="11"/>
  <c r="Z132" i="11"/>
  <c r="Z114" i="13"/>
  <c r="AF135" i="13"/>
  <c r="Z308" i="11"/>
  <c r="M298" i="11"/>
  <c r="N234" i="13"/>
  <c r="N157" i="11"/>
  <c r="M91" i="13"/>
  <c r="N271" i="13"/>
  <c r="N180" i="11"/>
  <c r="Z169" i="11"/>
  <c r="AA165" i="11"/>
  <c r="Z104" i="13"/>
  <c r="AA112" i="13"/>
  <c r="N160" i="13"/>
  <c r="AA132" i="11"/>
  <c r="AA138" i="11"/>
  <c r="N146" i="11"/>
  <c r="Z130" i="11"/>
  <c r="Z95" i="13"/>
  <c r="N148" i="13"/>
  <c r="N266" i="13"/>
  <c r="N312" i="13"/>
  <c r="AA250" i="11"/>
  <c r="AA218" i="11"/>
  <c r="AE214" i="13"/>
  <c r="AA153" i="11"/>
  <c r="AA154" i="11"/>
  <c r="N167" i="11"/>
  <c r="Z151" i="11"/>
  <c r="Z107" i="13"/>
  <c r="N188" i="13"/>
  <c r="N287" i="13"/>
  <c r="N324" i="13"/>
  <c r="AE247" i="13"/>
  <c r="N108" i="11"/>
  <c r="Z146" i="11"/>
  <c r="AA135" i="11"/>
  <c r="AA144" i="11"/>
  <c r="N193" i="13"/>
  <c r="AA83" i="13"/>
  <c r="Z187" i="11"/>
  <c r="AF152" i="13"/>
  <c r="N292" i="13"/>
  <c r="AA320" i="11"/>
  <c r="AA139" i="11"/>
  <c r="N138" i="11"/>
  <c r="N307" i="13"/>
  <c r="AA287" i="11"/>
  <c r="N158" i="11"/>
  <c r="N202" i="13"/>
  <c r="AA81" i="13"/>
  <c r="Z213" i="11"/>
  <c r="Z165" i="11"/>
  <c r="N239" i="13"/>
  <c r="AF93" i="13"/>
  <c r="N169" i="13"/>
  <c r="N296" i="13"/>
  <c r="AA210" i="11"/>
  <c r="AA159" i="11"/>
  <c r="N255" i="11"/>
  <c r="N145" i="11"/>
  <c r="Z135" i="11"/>
  <c r="Z79" i="13"/>
  <c r="AE268" i="13"/>
  <c r="Z287" i="11"/>
  <c r="M196" i="11"/>
  <c r="AA209" i="11"/>
  <c r="M77" i="13"/>
  <c r="N141" i="11"/>
  <c r="N319" i="13"/>
  <c r="AA315" i="11"/>
  <c r="N139" i="11"/>
  <c r="Z240" i="11"/>
  <c r="N213" i="13"/>
  <c r="AA86" i="13"/>
  <c r="AA316" i="11"/>
  <c r="Z112" i="13"/>
  <c r="N149" i="13"/>
  <c r="N191" i="13"/>
  <c r="Z144" i="11"/>
  <c r="AF94" i="13"/>
  <c r="AA181" i="11"/>
  <c r="AA183" i="11"/>
  <c r="N322" i="11"/>
  <c r="AA217" i="11"/>
  <c r="AA202" i="11"/>
  <c r="AA236" i="11"/>
  <c r="AA214" i="11"/>
  <c r="AA212" i="11"/>
  <c r="AF132" i="13"/>
  <c r="AF237" i="13"/>
  <c r="AF274" i="13"/>
  <c r="AF317" i="13"/>
  <c r="AA82" i="13"/>
  <c r="AA116" i="13"/>
  <c r="AA99" i="13"/>
  <c r="AA90" i="13"/>
  <c r="AA97" i="13"/>
  <c r="AA77" i="13"/>
  <c r="AA98" i="13"/>
  <c r="AA115" i="13"/>
  <c r="AA93" i="13"/>
  <c r="AA106" i="13"/>
  <c r="AA79" i="13"/>
  <c r="AA80" i="13"/>
  <c r="AA114" i="13"/>
  <c r="AA91" i="13"/>
  <c r="AA88" i="13"/>
  <c r="AA105" i="13"/>
  <c r="AA94" i="13"/>
  <c r="AA111" i="13"/>
  <c r="AA95" i="13"/>
  <c r="AA102" i="13"/>
  <c r="AA119" i="13"/>
  <c r="AA92" i="13"/>
  <c r="AA327" i="11"/>
  <c r="AA308" i="11"/>
  <c r="AA261" i="11"/>
  <c r="AA324" i="11"/>
  <c r="AA265" i="11"/>
  <c r="AA275" i="11"/>
  <c r="AA269" i="11"/>
  <c r="AA220" i="11"/>
  <c r="AA273" i="11"/>
  <c r="AA243" i="11"/>
  <c r="AA245" i="11"/>
  <c r="AA255" i="11"/>
  <c r="AA317" i="11"/>
  <c r="AA182" i="11"/>
  <c r="AA289" i="11"/>
  <c r="AA323" i="11"/>
  <c r="AA252" i="11"/>
  <c r="AA295" i="11"/>
  <c r="AA189" i="11"/>
  <c r="AA302" i="11"/>
  <c r="AA191" i="11"/>
  <c r="AA306" i="11"/>
  <c r="AA259" i="11"/>
  <c r="AA310" i="11"/>
  <c r="AA300" i="11"/>
  <c r="AA314" i="11"/>
  <c r="AA247" i="11"/>
  <c r="AA286" i="11"/>
  <c r="AA180" i="11"/>
  <c r="AA249" i="11"/>
  <c r="AA296" i="11"/>
  <c r="AA321" i="11"/>
  <c r="AA190" i="11"/>
  <c r="AA293" i="11"/>
  <c r="AA187" i="11"/>
  <c r="AA195" i="11"/>
  <c r="AA216" i="11"/>
  <c r="AA197" i="11"/>
  <c r="AA239" i="11"/>
  <c r="AA199" i="11"/>
  <c r="AA271" i="11"/>
  <c r="AA201" i="11"/>
  <c r="AA312" i="11"/>
  <c r="AA318" i="11"/>
  <c r="AA288" i="11"/>
  <c r="AA290" i="11"/>
  <c r="AA235" i="11"/>
  <c r="AA253" i="11"/>
  <c r="AA222" i="11"/>
  <c r="AA325" i="11"/>
  <c r="AA256" i="11"/>
  <c r="AA299" i="11"/>
  <c r="AA260" i="11"/>
  <c r="AA303" i="11"/>
  <c r="AA264" i="11"/>
  <c r="AA307" i="11"/>
  <c r="AA268" i="11"/>
  <c r="AA311" i="11"/>
  <c r="AA240" i="11"/>
  <c r="AA274" i="11"/>
  <c r="AA204" i="11"/>
  <c r="AA246" i="11"/>
  <c r="AA219" i="11"/>
  <c r="AA207" i="11"/>
  <c r="AA185" i="11"/>
  <c r="AA193" i="11"/>
  <c r="N128" i="11"/>
  <c r="N161" i="11"/>
  <c r="N131" i="11"/>
  <c r="N155" i="11"/>
  <c r="N166" i="11"/>
  <c r="N156" i="11"/>
  <c r="N165" i="11"/>
  <c r="N168" i="11"/>
  <c r="N137" i="11"/>
  <c r="N164" i="11"/>
  <c r="N162" i="11"/>
  <c r="AE187" i="13"/>
  <c r="AE208" i="13"/>
  <c r="M78" i="13"/>
  <c r="AE252" i="13"/>
  <c r="AE138" i="13"/>
  <c r="M98" i="13"/>
  <c r="AE215" i="13"/>
  <c r="AE199" i="13"/>
  <c r="M85" i="13"/>
  <c r="M102" i="13"/>
  <c r="M81" i="13"/>
  <c r="AA168" i="11"/>
  <c r="AA143" i="11"/>
  <c r="Z195" i="11"/>
  <c r="AA161" i="11"/>
  <c r="AA164" i="11"/>
  <c r="AA147" i="11"/>
  <c r="N152" i="11"/>
  <c r="N149" i="11"/>
  <c r="N171" i="11"/>
  <c r="N160" i="11"/>
  <c r="Z167" i="11"/>
  <c r="Z171" i="11"/>
  <c r="Z256" i="11"/>
  <c r="Z307" i="11"/>
  <c r="Z108" i="13"/>
  <c r="Z76" i="13"/>
  <c r="Z97" i="13"/>
  <c r="M113" i="13"/>
  <c r="N158" i="13"/>
  <c r="N140" i="13"/>
  <c r="N151" i="13"/>
  <c r="N182" i="13"/>
  <c r="N189" i="13"/>
  <c r="N236" i="13"/>
  <c r="N268" i="13"/>
  <c r="N309" i="13"/>
  <c r="N241" i="13"/>
  <c r="N273" i="13"/>
  <c r="N314" i="13"/>
  <c r="AA89" i="13"/>
  <c r="AA85" i="13"/>
  <c r="AA96" i="13"/>
  <c r="AA267" i="11"/>
  <c r="AA292" i="11"/>
  <c r="N203" i="11"/>
  <c r="AA328" i="11"/>
  <c r="AA215" i="11"/>
  <c r="AA200" i="11"/>
  <c r="AA198" i="11"/>
  <c r="AA196" i="11"/>
  <c r="AA194" i="11"/>
  <c r="AE77" i="13"/>
  <c r="AF294" i="13"/>
  <c r="AF311" i="13"/>
  <c r="AF9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259" i="13"/>
  <c r="N243" i="13"/>
  <c r="N327" i="13"/>
  <c r="N311" i="13"/>
  <c r="N295" i="13"/>
  <c r="N270" i="13"/>
  <c r="N254" i="13"/>
  <c r="N238" i="13"/>
  <c r="N207" i="13"/>
  <c r="N205" i="13"/>
  <c r="N218" i="13"/>
  <c r="N186" i="13"/>
  <c r="N220" i="13"/>
  <c r="N326" i="13"/>
  <c r="N310" i="13"/>
  <c r="N294" i="13"/>
  <c r="N269" i="13"/>
  <c r="N253" i="13"/>
  <c r="N237" i="13"/>
  <c r="N321" i="13"/>
  <c r="N305" i="13"/>
  <c r="N289" i="13"/>
  <c r="N264" i="13"/>
  <c r="N248" i="13"/>
  <c r="N223" i="13"/>
  <c r="N195" i="13"/>
  <c r="N201" i="13"/>
  <c r="N206" i="13"/>
  <c r="N216" i="13"/>
  <c r="N196" i="13"/>
  <c r="N79" i="11"/>
  <c r="Z265" i="11"/>
  <c r="Z296" i="11"/>
  <c r="Z261" i="11"/>
  <c r="Z292" i="11"/>
  <c r="Z323" i="11"/>
  <c r="Z249" i="11"/>
  <c r="Z272" i="11"/>
  <c r="Z303" i="11"/>
  <c r="Z324" i="11"/>
  <c r="Z252" i="11"/>
  <c r="Z217" i="11"/>
  <c r="AA137" i="11"/>
  <c r="Z211" i="11"/>
  <c r="Z214" i="11"/>
  <c r="AA157" i="11"/>
  <c r="AA140" i="11"/>
  <c r="AA133" i="11"/>
  <c r="N169" i="11"/>
  <c r="N129" i="11"/>
  <c r="N136" i="11"/>
  <c r="N151" i="11"/>
  <c r="Z145" i="11"/>
  <c r="Z150" i="11"/>
  <c r="Z268" i="11"/>
  <c r="Z319" i="11"/>
  <c r="Z118" i="13"/>
  <c r="Z96" i="13"/>
  <c r="Z105" i="13"/>
  <c r="M76" i="13"/>
  <c r="N146" i="13"/>
  <c r="N147" i="13"/>
  <c r="N180" i="13"/>
  <c r="N198" i="13"/>
  <c r="N187" i="13"/>
  <c r="N244" i="13"/>
  <c r="N276" i="13"/>
  <c r="N317" i="13"/>
  <c r="N249" i="13"/>
  <c r="N290" i="13"/>
  <c r="N322" i="13"/>
  <c r="AA101" i="13"/>
  <c r="AA100" i="13"/>
  <c r="AA254" i="11"/>
  <c r="AA291" i="11"/>
  <c r="N190" i="11"/>
  <c r="AA319" i="11"/>
  <c r="AA304" i="11"/>
  <c r="AA188" i="11"/>
  <c r="AA192" i="11"/>
  <c r="AA263" i="11"/>
  <c r="AA223" i="11"/>
  <c r="AA251" i="11"/>
  <c r="AE296" i="13"/>
  <c r="AF302" i="13"/>
  <c r="AF315" i="13"/>
  <c r="N80" i="11"/>
  <c r="AA131" i="11"/>
  <c r="AA156" i="11"/>
  <c r="N150" i="11"/>
  <c r="N134" i="11"/>
  <c r="Z157" i="11"/>
  <c r="AA151" i="11"/>
  <c r="Z100" i="13"/>
  <c r="Z111" i="13"/>
  <c r="N165" i="13"/>
  <c r="N204" i="13"/>
  <c r="N199" i="13"/>
  <c r="N291" i="13"/>
  <c r="N255" i="13"/>
  <c r="N328" i="13"/>
  <c r="AA76" i="13"/>
  <c r="AA326" i="11"/>
  <c r="AA205" i="11"/>
  <c r="AA242" i="11"/>
  <c r="AA270" i="11"/>
  <c r="AA266" i="11"/>
  <c r="AA262" i="11"/>
  <c r="AA258" i="11"/>
  <c r="AE314" i="13"/>
  <c r="AF80" i="13"/>
  <c r="AF130" i="13"/>
  <c r="AF163" i="13"/>
  <c r="M188" i="11"/>
  <c r="Z136" i="11"/>
  <c r="Z147" i="11"/>
  <c r="Z140" i="11"/>
  <c r="Z149" i="11"/>
  <c r="Z139" i="11"/>
  <c r="Z168" i="11"/>
  <c r="Z159" i="11"/>
  <c r="Z129" i="11"/>
  <c r="Z126" i="11"/>
  <c r="Z143" i="11"/>
  <c r="Z166" i="11"/>
  <c r="Z155" i="11"/>
  <c r="Z152" i="11"/>
  <c r="Z163" i="11"/>
  <c r="Z133" i="11"/>
  <c r="Z141" i="11"/>
  <c r="Z131" i="11"/>
  <c r="Z137" i="11"/>
  <c r="Z128" i="11"/>
  <c r="Z162" i="11"/>
  <c r="Z158" i="11"/>
  <c r="Z148" i="11"/>
  <c r="Z170" i="11"/>
  <c r="AF276" i="13"/>
  <c r="AF205" i="13"/>
  <c r="AF320" i="13"/>
  <c r="AF166" i="13"/>
  <c r="AF273" i="13"/>
  <c r="AF116" i="13"/>
  <c r="AF218" i="13"/>
  <c r="AF240" i="13"/>
  <c r="Z119" i="13"/>
  <c r="Z103" i="13"/>
  <c r="Z87" i="13"/>
  <c r="Z88" i="13"/>
  <c r="Z98" i="13"/>
  <c r="Z102" i="13"/>
  <c r="AF201" i="13"/>
  <c r="AF316" i="13"/>
  <c r="AF162" i="13"/>
  <c r="AF269" i="13"/>
  <c r="AF112" i="13"/>
  <c r="AF210" i="13"/>
  <c r="AF87" i="13"/>
  <c r="Z117" i="13"/>
  <c r="Z101" i="13"/>
  <c r="Z85" i="13"/>
  <c r="Z78" i="13"/>
  <c r="Z90" i="13"/>
  <c r="Z94" i="13"/>
  <c r="AF321" i="13"/>
  <c r="AF167" i="13"/>
  <c r="AF288" i="13"/>
  <c r="AF134" i="13"/>
  <c r="AF241" i="13"/>
  <c r="AF84" i="13"/>
  <c r="AF140" i="13"/>
  <c r="AF172" i="13"/>
  <c r="Z115" i="13"/>
  <c r="Z99" i="13"/>
  <c r="Z83" i="13"/>
  <c r="Z106" i="13"/>
  <c r="Z82" i="13"/>
  <c r="Z86" i="13"/>
  <c r="AF275" i="13"/>
  <c r="AF131" i="13"/>
  <c r="AF242" i="13"/>
  <c r="AF89" i="13"/>
  <c r="AF195" i="13"/>
  <c r="AF103" i="13"/>
  <c r="AF206" i="13"/>
  <c r="Z109" i="13"/>
  <c r="Z93" i="13"/>
  <c r="Z77" i="13"/>
  <c r="Z80" i="13"/>
  <c r="Z84" i="13"/>
  <c r="AA170" i="11"/>
  <c r="Z183" i="11"/>
  <c r="AA149" i="11"/>
  <c r="AA125" i="11"/>
  <c r="AA150" i="11"/>
  <c r="N140" i="11"/>
  <c r="N163" i="11"/>
  <c r="N142" i="11"/>
  <c r="N133" i="11"/>
  <c r="Z161" i="11"/>
  <c r="Z164" i="11"/>
  <c r="Z328" i="11"/>
  <c r="Z116" i="13"/>
  <c r="Z81" i="13"/>
  <c r="Z113" i="13"/>
  <c r="N129" i="13"/>
  <c r="N143" i="13"/>
  <c r="N141" i="13"/>
  <c r="N212" i="13"/>
  <c r="N214" i="13"/>
  <c r="N203" i="13"/>
  <c r="N252" i="13"/>
  <c r="N293" i="13"/>
  <c r="N325" i="13"/>
  <c r="N257" i="13"/>
  <c r="N298" i="13"/>
  <c r="AA110" i="13"/>
  <c r="AA104" i="13"/>
  <c r="AA113" i="13"/>
  <c r="AA257" i="11"/>
  <c r="AA294" i="11"/>
  <c r="N181" i="11"/>
  <c r="AA322" i="11"/>
  <c r="AA203" i="11"/>
  <c r="AA238" i="11"/>
  <c r="AA234" i="11"/>
  <c r="AA213" i="11"/>
  <c r="AA211" i="11"/>
  <c r="AE292" i="13"/>
  <c r="AF79" i="13"/>
  <c r="AF157" i="13"/>
  <c r="AF200" i="13"/>
  <c r="AF243" i="13"/>
  <c r="M314" i="11"/>
  <c r="Z89" i="13"/>
  <c r="M97" i="13"/>
  <c r="N139" i="13"/>
  <c r="N150" i="13"/>
  <c r="N200" i="13"/>
  <c r="N209" i="13"/>
  <c r="N219" i="13"/>
  <c r="N260" i="13"/>
  <c r="N301" i="13"/>
  <c r="N233" i="13"/>
  <c r="N265" i="13"/>
  <c r="N306" i="13"/>
  <c r="AA107" i="13"/>
  <c r="AA117" i="13"/>
  <c r="AA87" i="13"/>
  <c r="AA208" i="11"/>
  <c r="AA248" i="11"/>
  <c r="AA276" i="11"/>
  <c r="AA313" i="11"/>
  <c r="AA241" i="11"/>
  <c r="AA237" i="11"/>
  <c r="AA233" i="11"/>
  <c r="AA329" i="11"/>
  <c r="AE257" i="13"/>
  <c r="AF160" i="13"/>
  <c r="AF161" i="13"/>
  <c r="AF204" i="13"/>
  <c r="AF247" i="13"/>
  <c r="AE159" i="13"/>
  <c r="N171" i="13"/>
  <c r="N156" i="13"/>
  <c r="N144" i="13"/>
  <c r="N137" i="13"/>
  <c r="N133" i="13"/>
  <c r="N136" i="13"/>
  <c r="N167" i="13"/>
  <c r="N157" i="13"/>
  <c r="N131" i="13"/>
  <c r="N134" i="13"/>
  <c r="N130" i="13"/>
  <c r="N161" i="13"/>
  <c r="N164" i="13"/>
  <c r="N154" i="13"/>
  <c r="N128" i="13"/>
  <c r="N159" i="13"/>
  <c r="N168" i="13"/>
  <c r="N142" i="13"/>
  <c r="N135" i="13"/>
  <c r="N163" i="13"/>
  <c r="N166" i="13"/>
  <c r="N162" i="13"/>
  <c r="N155" i="13"/>
  <c r="AA148" i="11"/>
  <c r="AA136" i="11"/>
  <c r="AA130" i="11"/>
  <c r="AA155" i="11"/>
  <c r="AA128" i="11"/>
  <c r="AA134" i="11"/>
  <c r="AA167" i="11"/>
  <c r="AA146" i="11"/>
  <c r="D27" i="14" s="1"/>
  <c r="N315" i="11"/>
  <c r="G38" i="14" s="1"/>
  <c r="W38" i="15" s="1"/>
  <c r="N313" i="11"/>
  <c r="N274" i="11"/>
  <c r="N237" i="11"/>
  <c r="N242" i="11"/>
  <c r="N325" i="11"/>
  <c r="N328" i="11"/>
  <c r="N272" i="11"/>
  <c r="M159" i="11"/>
  <c r="Z181" i="11"/>
  <c r="AA145" i="11"/>
  <c r="N135" i="11"/>
  <c r="D16" i="14" s="1"/>
  <c r="AA169" i="11"/>
  <c r="Z312" i="11"/>
  <c r="M118" i="13"/>
  <c r="N138" i="13"/>
  <c r="N210" i="13"/>
  <c r="N250" i="13"/>
  <c r="N323" i="13"/>
  <c r="AA103" i="13"/>
  <c r="AA298" i="11"/>
  <c r="N208" i="11"/>
  <c r="AA141" i="11"/>
  <c r="Z219" i="11"/>
  <c r="AA129" i="11"/>
  <c r="AA142" i="11"/>
  <c r="AA152" i="11"/>
  <c r="N159" i="11"/>
  <c r="N132" i="11"/>
  <c r="N147" i="11"/>
  <c r="N148" i="11"/>
  <c r="Z142" i="11"/>
  <c r="Z160" i="11"/>
  <c r="Z153" i="11"/>
  <c r="Z245" i="11"/>
  <c r="Z110" i="13"/>
  <c r="AA166" i="11"/>
  <c r="AA160" i="11"/>
  <c r="Z182" i="11"/>
  <c r="AA171" i="11"/>
  <c r="AA163" i="11"/>
  <c r="AA162" i="11"/>
  <c r="N130" i="11"/>
  <c r="D11" i="14" s="1"/>
  <c r="T11" i="15" s="1"/>
  <c r="N143" i="11"/>
  <c r="D24" i="14" s="1"/>
  <c r="N153" i="11"/>
  <c r="N170" i="11"/>
  <c r="Z138" i="11"/>
  <c r="Z134" i="11"/>
  <c r="Z154" i="11"/>
  <c r="Z236" i="11"/>
  <c r="Z92" i="13"/>
  <c r="Z91" i="13"/>
  <c r="M79" i="13"/>
  <c r="N152" i="13"/>
  <c r="N153" i="13"/>
  <c r="N132" i="13"/>
  <c r="N208" i="13"/>
  <c r="N185" i="13"/>
  <c r="N221" i="13"/>
  <c r="N262" i="13"/>
  <c r="N303" i="13"/>
  <c r="N235" i="13"/>
  <c r="N267" i="13"/>
  <c r="N308" i="13"/>
  <c r="AA108" i="13"/>
  <c r="AA118" i="13"/>
  <c r="AA78" i="13"/>
  <c r="AA221" i="11"/>
  <c r="AA206" i="11"/>
  <c r="N296" i="11"/>
  <c r="AA244" i="11"/>
  <c r="AA272" i="11"/>
  <c r="AA309" i="11"/>
  <c r="AA305" i="11"/>
  <c r="AA301" i="11"/>
  <c r="AA297" i="11"/>
  <c r="AE99" i="13"/>
  <c r="AF256" i="13"/>
  <c r="AF199" i="13"/>
  <c r="AF246" i="13"/>
  <c r="AF289" i="13"/>
  <c r="AE206" i="13"/>
  <c r="AE153" i="13"/>
  <c r="N97" i="11"/>
  <c r="AE276" i="13"/>
  <c r="N219" i="11"/>
  <c r="N113" i="11"/>
  <c r="N95" i="11"/>
  <c r="Z317" i="11"/>
  <c r="N91" i="11"/>
  <c r="N116" i="11"/>
  <c r="N76" i="11"/>
  <c r="AE223" i="13"/>
  <c r="AE309" i="13"/>
  <c r="AE267" i="13"/>
  <c r="AE235" i="13"/>
  <c r="AE193" i="13"/>
  <c r="AE155" i="13"/>
  <c r="AE114" i="13"/>
  <c r="AE82" i="13"/>
  <c r="AE270" i="13"/>
  <c r="AE196" i="13"/>
  <c r="AE117" i="13"/>
  <c r="AE319" i="13"/>
  <c r="AE305" i="13"/>
  <c r="AE263" i="13"/>
  <c r="AE221" i="13"/>
  <c r="AE189" i="13"/>
  <c r="AE151" i="13"/>
  <c r="AE110" i="13"/>
  <c r="AE78" i="13"/>
  <c r="AE262" i="13"/>
  <c r="AE188" i="13"/>
  <c r="AE109" i="13"/>
  <c r="AE311" i="13"/>
  <c r="AE237" i="13"/>
  <c r="AE157" i="13"/>
  <c r="AE84" i="13"/>
  <c r="AE301" i="13"/>
  <c r="AE259" i="13"/>
  <c r="AE217" i="13"/>
  <c r="AE185" i="13"/>
  <c r="AE147" i="13"/>
  <c r="AE106" i="13"/>
  <c r="AE328" i="13"/>
  <c r="AE254" i="13"/>
  <c r="AE180" i="13"/>
  <c r="AE101" i="13"/>
  <c r="AE303" i="13"/>
  <c r="AE219" i="13"/>
  <c r="AE149" i="13"/>
  <c r="AE76" i="13"/>
  <c r="AE107" i="13"/>
  <c r="AE329" i="13"/>
  <c r="AE297" i="13"/>
  <c r="AE255" i="13"/>
  <c r="AE213" i="13"/>
  <c r="AE181" i="13"/>
  <c r="AE143" i="13"/>
  <c r="AE102" i="13"/>
  <c r="AE320" i="13"/>
  <c r="AE246" i="13"/>
  <c r="AE166" i="13"/>
  <c r="AG166" i="13" s="1"/>
  <c r="AI166" i="13" s="1"/>
  <c r="AE93" i="13"/>
  <c r="AE295" i="13"/>
  <c r="AE211" i="13"/>
  <c r="AE141" i="13"/>
  <c r="AE325" i="13"/>
  <c r="AE293" i="13"/>
  <c r="AE251" i="13"/>
  <c r="AE209" i="13"/>
  <c r="AE171" i="13"/>
  <c r="AE139" i="13"/>
  <c r="AE98" i="13"/>
  <c r="AE312" i="13"/>
  <c r="AE238" i="13"/>
  <c r="AE158" i="13"/>
  <c r="AE85" i="13"/>
  <c r="AE287" i="13"/>
  <c r="AE203" i="13"/>
  <c r="AE133" i="13"/>
  <c r="M262" i="11"/>
  <c r="M293" i="11"/>
  <c r="M287" i="11"/>
  <c r="M304" i="11"/>
  <c r="M308" i="11"/>
  <c r="M202" i="11"/>
  <c r="M288" i="11"/>
  <c r="M247" i="11"/>
  <c r="M249" i="11"/>
  <c r="M274" i="11"/>
  <c r="M264" i="11"/>
  <c r="M292" i="11"/>
  <c r="M272" i="11"/>
  <c r="M301" i="11"/>
  <c r="M203" i="11"/>
  <c r="M297" i="11"/>
  <c r="M252" i="11"/>
  <c r="M223" i="11"/>
  <c r="M296" i="11"/>
  <c r="M290" i="11"/>
  <c r="M211" i="11"/>
  <c r="E40" i="15" s="1"/>
  <c r="E40" i="27" s="1"/>
  <c r="S40" i="27" s="1"/>
  <c r="M213" i="11"/>
  <c r="M222" i="11"/>
  <c r="M302" i="11"/>
  <c r="M273" i="11"/>
  <c r="M266" i="11"/>
  <c r="M317" i="11"/>
  <c r="M305" i="11"/>
  <c r="M193" i="11"/>
  <c r="M324" i="11"/>
  <c r="M216" i="11"/>
  <c r="M251" i="11"/>
  <c r="M187" i="11"/>
  <c r="M186" i="11"/>
  <c r="M268" i="11"/>
  <c r="M286" i="11"/>
  <c r="M246" i="11"/>
  <c r="M212" i="11"/>
  <c r="M185" i="11"/>
  <c r="M204" i="11"/>
  <c r="M328" i="11"/>
  <c r="M240" i="11"/>
  <c r="M322" i="11"/>
  <c r="M258" i="11"/>
  <c r="M189" i="11"/>
  <c r="M311" i="11"/>
  <c r="M205" i="11"/>
  <c r="M295" i="11"/>
  <c r="M198" i="11"/>
  <c r="M219" i="11"/>
  <c r="M303" i="11"/>
  <c r="M261" i="11"/>
  <c r="M257" i="11"/>
  <c r="M260" i="11"/>
  <c r="M182" i="11"/>
  <c r="M221" i="11"/>
  <c r="M239" i="11"/>
  <c r="M245" i="11"/>
  <c r="F21" i="15" s="1"/>
  <c r="F21" i="27" s="1"/>
  <c r="T21" i="27" s="1"/>
  <c r="M254" i="11"/>
  <c r="M250" i="11"/>
  <c r="M199" i="11"/>
  <c r="M325" i="11"/>
  <c r="M309" i="11"/>
  <c r="M318" i="11"/>
  <c r="M210" i="11"/>
  <c r="M217" i="11"/>
  <c r="M256" i="11"/>
  <c r="M197" i="11"/>
  <c r="M238" i="11"/>
  <c r="M241" i="11"/>
  <c r="M190" i="11"/>
  <c r="M201" i="11"/>
  <c r="M312" i="11"/>
  <c r="M209" i="11"/>
  <c r="M329" i="11"/>
  <c r="M191" i="11"/>
  <c r="M207" i="11"/>
  <c r="M270" i="11"/>
  <c r="M323" i="11"/>
  <c r="M306" i="11"/>
  <c r="M243" i="11"/>
  <c r="M319" i="11"/>
  <c r="M294" i="11"/>
  <c r="M195" i="11"/>
  <c r="E24" i="15" s="1"/>
  <c r="E24" i="27" s="1"/>
  <c r="S24" i="27" s="1"/>
  <c r="M244" i="11"/>
  <c r="M299" i="11"/>
  <c r="M214" i="11"/>
  <c r="M269" i="11"/>
  <c r="M316" i="11"/>
  <c r="M259" i="11"/>
  <c r="M194" i="11"/>
  <c r="M237" i="11"/>
  <c r="M200" i="11"/>
  <c r="M327" i="11"/>
  <c r="M236" i="11"/>
  <c r="M184" i="11"/>
  <c r="M289" i="11"/>
  <c r="M275" i="11"/>
  <c r="M263" i="11"/>
  <c r="M138" i="11"/>
  <c r="M155" i="11"/>
  <c r="M171" i="11"/>
  <c r="M166" i="11"/>
  <c r="M167" i="11"/>
  <c r="M145" i="11"/>
  <c r="M156" i="11"/>
  <c r="M154" i="11"/>
  <c r="M161" i="11"/>
  <c r="M165" i="11"/>
  <c r="M139" i="11"/>
  <c r="M169" i="11"/>
  <c r="M164" i="11"/>
  <c r="M168" i="11"/>
  <c r="D49" i="15" s="1"/>
  <c r="D49" i="27" s="1"/>
  <c r="R49" i="27" s="1"/>
  <c r="M160" i="11"/>
  <c r="M136" i="11"/>
  <c r="M153" i="11"/>
  <c r="M132" i="11"/>
  <c r="M144" i="11"/>
  <c r="D25" i="15" s="1"/>
  <c r="D25" i="27" s="1"/>
  <c r="R25" i="27" s="1"/>
  <c r="M137" i="11"/>
  <c r="M129" i="11"/>
  <c r="M135" i="11"/>
  <c r="M133" i="11"/>
  <c r="D14" i="15" s="1"/>
  <c r="D14" i="27" s="1"/>
  <c r="R14" i="27" s="1"/>
  <c r="M163" i="11"/>
  <c r="M148" i="11"/>
  <c r="M128" i="11"/>
  <c r="Z197" i="11"/>
  <c r="Z210" i="11"/>
  <c r="Z191" i="11"/>
  <c r="Z218" i="11"/>
  <c r="Z186" i="11"/>
  <c r="Z238" i="11"/>
  <c r="Z254" i="11"/>
  <c r="Z270" i="11"/>
  <c r="Z294" i="11"/>
  <c r="Z310" i="11"/>
  <c r="Z326" i="11"/>
  <c r="Z247" i="11"/>
  <c r="Z263" i="11"/>
  <c r="Z289" i="11"/>
  <c r="Z305" i="11"/>
  <c r="Z321" i="11"/>
  <c r="M115" i="13"/>
  <c r="M112" i="13"/>
  <c r="M80" i="13"/>
  <c r="M110" i="13"/>
  <c r="M83" i="13"/>
  <c r="M105" i="13"/>
  <c r="AE172" i="13"/>
  <c r="AE290" i="13"/>
  <c r="AE79" i="13"/>
  <c r="AE95" i="13"/>
  <c r="AE265" i="13"/>
  <c r="AE146" i="13"/>
  <c r="AE216" i="13"/>
  <c r="AE300" i="13"/>
  <c r="AE299" i="13"/>
  <c r="AE183" i="13"/>
  <c r="AE132" i="13"/>
  <c r="AE302" i="13"/>
  <c r="AE273" i="13"/>
  <c r="AE294" i="13"/>
  <c r="AE195" i="13"/>
  <c r="AE134" i="13"/>
  <c r="AE304" i="13"/>
  <c r="AE163" i="13"/>
  <c r="AE271" i="13"/>
  <c r="M313" i="11"/>
  <c r="M215" i="11"/>
  <c r="M183" i="11"/>
  <c r="E12" i="15" s="1"/>
  <c r="E12" i="27" s="1"/>
  <c r="S12" i="27" s="1"/>
  <c r="M242" i="11"/>
  <c r="M158" i="11"/>
  <c r="AE111" i="13"/>
  <c r="AE182" i="13"/>
  <c r="AE152" i="13"/>
  <c r="AE168" i="13"/>
  <c r="AE81" i="13"/>
  <c r="AE154" i="13"/>
  <c r="AE234" i="13"/>
  <c r="AE308" i="13"/>
  <c r="AE323" i="13"/>
  <c r="AE207" i="13"/>
  <c r="AE148" i="13"/>
  <c r="AE310" i="13"/>
  <c r="AE91" i="13"/>
  <c r="AE92" i="13"/>
  <c r="AE245" i="13"/>
  <c r="AE142" i="13"/>
  <c r="AE86" i="13"/>
  <c r="AE167" i="13"/>
  <c r="AE275" i="13"/>
  <c r="M234" i="11"/>
  <c r="M276" i="11"/>
  <c r="M300" i="11"/>
  <c r="M320" i="11"/>
  <c r="E130" i="5"/>
  <c r="M147" i="11"/>
  <c r="D28" i="15" s="1"/>
  <c r="D28" i="27" s="1"/>
  <c r="R28" i="27" s="1"/>
  <c r="M140" i="11"/>
  <c r="Z199" i="11"/>
  <c r="Z194" i="11"/>
  <c r="Z206" i="11"/>
  <c r="Z242" i="11"/>
  <c r="Z258" i="11"/>
  <c r="Z274" i="11"/>
  <c r="Z298" i="11"/>
  <c r="Z314" i="11"/>
  <c r="Z233" i="11"/>
  <c r="Z251" i="11"/>
  <c r="Z267" i="11"/>
  <c r="Z293" i="11"/>
  <c r="Z309" i="11"/>
  <c r="Z325" i="11"/>
  <c r="M84" i="13"/>
  <c r="M87" i="13"/>
  <c r="I20" i="15" s="1"/>
  <c r="I20" i="27" s="1"/>
  <c r="W20" i="27" s="1"/>
  <c r="M93" i="13"/>
  <c r="M88" i="13"/>
  <c r="M99" i="13"/>
  <c r="AE190" i="13"/>
  <c r="AE198" i="13"/>
  <c r="AE222" i="13"/>
  <c r="AE248" i="13"/>
  <c r="AE89" i="13"/>
  <c r="AE162" i="13"/>
  <c r="AE242" i="13"/>
  <c r="AE316" i="13"/>
  <c r="AE115" i="13"/>
  <c r="AE249" i="13"/>
  <c r="AE164" i="13"/>
  <c r="AE318" i="13"/>
  <c r="AE140" i="13"/>
  <c r="AE100" i="13"/>
  <c r="AE253" i="13"/>
  <c r="AE150" i="13"/>
  <c r="AE90" i="13"/>
  <c r="AE197" i="13"/>
  <c r="AE289" i="13"/>
  <c r="M248" i="11"/>
  <c r="M310" i="11"/>
  <c r="M326" i="11"/>
  <c r="M255" i="11"/>
  <c r="C130" i="5"/>
  <c r="M152" i="11"/>
  <c r="N114" i="11"/>
  <c r="N92" i="11"/>
  <c r="N110" i="11"/>
  <c r="N93" i="11"/>
  <c r="N117" i="11"/>
  <c r="N103" i="11"/>
  <c r="N87" i="11"/>
  <c r="N83" i="11"/>
  <c r="N77" i="11"/>
  <c r="N118" i="11"/>
  <c r="N100" i="11"/>
  <c r="N85" i="11"/>
  <c r="N105" i="11"/>
  <c r="N109" i="11"/>
  <c r="N111" i="11"/>
  <c r="N81" i="11"/>
  <c r="N119" i="11"/>
  <c r="N86" i="11"/>
  <c r="N106" i="11"/>
  <c r="N82" i="11"/>
  <c r="N107" i="11"/>
  <c r="N101" i="11"/>
  <c r="N94" i="11"/>
  <c r="N96" i="11"/>
  <c r="N98" i="11"/>
  <c r="N112" i="11"/>
  <c r="N90" i="11"/>
  <c r="AF313" i="13"/>
  <c r="AF271" i="13"/>
  <c r="AF239" i="13"/>
  <c r="AF197" i="13"/>
  <c r="AF159" i="13"/>
  <c r="AF118" i="13"/>
  <c r="AF86" i="13"/>
  <c r="AF312" i="13"/>
  <c r="AF270" i="13"/>
  <c r="AF238" i="13"/>
  <c r="AF196" i="13"/>
  <c r="AF158" i="13"/>
  <c r="AF117" i="13"/>
  <c r="AF85" i="13"/>
  <c r="AF307" i="13"/>
  <c r="AF265" i="13"/>
  <c r="AF233" i="13"/>
  <c r="AF191" i="13"/>
  <c r="AF153" i="13"/>
  <c r="AF108" i="13"/>
  <c r="AF76" i="13"/>
  <c r="AF248" i="13"/>
  <c r="AF286" i="13"/>
  <c r="AF202" i="13"/>
  <c r="AF115" i="13"/>
  <c r="AF182" i="13"/>
  <c r="AF168" i="13"/>
  <c r="AF309" i="13"/>
  <c r="AF267" i="13"/>
  <c r="AF235" i="13"/>
  <c r="AF193" i="13"/>
  <c r="AF155" i="13"/>
  <c r="AF114" i="13"/>
  <c r="AF82" i="13"/>
  <c r="AF308" i="13"/>
  <c r="AF266" i="13"/>
  <c r="AF234" i="13"/>
  <c r="AF192" i="13"/>
  <c r="AF154" i="13"/>
  <c r="AF113" i="13"/>
  <c r="AF81" i="13"/>
  <c r="AF303" i="13"/>
  <c r="AF261" i="13"/>
  <c r="AF219" i="13"/>
  <c r="AF187" i="13"/>
  <c r="AF149" i="13"/>
  <c r="AF104" i="13"/>
  <c r="AF322" i="13"/>
  <c r="AF190" i="13"/>
  <c r="AF268" i="13"/>
  <c r="AG268" i="13" s="1"/>
  <c r="AI268" i="13" s="1"/>
  <c r="AF194" i="13"/>
  <c r="AF107" i="13"/>
  <c r="AF136" i="13"/>
  <c r="AF111" i="13"/>
  <c r="AF305" i="13"/>
  <c r="AF263" i="13"/>
  <c r="AF221" i="13"/>
  <c r="AF189" i="13"/>
  <c r="AF151" i="13"/>
  <c r="AF110" i="13"/>
  <c r="AF78" i="13"/>
  <c r="AF304" i="13"/>
  <c r="AF262" i="13"/>
  <c r="AF220" i="13"/>
  <c r="AF188" i="13"/>
  <c r="AF150" i="13"/>
  <c r="AF109" i="13"/>
  <c r="AF77" i="13"/>
  <c r="AF299" i="13"/>
  <c r="AF257" i="13"/>
  <c r="AF215" i="13"/>
  <c r="AF183" i="13"/>
  <c r="AF145" i="13"/>
  <c r="AF100" i="13"/>
  <c r="AF314" i="13"/>
  <c r="AF119" i="13"/>
  <c r="AF260" i="13"/>
  <c r="AF186" i="13"/>
  <c r="AF99" i="13"/>
  <c r="AF95" i="13"/>
  <c r="AF272" i="13"/>
  <c r="AF301" i="13"/>
  <c r="AF259" i="13"/>
  <c r="AF217" i="13"/>
  <c r="AF185" i="13"/>
  <c r="AF147" i="13"/>
  <c r="AF106" i="13"/>
  <c r="AF329" i="13"/>
  <c r="AF300" i="13"/>
  <c r="AF258" i="13"/>
  <c r="AF216" i="13"/>
  <c r="AF184" i="13"/>
  <c r="AF146" i="13"/>
  <c r="AF105" i="13"/>
  <c r="AF327" i="13"/>
  <c r="AF295" i="13"/>
  <c r="AF253" i="13"/>
  <c r="AF211" i="13"/>
  <c r="AF141" i="13"/>
  <c r="AF96" i="13"/>
  <c r="AF290" i="13"/>
  <c r="AF326" i="13"/>
  <c r="AF252" i="13"/>
  <c r="AF164" i="13"/>
  <c r="AF91" i="13"/>
  <c r="AF306" i="13"/>
  <c r="AF198" i="13"/>
  <c r="AF297" i="13"/>
  <c r="AF255" i="13"/>
  <c r="AF213" i="13"/>
  <c r="AF181" i="13"/>
  <c r="AF143" i="13"/>
  <c r="AF102" i="13"/>
  <c r="AF328" i="13"/>
  <c r="AF296" i="13"/>
  <c r="AF254" i="13"/>
  <c r="AF212" i="13"/>
  <c r="AF180" i="13"/>
  <c r="AF142" i="13"/>
  <c r="AF101" i="13"/>
  <c r="AF323" i="13"/>
  <c r="AF291" i="13"/>
  <c r="AF249" i="13"/>
  <c r="AF207" i="13"/>
  <c r="AF169" i="13"/>
  <c r="AF137" i="13"/>
  <c r="AF92" i="13"/>
  <c r="AF264" i="13"/>
  <c r="AF318" i="13"/>
  <c r="AF244" i="13"/>
  <c r="AF156" i="13"/>
  <c r="AF83" i="13"/>
  <c r="AF222" i="13"/>
  <c r="AF144" i="13"/>
  <c r="AF325" i="13"/>
  <c r="AF293" i="13"/>
  <c r="AF251" i="13"/>
  <c r="AF209" i="13"/>
  <c r="AF171" i="13"/>
  <c r="AF139" i="13"/>
  <c r="AG139" i="13" s="1"/>
  <c r="AI139" i="13" s="1"/>
  <c r="AF98" i="13"/>
  <c r="AF324" i="13"/>
  <c r="AF292" i="13"/>
  <c r="AF250" i="13"/>
  <c r="AF208" i="13"/>
  <c r="AF170" i="13"/>
  <c r="AF138" i="13"/>
  <c r="AF97" i="13"/>
  <c r="AF319" i="13"/>
  <c r="AF287" i="13"/>
  <c r="AF245" i="13"/>
  <c r="AF203" i="13"/>
  <c r="AF165" i="13"/>
  <c r="AF133" i="13"/>
  <c r="AF88" i="13"/>
  <c r="AF214" i="13"/>
  <c r="AF310" i="13"/>
  <c r="AF236" i="13"/>
  <c r="AF148" i="13"/>
  <c r="AF298" i="13"/>
  <c r="Z193" i="11"/>
  <c r="Z222" i="11"/>
  <c r="Z220" i="11"/>
  <c r="Z205" i="11"/>
  <c r="Z215" i="11"/>
  <c r="Z192" i="11"/>
  <c r="Z244" i="11"/>
  <c r="Z260" i="11"/>
  <c r="Z276" i="11"/>
  <c r="Z300" i="11"/>
  <c r="Z316" i="11"/>
  <c r="Z237" i="11"/>
  <c r="Z253" i="11"/>
  <c r="Z269" i="11"/>
  <c r="Z295" i="11"/>
  <c r="Z311" i="11"/>
  <c r="Z327" i="11"/>
  <c r="M92" i="13"/>
  <c r="M95" i="13"/>
  <c r="M101" i="13"/>
  <c r="M96" i="13"/>
  <c r="M108" i="13"/>
  <c r="AE264" i="13"/>
  <c r="AE144" i="13"/>
  <c r="AE306" i="13"/>
  <c r="AE322" i="13"/>
  <c r="AE97" i="13"/>
  <c r="AE170" i="13"/>
  <c r="AE250" i="13"/>
  <c r="AE324" i="13"/>
  <c r="AE236" i="13"/>
  <c r="AE291" i="13"/>
  <c r="AE194" i="13"/>
  <c r="AE80" i="13"/>
  <c r="AE156" i="13"/>
  <c r="AE108" i="13"/>
  <c r="AE261" i="13"/>
  <c r="AE204" i="13"/>
  <c r="AE94" i="13"/>
  <c r="AE201" i="13"/>
  <c r="AE313" i="13"/>
  <c r="AG313" i="13" s="1"/>
  <c r="AH313" i="13" s="1"/>
  <c r="M180" i="11"/>
  <c r="M291" i="11"/>
  <c r="G14" i="15" s="1"/>
  <c r="G14" i="27" s="1"/>
  <c r="U14" i="27" s="1"/>
  <c r="M271" i="11"/>
  <c r="M146" i="11"/>
  <c r="Z201" i="11"/>
  <c r="Z223" i="11"/>
  <c r="Z203" i="11"/>
  <c r="Z190" i="11"/>
  <c r="Z198" i="11"/>
  <c r="Z200" i="11"/>
  <c r="Z188" i="11"/>
  <c r="Z246" i="11"/>
  <c r="Z262" i="11"/>
  <c r="Z286" i="11"/>
  <c r="Z302" i="11"/>
  <c r="Z318" i="11"/>
  <c r="Z239" i="11"/>
  <c r="Z255" i="11"/>
  <c r="Z271" i="11"/>
  <c r="Z297" i="11"/>
  <c r="Z313" i="11"/>
  <c r="Z329" i="11"/>
  <c r="M100" i="13"/>
  <c r="M103" i="13"/>
  <c r="M104" i="13"/>
  <c r="M114" i="13"/>
  <c r="I47" i="15" s="1"/>
  <c r="I47" i="27" s="1"/>
  <c r="W47" i="27" s="1"/>
  <c r="M111" i="13"/>
  <c r="I44" i="15" s="1"/>
  <c r="I44" i="27" s="1"/>
  <c r="W44" i="27" s="1"/>
  <c r="AE256" i="13"/>
  <c r="AE298" i="13"/>
  <c r="AE87" i="13"/>
  <c r="AE88" i="13"/>
  <c r="AE105" i="13"/>
  <c r="AE184" i="13"/>
  <c r="AE258" i="13"/>
  <c r="AE112" i="13"/>
  <c r="AE286" i="13"/>
  <c r="AE307" i="13"/>
  <c r="AE210" i="13"/>
  <c r="AE104" i="13"/>
  <c r="AE186" i="13"/>
  <c r="AE116" i="13"/>
  <c r="AE269" i="13"/>
  <c r="AE212" i="13"/>
  <c r="AE118" i="13"/>
  <c r="AE205" i="13"/>
  <c r="AE317" i="13"/>
  <c r="M192" i="11"/>
  <c r="M206" i="11"/>
  <c r="M253" i="11"/>
  <c r="M315" i="11"/>
  <c r="N88" i="11"/>
  <c r="N78" i="11"/>
  <c r="Z212" i="11"/>
  <c r="Z207" i="11"/>
  <c r="Z209" i="11"/>
  <c r="Z221" i="11"/>
  <c r="Z180" i="11"/>
  <c r="Z196" i="11"/>
  <c r="Z189" i="11"/>
  <c r="Z248" i="11"/>
  <c r="Z264" i="11"/>
  <c r="Z288" i="11"/>
  <c r="Z304" i="11"/>
  <c r="G27" i="15" s="1"/>
  <c r="G27" i="27" s="1"/>
  <c r="U27" i="27" s="1"/>
  <c r="Z320" i="11"/>
  <c r="Z241" i="11"/>
  <c r="Z257" i="11"/>
  <c r="Z273" i="11"/>
  <c r="Z299" i="11"/>
  <c r="Z315" i="11"/>
  <c r="Z235" i="11"/>
  <c r="M106" i="13"/>
  <c r="M116" i="13"/>
  <c r="M107" i="13"/>
  <c r="M117" i="13"/>
  <c r="M86" i="13"/>
  <c r="AE119" i="13"/>
  <c r="AE103" i="13"/>
  <c r="AE160" i="13"/>
  <c r="AE137" i="13"/>
  <c r="AE113" i="13"/>
  <c r="AE192" i="13"/>
  <c r="AE266" i="13"/>
  <c r="AE191" i="13"/>
  <c r="AE326" i="13"/>
  <c r="AE315" i="13"/>
  <c r="AE244" i="13"/>
  <c r="AE145" i="13"/>
  <c r="AE202" i="13"/>
  <c r="AE165" i="13"/>
  <c r="AE327" i="13"/>
  <c r="AE220" i="13"/>
  <c r="AE131" i="13"/>
  <c r="AE239" i="13"/>
  <c r="AE321" i="13"/>
  <c r="M220" i="11"/>
  <c r="M265" i="11"/>
  <c r="M321" i="11"/>
  <c r="M267" i="11"/>
  <c r="M208" i="11"/>
  <c r="Z204" i="11"/>
  <c r="Z202" i="11"/>
  <c r="Z185" i="11"/>
  <c r="Z208" i="11"/>
  <c r="Z216" i="11"/>
  <c r="Z184" i="11"/>
  <c r="Z234" i="11"/>
  <c r="Z250" i="11"/>
  <c r="Z266" i="11"/>
  <c r="Z290" i="11"/>
  <c r="Z306" i="11"/>
  <c r="Z322" i="11"/>
  <c r="Z243" i="11"/>
  <c r="Z259" i="11"/>
  <c r="Z275" i="11"/>
  <c r="Z301" i="11"/>
  <c r="M89" i="13"/>
  <c r="M109" i="13"/>
  <c r="M119" i="13"/>
  <c r="M90" i="13"/>
  <c r="I23" i="15" s="1"/>
  <c r="I23" i="27" s="1"/>
  <c r="W23" i="27" s="1"/>
  <c r="M82" i="13"/>
  <c r="M94" i="13"/>
  <c r="AE136" i="13"/>
  <c r="AE272" i="13"/>
  <c r="AE240" i="13"/>
  <c r="AE161" i="13"/>
  <c r="AE130" i="13"/>
  <c r="AE200" i="13"/>
  <c r="AE274" i="13"/>
  <c r="AE241" i="13"/>
  <c r="AE96" i="13"/>
  <c r="AE83" i="13"/>
  <c r="AE260" i="13"/>
  <c r="AE169" i="13"/>
  <c r="AE218" i="13"/>
  <c r="AE233" i="13"/>
  <c r="AE288" i="13"/>
  <c r="AE135" i="13"/>
  <c r="AE243" i="13"/>
  <c r="M218" i="11"/>
  <c r="M235" i="11"/>
  <c r="M307" i="11"/>
  <c r="M233" i="11"/>
  <c r="M162" i="11"/>
  <c r="AA109" i="13"/>
  <c r="AF304" i="11"/>
  <c r="AF263" i="11"/>
  <c r="AF222" i="11"/>
  <c r="AF327" i="11"/>
  <c r="AF295" i="11"/>
  <c r="AF254" i="11"/>
  <c r="AF213" i="11"/>
  <c r="AF318" i="11"/>
  <c r="AF286" i="11"/>
  <c r="AF245" i="11"/>
  <c r="AF204" i="11"/>
  <c r="AF252" i="11"/>
  <c r="AF305" i="11"/>
  <c r="AF300" i="11"/>
  <c r="AF259" i="11"/>
  <c r="AF218" i="11"/>
  <c r="AF323" i="11"/>
  <c r="AF291" i="11"/>
  <c r="AF250" i="11"/>
  <c r="AF209" i="11"/>
  <c r="AF314" i="11"/>
  <c r="AF273" i="11"/>
  <c r="AF241" i="11"/>
  <c r="AF200" i="11"/>
  <c r="AF187" i="11"/>
  <c r="AF297" i="11"/>
  <c r="AF215" i="11"/>
  <c r="AF190" i="11"/>
  <c r="AF203" i="11"/>
  <c r="AF145" i="11"/>
  <c r="AF137" i="11"/>
  <c r="AF80" i="11"/>
  <c r="AF111" i="11"/>
  <c r="AF166" i="11"/>
  <c r="AF81" i="11"/>
  <c r="AF132" i="11"/>
  <c r="AF157" i="11"/>
  <c r="AF102" i="11"/>
  <c r="AF138" i="11"/>
  <c r="AF106" i="11"/>
  <c r="AF328" i="11"/>
  <c r="AF296" i="11"/>
  <c r="AF255" i="11"/>
  <c r="AF214" i="11"/>
  <c r="AF319" i="11"/>
  <c r="AF287" i="11"/>
  <c r="AF246" i="11"/>
  <c r="AF205" i="11"/>
  <c r="AF310" i="11"/>
  <c r="AF269" i="11"/>
  <c r="AF237" i="11"/>
  <c r="AF196" i="11"/>
  <c r="AF325" i="11"/>
  <c r="AF289" i="11"/>
  <c r="AF207" i="11"/>
  <c r="AF186" i="11"/>
  <c r="AF181" i="11"/>
  <c r="AF130" i="11"/>
  <c r="AF93" i="11"/>
  <c r="AF87" i="11"/>
  <c r="AF77" i="11"/>
  <c r="AF155" i="11"/>
  <c r="AF88" i="11"/>
  <c r="AF128" i="11"/>
  <c r="AF116" i="11"/>
  <c r="AF78" i="11"/>
  <c r="AF83" i="11"/>
  <c r="AF113" i="11"/>
  <c r="Z109" i="11"/>
  <c r="Z88" i="11"/>
  <c r="Z100" i="11"/>
  <c r="Z118" i="11"/>
  <c r="Z116" i="11"/>
  <c r="Z87" i="11"/>
  <c r="AF324" i="11"/>
  <c r="AF292" i="11"/>
  <c r="AF251" i="11"/>
  <c r="AF210" i="11"/>
  <c r="AF315" i="11"/>
  <c r="AF274" i="11"/>
  <c r="AF242" i="11"/>
  <c r="AF201" i="11"/>
  <c r="AF306" i="11"/>
  <c r="AF265" i="11"/>
  <c r="AF233" i="11"/>
  <c r="AF192" i="11"/>
  <c r="AF268" i="11"/>
  <c r="AF272" i="11"/>
  <c r="AF199" i="11"/>
  <c r="AF182" i="11"/>
  <c r="AF195" i="11"/>
  <c r="AF110" i="11"/>
  <c r="AF97" i="11"/>
  <c r="AF163" i="11"/>
  <c r="AF84" i="11"/>
  <c r="AF151" i="11"/>
  <c r="AF92" i="11"/>
  <c r="AF98" i="11"/>
  <c r="AF90" i="11"/>
  <c r="AF82" i="11"/>
  <c r="AF165" i="11"/>
  <c r="AF103" i="11"/>
  <c r="Z110" i="11"/>
  <c r="Z83" i="11"/>
  <c r="Z85" i="11"/>
  <c r="Z96" i="11"/>
  <c r="Z107" i="11"/>
  <c r="Z76" i="11"/>
  <c r="AF320" i="11"/>
  <c r="AF288" i="11"/>
  <c r="AF247" i="11"/>
  <c r="AF206" i="11"/>
  <c r="AF311" i="11"/>
  <c r="AF270" i="11"/>
  <c r="AF238" i="11"/>
  <c r="AF197" i="11"/>
  <c r="AF302" i="11"/>
  <c r="AF261" i="11"/>
  <c r="AF220" i="11"/>
  <c r="AF188" i="11"/>
  <c r="AF219" i="11"/>
  <c r="AF264" i="11"/>
  <c r="AF191" i="11"/>
  <c r="AF317" i="11"/>
  <c r="AF189" i="11"/>
  <c r="AF170" i="11"/>
  <c r="AF100" i="11"/>
  <c r="AF159" i="11"/>
  <c r="AF171" i="11"/>
  <c r="AF140" i="11"/>
  <c r="AF91" i="11"/>
  <c r="AF108" i="11"/>
  <c r="AF154" i="11"/>
  <c r="AF89" i="11"/>
  <c r="AF161" i="11"/>
  <c r="AF86" i="11"/>
  <c r="AF316" i="11"/>
  <c r="AF275" i="11"/>
  <c r="AF243" i="11"/>
  <c r="AF202" i="11"/>
  <c r="AF307" i="11"/>
  <c r="AF266" i="11"/>
  <c r="AF234" i="11"/>
  <c r="AF193" i="11"/>
  <c r="AF298" i="11"/>
  <c r="AF257" i="11"/>
  <c r="AF216" i="11"/>
  <c r="AF184" i="11"/>
  <c r="AF329" i="11"/>
  <c r="AF256" i="11"/>
  <c r="AF183" i="11"/>
  <c r="AF260" i="11"/>
  <c r="AF185" i="11"/>
  <c r="AF167" i="11"/>
  <c r="AF104" i="11"/>
  <c r="AF148" i="11"/>
  <c r="AF134" i="11"/>
  <c r="AF136" i="11"/>
  <c r="AF162" i="11"/>
  <c r="AF112" i="11"/>
  <c r="AF150" i="11"/>
  <c r="AF109" i="11"/>
  <c r="AF146" i="11"/>
  <c r="AF76" i="11"/>
  <c r="AF267" i="11"/>
  <c r="AF258" i="11"/>
  <c r="AF249" i="11"/>
  <c r="AF240" i="11"/>
  <c r="AF141" i="11"/>
  <c r="AF79" i="11"/>
  <c r="AF115" i="11"/>
  <c r="AF153" i="11"/>
  <c r="Z78" i="11"/>
  <c r="Z97" i="11"/>
  <c r="Z95" i="11"/>
  <c r="Z108" i="11"/>
  <c r="AF239" i="11"/>
  <c r="AF221" i="11"/>
  <c r="AF212" i="11"/>
  <c r="AF223" i="11"/>
  <c r="AF107" i="11"/>
  <c r="AF169" i="11"/>
  <c r="AF118" i="11"/>
  <c r="AF142" i="11"/>
  <c r="Z112" i="11"/>
  <c r="Z93" i="11"/>
  <c r="Z111" i="11"/>
  <c r="Z102" i="11"/>
  <c r="AF235" i="11"/>
  <c r="AF217" i="11"/>
  <c r="AF208" i="11"/>
  <c r="AF301" i="11"/>
  <c r="AF114" i="11"/>
  <c r="AF94" i="11"/>
  <c r="AF85" i="11"/>
  <c r="AF131" i="11"/>
  <c r="Z79" i="11"/>
  <c r="Z117" i="11"/>
  <c r="Z105" i="11"/>
  <c r="Z89" i="11"/>
  <c r="Z84" i="11"/>
  <c r="Z119" i="11"/>
  <c r="AF313" i="11"/>
  <c r="AF156" i="11"/>
  <c r="Z104" i="11"/>
  <c r="AF253" i="11"/>
  <c r="AF152" i="11"/>
  <c r="Z115" i="11"/>
  <c r="AF198" i="11"/>
  <c r="AF326" i="11"/>
  <c r="AF180" i="11"/>
  <c r="AF244" i="11"/>
  <c r="AF164" i="11"/>
  <c r="AF117" i="11"/>
  <c r="AF101" i="11"/>
  <c r="AF139" i="11"/>
  <c r="AF99" i="11"/>
  <c r="Z92" i="11"/>
  <c r="Z77" i="11"/>
  <c r="AF299" i="11"/>
  <c r="AF129" i="11"/>
  <c r="AF236" i="11"/>
  <c r="AF168" i="11"/>
  <c r="Z98" i="11"/>
  <c r="AF194" i="11"/>
  <c r="AF322" i="11"/>
  <c r="AF309" i="11"/>
  <c r="AF276" i="11"/>
  <c r="AF160" i="11"/>
  <c r="AF144" i="11"/>
  <c r="AF105" i="11"/>
  <c r="AF135" i="11"/>
  <c r="Z113" i="11"/>
  <c r="Z106" i="11"/>
  <c r="Z99" i="11"/>
  <c r="Z103" i="11"/>
  <c r="Z94" i="11"/>
  <c r="AF262" i="11"/>
  <c r="AF96" i="11"/>
  <c r="Z82" i="11"/>
  <c r="AF312" i="11"/>
  <c r="AF303" i="11"/>
  <c r="AF294" i="11"/>
  <c r="AF321" i="11"/>
  <c r="AF211" i="11"/>
  <c r="AF149" i="11"/>
  <c r="AF133" i="11"/>
  <c r="AF158" i="11"/>
  <c r="AF95" i="11"/>
  <c r="Z86" i="11"/>
  <c r="Z114" i="11"/>
  <c r="Z90" i="11"/>
  <c r="Z101" i="11"/>
  <c r="AF293" i="11"/>
  <c r="AF147" i="11"/>
  <c r="Z81" i="11"/>
  <c r="AF271" i="11"/>
  <c r="AF143" i="11"/>
  <c r="AF308" i="11"/>
  <c r="AF290" i="11"/>
  <c r="AF119" i="11"/>
  <c r="Z91" i="11"/>
  <c r="AF248" i="11"/>
  <c r="Z80" i="11"/>
  <c r="AA115" i="11"/>
  <c r="AA109" i="11"/>
  <c r="AA96" i="11"/>
  <c r="AA83" i="11"/>
  <c r="AA108" i="11"/>
  <c r="AA113" i="11"/>
  <c r="AA94" i="11"/>
  <c r="AA111" i="11"/>
  <c r="AA102" i="11"/>
  <c r="AA81" i="11"/>
  <c r="AA84" i="11"/>
  <c r="AA105" i="11"/>
  <c r="AA79" i="11"/>
  <c r="AA86" i="11"/>
  <c r="AA117" i="11"/>
  <c r="AA103" i="11"/>
  <c r="AA93" i="11"/>
  <c r="AA112" i="11"/>
  <c r="AA76" i="11"/>
  <c r="AA88" i="11"/>
  <c r="AA95" i="11"/>
  <c r="AA104" i="11"/>
  <c r="AA85" i="11"/>
  <c r="AA97" i="11"/>
  <c r="AA118" i="11"/>
  <c r="AA82" i="11"/>
  <c r="AA92" i="11"/>
  <c r="AA116" i="11"/>
  <c r="AA110" i="11"/>
  <c r="AA77" i="11"/>
  <c r="AA106" i="11"/>
  <c r="AA119" i="11"/>
  <c r="AA98" i="11"/>
  <c r="AA101" i="11"/>
  <c r="AA89" i="11"/>
  <c r="AA91" i="11"/>
  <c r="AA100" i="11"/>
  <c r="AA107" i="11"/>
  <c r="AA80" i="11"/>
  <c r="AA99" i="11"/>
  <c r="AA90" i="11"/>
  <c r="AA78" i="11"/>
  <c r="AA87" i="11"/>
  <c r="AA114" i="11"/>
  <c r="AF223" i="13"/>
  <c r="N83" i="13"/>
  <c r="N96" i="13"/>
  <c r="N93" i="13"/>
  <c r="N98" i="13"/>
  <c r="N84" i="13"/>
  <c r="N76" i="13"/>
  <c r="N88" i="13"/>
  <c r="N85" i="13"/>
  <c r="N90" i="13"/>
  <c r="N79" i="13"/>
  <c r="N116" i="13"/>
  <c r="N119" i="13"/>
  <c r="N78" i="13"/>
  <c r="N80" i="13"/>
  <c r="N82" i="13"/>
  <c r="N118" i="13"/>
  <c r="N95" i="13"/>
  <c r="N111" i="13"/>
  <c r="N87" i="13"/>
  <c r="N103" i="13"/>
  <c r="N102" i="13"/>
  <c r="N109" i="13"/>
  <c r="N112" i="13"/>
  <c r="I45" i="14" s="1"/>
  <c r="N114" i="13"/>
  <c r="N94" i="13"/>
  <c r="N107" i="13"/>
  <c r="N106" i="13"/>
  <c r="N104" i="13"/>
  <c r="N100" i="13"/>
  <c r="N89" i="13"/>
  <c r="N117" i="13"/>
  <c r="N108" i="13"/>
  <c r="N101" i="13"/>
  <c r="N92" i="13"/>
  <c r="N113" i="13"/>
  <c r="N99" i="13"/>
  <c r="N77" i="13"/>
  <c r="N115" i="13"/>
  <c r="N105" i="13"/>
  <c r="N81" i="13"/>
  <c r="N91" i="13"/>
  <c r="N86" i="13"/>
  <c r="N97" i="13"/>
  <c r="N110" i="13"/>
  <c r="M181" i="11"/>
  <c r="M157" i="11"/>
  <c r="M151" i="11"/>
  <c r="M142" i="11"/>
  <c r="M149" i="11"/>
  <c r="M150" i="11"/>
  <c r="M130" i="11"/>
  <c r="M134" i="11"/>
  <c r="M170" i="11"/>
  <c r="M131" i="11"/>
  <c r="M141" i="11"/>
  <c r="M143" i="11"/>
  <c r="M102" i="11"/>
  <c r="M106" i="11"/>
  <c r="AE328" i="11"/>
  <c r="AE296" i="11"/>
  <c r="AE255" i="11"/>
  <c r="AE214" i="11"/>
  <c r="AE307" i="11"/>
  <c r="AE234" i="11"/>
  <c r="AE322" i="11"/>
  <c r="AE249" i="11"/>
  <c r="AG249" i="11" s="1"/>
  <c r="AE184" i="11"/>
  <c r="AE187" i="11"/>
  <c r="AG187" i="11" s="1"/>
  <c r="AE256" i="11"/>
  <c r="AE182" i="11"/>
  <c r="AE311" i="11"/>
  <c r="AE238" i="11"/>
  <c r="AE204" i="11"/>
  <c r="AE325" i="11"/>
  <c r="AE244" i="11"/>
  <c r="M76" i="11"/>
  <c r="M109" i="11"/>
  <c r="M110" i="11"/>
  <c r="AE324" i="11"/>
  <c r="AE292" i="11"/>
  <c r="AE251" i="11"/>
  <c r="AE210" i="11"/>
  <c r="AE299" i="11"/>
  <c r="AE217" i="11"/>
  <c r="AE314" i="11"/>
  <c r="AE241" i="11"/>
  <c r="AE180" i="11"/>
  <c r="AE294" i="11"/>
  <c r="AE240" i="11"/>
  <c r="AE313" i="11"/>
  <c r="AE303" i="11"/>
  <c r="AE221" i="11"/>
  <c r="AE186" i="11"/>
  <c r="AE195" i="11"/>
  <c r="AG195" i="11" s="1"/>
  <c r="AI195" i="11" s="1"/>
  <c r="AE301" i="11"/>
  <c r="M107" i="11"/>
  <c r="M90" i="11"/>
  <c r="M77" i="11"/>
  <c r="AE153" i="11"/>
  <c r="AE164" i="11"/>
  <c r="AE91" i="11"/>
  <c r="AE94" i="11"/>
  <c r="AE87" i="11"/>
  <c r="AG87" i="11" s="1"/>
  <c r="AI87" i="11" s="1"/>
  <c r="AE108" i="11"/>
  <c r="AE146" i="11"/>
  <c r="AE95" i="11"/>
  <c r="AE99" i="11"/>
  <c r="AE154" i="11"/>
  <c r="AE79" i="11"/>
  <c r="AG79" i="11" s="1"/>
  <c r="M116" i="11"/>
  <c r="M83" i="11"/>
  <c r="AE320" i="11"/>
  <c r="AG320" i="11" s="1"/>
  <c r="AI320" i="11" s="1"/>
  <c r="AE288" i="11"/>
  <c r="AG288" i="11" s="1"/>
  <c r="AH288" i="11" s="1"/>
  <c r="AE247" i="11"/>
  <c r="AG247" i="11" s="1"/>
  <c r="AH247" i="11" s="1"/>
  <c r="AE206" i="11"/>
  <c r="AG206" i="11" s="1"/>
  <c r="AI206" i="11" s="1"/>
  <c r="AE291" i="11"/>
  <c r="AE209" i="11"/>
  <c r="AE306" i="11"/>
  <c r="AG306" i="11" s="1"/>
  <c r="AI306" i="11" s="1"/>
  <c r="AE233" i="11"/>
  <c r="AE329" i="11"/>
  <c r="AG329" i="11" s="1"/>
  <c r="AI329" i="11" s="1"/>
  <c r="AE261" i="11"/>
  <c r="AG261" i="11" s="1"/>
  <c r="AH261" i="11" s="1"/>
  <c r="AE215" i="11"/>
  <c r="AE264" i="11"/>
  <c r="AE295" i="11"/>
  <c r="AE213" i="11"/>
  <c r="AE276" i="11"/>
  <c r="AE317" i="11"/>
  <c r="AG317" i="11" s="1"/>
  <c r="AH317" i="11" s="1"/>
  <c r="AE219" i="11"/>
  <c r="M113" i="11"/>
  <c r="M115" i="11"/>
  <c r="M112" i="11"/>
  <c r="AE138" i="11"/>
  <c r="AE160" i="11"/>
  <c r="AE80" i="11"/>
  <c r="AE101" i="11"/>
  <c r="AE163" i="11"/>
  <c r="AE112" i="11"/>
  <c r="AE131" i="11"/>
  <c r="AE102" i="11"/>
  <c r="AE106" i="11"/>
  <c r="AE150" i="11"/>
  <c r="AE86" i="11"/>
  <c r="M79" i="11"/>
  <c r="M89" i="11"/>
  <c r="AE316" i="11"/>
  <c r="AE275" i="11"/>
  <c r="AE243" i="11"/>
  <c r="AE202" i="11"/>
  <c r="AE274" i="11"/>
  <c r="AE201" i="11"/>
  <c r="AE298" i="11"/>
  <c r="AE216" i="11"/>
  <c r="AE297" i="11"/>
  <c r="AE220" i="11"/>
  <c r="AG220" i="11" s="1"/>
  <c r="AH220" i="11" s="1"/>
  <c r="E50" i="24" s="1"/>
  <c r="AE191" i="11"/>
  <c r="AE207" i="11"/>
  <c r="AE287" i="11"/>
  <c r="AE205" i="11"/>
  <c r="AE211" i="11"/>
  <c r="AE236" i="11"/>
  <c r="AE293" i="11"/>
  <c r="AG293" i="11" s="1"/>
  <c r="AI293" i="11" s="1"/>
  <c r="M84" i="11"/>
  <c r="M111" i="11"/>
  <c r="M118" i="11"/>
  <c r="AE134" i="11"/>
  <c r="AE149" i="11"/>
  <c r="AE170" i="11"/>
  <c r="AE105" i="11"/>
  <c r="AE159" i="11"/>
  <c r="AE115" i="11"/>
  <c r="AE169" i="11"/>
  <c r="AE162" i="11"/>
  <c r="AE109" i="11"/>
  <c r="AG109" i="11" s="1"/>
  <c r="AI109" i="11" s="1"/>
  <c r="AE139" i="11"/>
  <c r="AE161" i="11"/>
  <c r="M93" i="11"/>
  <c r="M98" i="11"/>
  <c r="AE312" i="11"/>
  <c r="AE271" i="11"/>
  <c r="AE239" i="11"/>
  <c r="AG239" i="11" s="1"/>
  <c r="AH239" i="11" s="1"/>
  <c r="AE198" i="11"/>
  <c r="AE266" i="11"/>
  <c r="AE193" i="11"/>
  <c r="AE290" i="11"/>
  <c r="AE208" i="11"/>
  <c r="AE272" i="11"/>
  <c r="AE196" i="11"/>
  <c r="AE183" i="11"/>
  <c r="AE302" i="11"/>
  <c r="AE270" i="11"/>
  <c r="AE197" i="11"/>
  <c r="AG197" i="11" s="1"/>
  <c r="AH197" i="11" s="1"/>
  <c r="AE268" i="11"/>
  <c r="AE252" i="11"/>
  <c r="M99" i="11"/>
  <c r="M80" i="11"/>
  <c r="M85" i="11"/>
  <c r="C18" i="15" s="1"/>
  <c r="C18" i="27" s="1"/>
  <c r="Q18" i="27" s="1"/>
  <c r="M104" i="11"/>
  <c r="AE93" i="11"/>
  <c r="AG93" i="11" s="1"/>
  <c r="AH93" i="11" s="1"/>
  <c r="AE145" i="11"/>
  <c r="AE167" i="11"/>
  <c r="AE81" i="11"/>
  <c r="AE148" i="11"/>
  <c r="AE118" i="11"/>
  <c r="AE166" i="11"/>
  <c r="AE158" i="11"/>
  <c r="AE113" i="11"/>
  <c r="AE135" i="11"/>
  <c r="AE142" i="11"/>
  <c r="M94" i="11"/>
  <c r="M117" i="11"/>
  <c r="AE308" i="11"/>
  <c r="AE267" i="11"/>
  <c r="AE235" i="11"/>
  <c r="AE194" i="11"/>
  <c r="AE258" i="11"/>
  <c r="AE310" i="11"/>
  <c r="AE273" i="11"/>
  <c r="AG273" i="11" s="1"/>
  <c r="AH273" i="11" s="1"/>
  <c r="AE200" i="11"/>
  <c r="AE248" i="11"/>
  <c r="AE321" i="11"/>
  <c r="AE318" i="11"/>
  <c r="AE237" i="11"/>
  <c r="AG237" i="11" s="1"/>
  <c r="AI237" i="11" s="1"/>
  <c r="AE262" i="11"/>
  <c r="AE326" i="11"/>
  <c r="AE203" i="11"/>
  <c r="AE309" i="11"/>
  <c r="M91" i="11"/>
  <c r="M88" i="11"/>
  <c r="M78" i="11"/>
  <c r="M108" i="11"/>
  <c r="AE97" i="11"/>
  <c r="AE130" i="11"/>
  <c r="AE156" i="11"/>
  <c r="AE88" i="11"/>
  <c r="AG88" i="11" s="1"/>
  <c r="AE144" i="11"/>
  <c r="AE85" i="11"/>
  <c r="AE155" i="11"/>
  <c r="AE147" i="11"/>
  <c r="AE119" i="11"/>
  <c r="AE92" i="11"/>
  <c r="AE76" i="11"/>
  <c r="AE218" i="11"/>
  <c r="AE257" i="11"/>
  <c r="AE212" i="11"/>
  <c r="AE260" i="11"/>
  <c r="M100" i="11"/>
  <c r="AE111" i="11"/>
  <c r="AE117" i="11"/>
  <c r="AE140" i="11"/>
  <c r="AE96" i="11"/>
  <c r="AG96" i="11" s="1"/>
  <c r="AH96" i="11" s="1"/>
  <c r="AE323" i="11"/>
  <c r="AE192" i="11"/>
  <c r="AE327" i="11"/>
  <c r="AE189" i="11"/>
  <c r="M97" i="11"/>
  <c r="M82" i="11"/>
  <c r="AE77" i="11"/>
  <c r="AE133" i="11"/>
  <c r="AG133" i="11" s="1"/>
  <c r="AH133" i="11" s="1"/>
  <c r="AE136" i="11"/>
  <c r="AE103" i="11"/>
  <c r="AE190" i="11"/>
  <c r="AE110" i="11"/>
  <c r="AE315" i="11"/>
  <c r="AE188" i="11"/>
  <c r="AE319" i="11"/>
  <c r="AE185" i="11"/>
  <c r="M114" i="11"/>
  <c r="AE171" i="11"/>
  <c r="AG171" i="11" s="1"/>
  <c r="AE84" i="11"/>
  <c r="AE129" i="11"/>
  <c r="AE143" i="11"/>
  <c r="AE116" i="11"/>
  <c r="AE259" i="11"/>
  <c r="AE269" i="11"/>
  <c r="M96" i="11"/>
  <c r="M119" i="11"/>
  <c r="AE304" i="11"/>
  <c r="AE250" i="11"/>
  <c r="AG250" i="11" s="1"/>
  <c r="AI250" i="11" s="1"/>
  <c r="AE223" i="11"/>
  <c r="AG223" i="11" s="1"/>
  <c r="AI223" i="11" s="1"/>
  <c r="AE254" i="11"/>
  <c r="M101" i="11"/>
  <c r="M105" i="11"/>
  <c r="C38" i="15" s="1"/>
  <c r="C38" i="27" s="1"/>
  <c r="Q38" i="27" s="1"/>
  <c r="AE168" i="11"/>
  <c r="AE152" i="11"/>
  <c r="AE98" i="11"/>
  <c r="AG98" i="11" s="1"/>
  <c r="AI98" i="11" s="1"/>
  <c r="AE132" i="11"/>
  <c r="AE104" i="11"/>
  <c r="AE265" i="11"/>
  <c r="AE114" i="11"/>
  <c r="M92" i="11"/>
  <c r="AE300" i="11"/>
  <c r="AE242" i="11"/>
  <c r="AG242" i="11" s="1"/>
  <c r="AI242" i="11" s="1"/>
  <c r="AE199" i="11"/>
  <c r="AE246" i="11"/>
  <c r="M81" i="11"/>
  <c r="M95" i="11"/>
  <c r="AE157" i="11"/>
  <c r="AE141" i="11"/>
  <c r="AE82" i="11"/>
  <c r="AE128" i="11"/>
  <c r="M103" i="11"/>
  <c r="AE165" i="11"/>
  <c r="AE89" i="11"/>
  <c r="M86" i="11"/>
  <c r="AE263" i="11"/>
  <c r="AE245" i="11"/>
  <c r="AE305" i="11"/>
  <c r="AE286" i="11"/>
  <c r="AG286" i="11" s="1"/>
  <c r="AH286" i="11" s="1"/>
  <c r="M87" i="11"/>
  <c r="C20" i="15" s="1"/>
  <c r="C20" i="27" s="1"/>
  <c r="Q20" i="27" s="1"/>
  <c r="AE100" i="11"/>
  <c r="AE137" i="11"/>
  <c r="AE90" i="11"/>
  <c r="AE83" i="11"/>
  <c r="AE289" i="11"/>
  <c r="AE107" i="11"/>
  <c r="AE253" i="11"/>
  <c r="AE78" i="11"/>
  <c r="AG78" i="11" s="1"/>
  <c r="AH78" i="11" s="1"/>
  <c r="AE222" i="11"/>
  <c r="AG222" i="11" s="1"/>
  <c r="AH222" i="11" s="1"/>
  <c r="E52" i="24" s="1"/>
  <c r="AE181" i="11"/>
  <c r="AE151" i="11"/>
  <c r="N104" i="11"/>
  <c r="C37" i="14" s="1"/>
  <c r="S37" i="15" s="1"/>
  <c r="N102" i="11"/>
  <c r="N115" i="11"/>
  <c r="N99" i="11"/>
  <c r="N84" i="11"/>
  <c r="N89" i="11"/>
  <c r="C22" i="14" s="1"/>
  <c r="S22" i="15" s="1"/>
  <c r="N252" i="11"/>
  <c r="N300" i="11"/>
  <c r="N287" i="11"/>
  <c r="N182" i="11"/>
  <c r="N294" i="11"/>
  <c r="N321" i="11"/>
  <c r="N200" i="11"/>
  <c r="N241" i="11"/>
  <c r="N309" i="11"/>
  <c r="N206" i="11"/>
  <c r="N301" i="11"/>
  <c r="N251" i="11"/>
  <c r="N292" i="11"/>
  <c r="N324" i="11"/>
  <c r="N318" i="11"/>
  <c r="G41" i="14" s="1"/>
  <c r="W41" i="15" s="1"/>
  <c r="N201" i="11"/>
  <c r="N238" i="11"/>
  <c r="N270" i="11"/>
  <c r="N311" i="11"/>
  <c r="G34" i="14" s="1"/>
  <c r="W34" i="15" s="1"/>
  <c r="N221" i="11"/>
  <c r="N319" i="11"/>
  <c r="N273" i="11"/>
  <c r="F49" i="14" s="1"/>
  <c r="N233" i="11"/>
  <c r="N192" i="11"/>
  <c r="N305" i="11"/>
  <c r="N210" i="11"/>
  <c r="N185" i="11"/>
  <c r="N269" i="11"/>
  <c r="N223" i="11"/>
  <c r="N263" i="11"/>
  <c r="F39" i="14" s="1"/>
  <c r="N304" i="11"/>
  <c r="N218" i="11"/>
  <c r="N189" i="11"/>
  <c r="N207" i="11"/>
  <c r="N250" i="11"/>
  <c r="N291" i="11"/>
  <c r="N323" i="11"/>
  <c r="N302" i="11"/>
  <c r="N183" i="11"/>
  <c r="N205" i="11"/>
  <c r="N186" i="11"/>
  <c r="E15" i="14" s="1"/>
  <c r="N244" i="11"/>
  <c r="N293" i="11"/>
  <c r="N245" i="11"/>
  <c r="N236" i="11"/>
  <c r="N187" i="11"/>
  <c r="E16" i="14" s="1"/>
  <c r="N289" i="11"/>
  <c r="N235" i="11"/>
  <c r="N267" i="11"/>
  <c r="N308" i="11"/>
  <c r="N220" i="11"/>
  <c r="N193" i="11"/>
  <c r="N209" i="11"/>
  <c r="N254" i="11"/>
  <c r="N295" i="11"/>
  <c r="G18" i="14" s="1"/>
  <c r="W18" i="15" s="1"/>
  <c r="N327" i="11"/>
  <c r="N191" i="11"/>
  <c r="N259" i="11"/>
  <c r="N246" i="11"/>
  <c r="N212" i="11"/>
  <c r="N196" i="11"/>
  <c r="N265" i="11"/>
  <c r="N317" i="11"/>
  <c r="N256" i="11"/>
  <c r="N257" i="11"/>
  <c r="N194" i="11"/>
  <c r="N249" i="11"/>
  <c r="N239" i="11"/>
  <c r="N271" i="11"/>
  <c r="N312" i="11"/>
  <c r="G35" i="14" s="1"/>
  <c r="W35" i="15" s="1"/>
  <c r="N222" i="11"/>
  <c r="N195" i="11"/>
  <c r="E24" i="14" s="1"/>
  <c r="N211" i="11"/>
  <c r="N258" i="11"/>
  <c r="N299" i="11"/>
  <c r="N215" i="11"/>
  <c r="N264" i="11"/>
  <c r="N329" i="11"/>
  <c r="G52" i="14" s="1"/>
  <c r="W52" i="15" s="1"/>
  <c r="N326" i="11"/>
  <c r="N240" i="11"/>
  <c r="N204" i="11"/>
  <c r="N276" i="11"/>
  <c r="N184" i="11"/>
  <c r="N286" i="11"/>
  <c r="G9" i="14" s="1"/>
  <c r="W9" i="15" s="1"/>
  <c r="N268" i="11"/>
  <c r="N198" i="11"/>
  <c r="N260" i="11"/>
  <c r="N243" i="11"/>
  <c r="N275" i="11"/>
  <c r="N316" i="11"/>
  <c r="N310" i="11"/>
  <c r="N197" i="11"/>
  <c r="N213" i="11"/>
  <c r="N262" i="11"/>
  <c r="N303" i="11"/>
  <c r="N217" i="11"/>
  <c r="N214" i="11"/>
  <c r="N248" i="11"/>
  <c r="N216" i="11"/>
  <c r="N261" i="11"/>
  <c r="N253" i="11"/>
  <c r="N306" i="11"/>
  <c r="N188" i="11"/>
  <c r="N297" i="11"/>
  <c r="N298" i="11"/>
  <c r="N202" i="11"/>
  <c r="N290" i="11"/>
  <c r="N247" i="11"/>
  <c r="N288" i="11"/>
  <c r="N320" i="11"/>
  <c r="G43" i="14" s="1"/>
  <c r="W43" i="15" s="1"/>
  <c r="N314" i="11"/>
  <c r="N199" i="11"/>
  <c r="N234" i="11"/>
  <c r="N266" i="11"/>
  <c r="N307" i="11"/>
  <c r="X131" i="5"/>
  <c r="Y131" i="5" s="1"/>
  <c r="D131" i="5"/>
  <c r="E131" i="5" s="1"/>
  <c r="J10" i="24"/>
  <c r="AU63" i="11"/>
  <c r="AF64" i="11"/>
  <c r="V64" i="11"/>
  <c r="K65" i="11"/>
  <c r="Q65" i="11" s="1"/>
  <c r="L54" i="11"/>
  <c r="AA319" i="13"/>
  <c r="AA194" i="13"/>
  <c r="AA210" i="13"/>
  <c r="AA187" i="13"/>
  <c r="AA203" i="13"/>
  <c r="AA219" i="13"/>
  <c r="AA243" i="13"/>
  <c r="AA259" i="13"/>
  <c r="AA275" i="13"/>
  <c r="AA300" i="13"/>
  <c r="AA316" i="13"/>
  <c r="AA223" i="13"/>
  <c r="AA248" i="13"/>
  <c r="AA264" i="13"/>
  <c r="AA289" i="13"/>
  <c r="AA305" i="13"/>
  <c r="AA321" i="13"/>
  <c r="M44" i="14" s="1"/>
  <c r="AA180" i="13"/>
  <c r="AA196" i="13"/>
  <c r="AA212" i="13"/>
  <c r="AA189" i="13"/>
  <c r="AA205" i="13"/>
  <c r="AA220" i="13"/>
  <c r="AA245" i="13"/>
  <c r="AA261" i="13"/>
  <c r="AA286" i="13"/>
  <c r="AA302" i="13"/>
  <c r="AA318" i="13"/>
  <c r="AA234" i="13"/>
  <c r="AA250" i="13"/>
  <c r="AA266" i="13"/>
  <c r="AA291" i="13"/>
  <c r="AA307" i="13"/>
  <c r="M30" i="14" s="1"/>
  <c r="AA323" i="13"/>
  <c r="AA182" i="13"/>
  <c r="AA198" i="13"/>
  <c r="AA214" i="13"/>
  <c r="AA191" i="13"/>
  <c r="AA207" i="13"/>
  <c r="AA222" i="13"/>
  <c r="AA247" i="13"/>
  <c r="AA263" i="13"/>
  <c r="AA288" i="13"/>
  <c r="AA304" i="13"/>
  <c r="AA320" i="13"/>
  <c r="AA236" i="13"/>
  <c r="AA252" i="13"/>
  <c r="AA268" i="13"/>
  <c r="AA293" i="13"/>
  <c r="AA309" i="13"/>
  <c r="M32" i="14" s="1"/>
  <c r="AA325" i="13"/>
  <c r="AA184" i="13"/>
  <c r="AA200" i="13"/>
  <c r="AA216" i="13"/>
  <c r="AA193" i="13"/>
  <c r="AA209" i="13"/>
  <c r="AA233" i="13"/>
  <c r="L9" i="14" s="1"/>
  <c r="AB9" i="15" s="1"/>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M38" i="14" s="1"/>
  <c r="AA157" i="13"/>
  <c r="AA141" i="13"/>
  <c r="AA168" i="13"/>
  <c r="AA152" i="13"/>
  <c r="J33" i="14" s="1"/>
  <c r="AA136" i="13"/>
  <c r="AA171" i="13"/>
  <c r="AA155" i="13"/>
  <c r="AA139" i="13"/>
  <c r="AA166" i="13"/>
  <c r="AA150" i="13"/>
  <c r="AA134" i="13"/>
  <c r="AA169" i="13"/>
  <c r="AA153" i="13"/>
  <c r="AA137" i="13"/>
  <c r="J18" i="14" s="1"/>
  <c r="Z18" i="15" s="1"/>
  <c r="AA164" i="13"/>
  <c r="AA148" i="13"/>
  <c r="AA132" i="13"/>
  <c r="AA167" i="13"/>
  <c r="AA151" i="13"/>
  <c r="AA135" i="13"/>
  <c r="AA162" i="13"/>
  <c r="AA146" i="13"/>
  <c r="AA130" i="13"/>
  <c r="AA165" i="13"/>
  <c r="AA149" i="13"/>
  <c r="AA133" i="13"/>
  <c r="AA160" i="13"/>
  <c r="J41" i="14" s="1"/>
  <c r="AA144" i="13"/>
  <c r="AA128" i="13"/>
  <c r="AA163" i="13"/>
  <c r="J44" i="14" s="1"/>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M35" i="14" s="1"/>
  <c r="AA328" i="13"/>
  <c r="AA244" i="13"/>
  <c r="AA260" i="13"/>
  <c r="AA276" i="13"/>
  <c r="AA301" i="13"/>
  <c r="AA317" i="13"/>
  <c r="M40" i="14" s="1"/>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7" s="1"/>
  <c r="X15" i="27" s="1"/>
  <c r="M171" i="13"/>
  <c r="J52" i="15" s="1"/>
  <c r="M167" i="13"/>
  <c r="M164" i="13"/>
  <c r="J45" i="15" s="1"/>
  <c r="M151" i="13"/>
  <c r="M148" i="13"/>
  <c r="M135" i="13"/>
  <c r="M132" i="13"/>
  <c r="J13" i="15" s="1"/>
  <c r="J13" i="27" s="1"/>
  <c r="X13" i="27" s="1"/>
  <c r="M166" i="13"/>
  <c r="M150" i="13"/>
  <c r="M137" i="13"/>
  <c r="J18" i="15" s="1"/>
  <c r="J18" i="27" s="1"/>
  <c r="X18" i="27" s="1"/>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7" s="1"/>
  <c r="X11" i="27"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7" s="1"/>
  <c r="AA27" i="27"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L27" i="15" s="1"/>
  <c r="M249" i="13"/>
  <c r="M247" i="13"/>
  <c r="M245" i="13"/>
  <c r="M243" i="13"/>
  <c r="M241" i="13"/>
  <c r="M239" i="13"/>
  <c r="M237" i="13"/>
  <c r="M235" i="13"/>
  <c r="M233" i="13"/>
  <c r="M222" i="13"/>
  <c r="K51" i="15" s="1"/>
  <c r="M301" i="13"/>
  <c r="M276" i="13"/>
  <c r="M260" i="13"/>
  <c r="M244" i="13"/>
  <c r="M220" i="13"/>
  <c r="M218" i="13"/>
  <c r="M216" i="13"/>
  <c r="M214" i="13"/>
  <c r="M212" i="13"/>
  <c r="M210" i="13"/>
  <c r="M208" i="13"/>
  <c r="M206" i="13"/>
  <c r="M204" i="13"/>
  <c r="M202" i="13"/>
  <c r="K31" i="15" s="1"/>
  <c r="M200" i="13"/>
  <c r="K29" i="15" s="1"/>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7" s="1"/>
  <c r="AA10" i="27" s="1"/>
  <c r="M262" i="13"/>
  <c r="M246" i="13"/>
  <c r="M221" i="13"/>
  <c r="M250" i="13"/>
  <c r="M313" i="13"/>
  <c r="M236" i="13"/>
  <c r="M219" i="13"/>
  <c r="M215" i="13"/>
  <c r="M211" i="13"/>
  <c r="M207" i="13"/>
  <c r="M203" i="13"/>
  <c r="M199" i="13"/>
  <c r="M195" i="13"/>
  <c r="M191" i="13"/>
  <c r="M187" i="13"/>
  <c r="M183" i="13"/>
  <c r="M293" i="13"/>
  <c r="M242" i="13"/>
  <c r="M297" i="13"/>
  <c r="M20" i="15" s="1"/>
  <c r="M20" i="27" s="1"/>
  <c r="AA20" i="27" s="1"/>
  <c r="M256" i="13"/>
  <c r="M309" i="13"/>
  <c r="M272" i="13"/>
  <c r="M234" i="13"/>
  <c r="M327" i="13"/>
  <c r="M307" i="13"/>
  <c r="M268" i="13"/>
  <c r="M217" i="13"/>
  <c r="M213" i="13"/>
  <c r="M209" i="13"/>
  <c r="M205" i="13"/>
  <c r="M201" i="13"/>
  <c r="M197" i="13"/>
  <c r="K26" i="15" s="1"/>
  <c r="AF26" i="15" s="1"/>
  <c r="M193" i="13"/>
  <c r="M189" i="13"/>
  <c r="M185" i="13"/>
  <c r="M181" i="13"/>
  <c r="M319" i="13"/>
  <c r="M266" i="13"/>
  <c r="M291" i="13"/>
  <c r="M252" i="13"/>
  <c r="M240" i="13"/>
  <c r="L16" i="15" s="1"/>
  <c r="L16" i="27" s="1"/>
  <c r="Z16" i="27" s="1"/>
  <c r="AD53" i="1"/>
  <c r="V131" i="5"/>
  <c r="W131" i="5" s="1"/>
  <c r="AN51" i="11"/>
  <c r="AP51" i="11"/>
  <c r="AR51" i="11"/>
  <c r="AO51" i="11"/>
  <c r="AQ51" i="11"/>
  <c r="D25" i="14"/>
  <c r="B52" i="11"/>
  <c r="A32" i="5"/>
  <c r="A33" i="5" s="1"/>
  <c r="A34" i="5" s="1"/>
  <c r="A35" i="5" s="1"/>
  <c r="B132" i="5" s="1"/>
  <c r="D9" i="14"/>
  <c r="T9" i="15" s="1"/>
  <c r="U16" i="5"/>
  <c r="AB68" i="5"/>
  <c r="H68" i="5"/>
  <c r="F68" i="5"/>
  <c r="A69" i="5"/>
  <c r="P68" i="5"/>
  <c r="Z68" i="5"/>
  <c r="R68" i="5"/>
  <c r="AA64" i="11"/>
  <c r="E17" i="14" l="1"/>
  <c r="G49" i="14"/>
  <c r="W49" i="15" s="1"/>
  <c r="G12" i="14"/>
  <c r="W12" i="15" s="1"/>
  <c r="I22" i="15"/>
  <c r="I22" i="27" s="1"/>
  <c r="W22" i="27" s="1"/>
  <c r="D16" i="15"/>
  <c r="D16" i="27" s="1"/>
  <c r="R16" i="27" s="1"/>
  <c r="M50" i="14"/>
  <c r="D38" i="14"/>
  <c r="T38" i="15" s="1"/>
  <c r="E42" i="14"/>
  <c r="U42" i="15" s="1"/>
  <c r="I40" i="15"/>
  <c r="I40" i="27" s="1"/>
  <c r="W40" i="27" s="1"/>
  <c r="M42" i="14"/>
  <c r="F23" i="14"/>
  <c r="V23" i="15" s="1"/>
  <c r="F37" i="14"/>
  <c r="V37" i="15" s="1"/>
  <c r="I46" i="14"/>
  <c r="I26" i="14"/>
  <c r="I49" i="15"/>
  <c r="I49" i="27" s="1"/>
  <c r="W49" i="27" s="1"/>
  <c r="I36" i="15"/>
  <c r="I36" i="27" s="1"/>
  <c r="W36" i="27" s="1"/>
  <c r="F42" i="14"/>
  <c r="V42" i="15" s="1"/>
  <c r="E31" i="14"/>
  <c r="U31" i="15" s="1"/>
  <c r="F24" i="14"/>
  <c r="V24" i="15" s="1"/>
  <c r="J30" i="14"/>
  <c r="G21" i="14"/>
  <c r="W21" i="15" s="1"/>
  <c r="K40" i="15"/>
  <c r="D42" i="14"/>
  <c r="T42" i="15" s="1"/>
  <c r="F38" i="14"/>
  <c r="V38" i="15" s="1"/>
  <c r="G25" i="14"/>
  <c r="W25" i="15" s="1"/>
  <c r="J14" i="14"/>
  <c r="Z14" i="15" s="1"/>
  <c r="F13" i="15"/>
  <c r="F13" i="27" s="1"/>
  <c r="T13" i="27" s="1"/>
  <c r="K10" i="15"/>
  <c r="K10" i="27" s="1"/>
  <c r="Y10" i="27" s="1"/>
  <c r="K42" i="15"/>
  <c r="G13" i="15"/>
  <c r="G13" i="27" s="1"/>
  <c r="U13" i="27" s="1"/>
  <c r="K50" i="15"/>
  <c r="K20" i="15"/>
  <c r="K20" i="27" s="1"/>
  <c r="Y20" i="27" s="1"/>
  <c r="K35" i="15"/>
  <c r="K37" i="15"/>
  <c r="K28" i="15"/>
  <c r="K36" i="15"/>
  <c r="K27" i="15"/>
  <c r="K12" i="15"/>
  <c r="K12" i="27" s="1"/>
  <c r="Y12" i="27" s="1"/>
  <c r="K44" i="15"/>
  <c r="K19" i="15"/>
  <c r="K19" i="27" s="1"/>
  <c r="Y19" i="27" s="1"/>
  <c r="K34" i="15"/>
  <c r="K24" i="15"/>
  <c r="K52" i="15"/>
  <c r="K38" i="15"/>
  <c r="K21" i="15"/>
  <c r="K21" i="27" s="1"/>
  <c r="Y21" i="27" s="1"/>
  <c r="AG112" i="13"/>
  <c r="AH112" i="13" s="1"/>
  <c r="I46" i="24" s="1"/>
  <c r="K14" i="15"/>
  <c r="K14" i="27" s="1"/>
  <c r="Y14" i="27" s="1"/>
  <c r="K46" i="15"/>
  <c r="K41" i="15"/>
  <c r="K18" i="15"/>
  <c r="K18" i="27" s="1"/>
  <c r="Y18" i="27" s="1"/>
  <c r="K22" i="15"/>
  <c r="K39" i="15"/>
  <c r="K15" i="15"/>
  <c r="K15" i="27" s="1"/>
  <c r="Y15" i="27" s="1"/>
  <c r="K47" i="15"/>
  <c r="K30" i="15"/>
  <c r="K17" i="15"/>
  <c r="K17" i="27" s="1"/>
  <c r="Y17" i="27" s="1"/>
  <c r="K49" i="15"/>
  <c r="K23" i="15"/>
  <c r="K32" i="15"/>
  <c r="K25" i="15"/>
  <c r="K43" i="15"/>
  <c r="K11" i="15"/>
  <c r="K11" i="27" s="1"/>
  <c r="Y11" i="27" s="1"/>
  <c r="K13" i="15"/>
  <c r="K13" i="27" s="1"/>
  <c r="Y13" i="27" s="1"/>
  <c r="K45" i="15"/>
  <c r="K16" i="15"/>
  <c r="K16" i="27" s="1"/>
  <c r="Y16" i="27" s="1"/>
  <c r="K48" i="15"/>
  <c r="K33" i="15"/>
  <c r="K14" i="14"/>
  <c r="AA14" i="15" s="1"/>
  <c r="L26" i="14"/>
  <c r="K38" i="14"/>
  <c r="K27" i="14"/>
  <c r="L24" i="14"/>
  <c r="L14" i="14"/>
  <c r="AB14" i="15" s="1"/>
  <c r="L51" i="14"/>
  <c r="AB51" i="15" s="1"/>
  <c r="L16" i="14"/>
  <c r="AB16" i="15" s="1"/>
  <c r="L18" i="14"/>
  <c r="AB18" i="15" s="1"/>
  <c r="L12" i="14"/>
  <c r="AB12" i="15" s="1"/>
  <c r="K37" i="14"/>
  <c r="K39" i="14"/>
  <c r="K29" i="14"/>
  <c r="AA29" i="15" s="1"/>
  <c r="L33" i="14"/>
  <c r="L40" i="14"/>
  <c r="AB40" i="15" s="1"/>
  <c r="L30" i="14"/>
  <c r="L32" i="14"/>
  <c r="L34" i="14"/>
  <c r="K18" i="14"/>
  <c r="AA18" i="15" s="1"/>
  <c r="K42" i="14"/>
  <c r="K31" i="14"/>
  <c r="AA31" i="15" s="1"/>
  <c r="K25" i="14"/>
  <c r="L46" i="14"/>
  <c r="L48" i="14"/>
  <c r="L50" i="14"/>
  <c r="K11" i="14"/>
  <c r="AA11" i="15" s="1"/>
  <c r="L43" i="14"/>
  <c r="L41" i="14"/>
  <c r="L25" i="14"/>
  <c r="K45" i="14"/>
  <c r="K49" i="14"/>
  <c r="K13" i="14"/>
  <c r="AA13" i="15" s="1"/>
  <c r="K21" i="14"/>
  <c r="AA21" i="15" s="1"/>
  <c r="L47" i="14"/>
  <c r="L11" i="14"/>
  <c r="AB11" i="15" s="1"/>
  <c r="L28" i="14"/>
  <c r="L31" i="14"/>
  <c r="K35" i="14"/>
  <c r="K15" i="14"/>
  <c r="AA15" i="15" s="1"/>
  <c r="K19" i="14"/>
  <c r="AA19" i="15" s="1"/>
  <c r="K23" i="14"/>
  <c r="L49" i="14"/>
  <c r="K20" i="14"/>
  <c r="AA20" i="15" s="1"/>
  <c r="K22" i="14"/>
  <c r="K17" i="14"/>
  <c r="AA17" i="15" s="1"/>
  <c r="K32" i="14"/>
  <c r="L52" i="14"/>
  <c r="K30" i="14"/>
  <c r="L13" i="14"/>
  <c r="AB13" i="15" s="1"/>
  <c r="K47" i="14"/>
  <c r="K10" i="14"/>
  <c r="AA10" i="15" s="1"/>
  <c r="K26" i="14"/>
  <c r="K51" i="14"/>
  <c r="AA51" i="15" s="1"/>
  <c r="L17" i="14"/>
  <c r="AB17" i="15" s="1"/>
  <c r="L15" i="14"/>
  <c r="AB15" i="15" s="1"/>
  <c r="L27" i="14"/>
  <c r="AB27" i="15" s="1"/>
  <c r="L38" i="14"/>
  <c r="L36" i="14"/>
  <c r="K43" i="14"/>
  <c r="K28" i="14"/>
  <c r="L20" i="14"/>
  <c r="AB20" i="15" s="1"/>
  <c r="K24" i="14"/>
  <c r="L29" i="14"/>
  <c r="K34" i="14"/>
  <c r="L19" i="14"/>
  <c r="AB19" i="15" s="1"/>
  <c r="K46" i="14"/>
  <c r="L21" i="14"/>
  <c r="AB21" i="15" s="1"/>
  <c r="K12" i="14"/>
  <c r="AA12" i="15" s="1"/>
  <c r="L23" i="14"/>
  <c r="L42" i="14"/>
  <c r="L10" i="14"/>
  <c r="AB10" i="15" s="1"/>
  <c r="K50" i="14"/>
  <c r="K48" i="14"/>
  <c r="K41" i="14"/>
  <c r="K33" i="14"/>
  <c r="K16" i="14"/>
  <c r="AA16" i="15" s="1"/>
  <c r="K52" i="14"/>
  <c r="L45" i="14"/>
  <c r="K36" i="14"/>
  <c r="L35" i="14"/>
  <c r="K40" i="14"/>
  <c r="L37" i="14"/>
  <c r="K44" i="14"/>
  <c r="L39" i="14"/>
  <c r="L44" i="14"/>
  <c r="L22" i="14"/>
  <c r="AB22" i="15" s="1"/>
  <c r="F11" i="14"/>
  <c r="V11" i="15" s="1"/>
  <c r="D35" i="14"/>
  <c r="T35" i="15" s="1"/>
  <c r="E33" i="15"/>
  <c r="E33" i="27" s="1"/>
  <c r="S33" i="27" s="1"/>
  <c r="D33" i="15"/>
  <c r="D33" i="27" s="1"/>
  <c r="R33" i="27" s="1"/>
  <c r="J26" i="14"/>
  <c r="AG208" i="13"/>
  <c r="AI208" i="13" s="1"/>
  <c r="AG104" i="11"/>
  <c r="AI104" i="11" s="1"/>
  <c r="AG168" i="11"/>
  <c r="AI168" i="11" s="1"/>
  <c r="AG118" i="11"/>
  <c r="AH118" i="11" s="1"/>
  <c r="C52" i="24" s="1"/>
  <c r="AG324" i="11"/>
  <c r="AH324" i="11" s="1"/>
  <c r="G48" i="24" s="1"/>
  <c r="G20" i="15"/>
  <c r="G20" i="27" s="1"/>
  <c r="U20" i="27" s="1"/>
  <c r="F23" i="15"/>
  <c r="F23" i="27" s="1"/>
  <c r="T23" i="27" s="1"/>
  <c r="D17" i="14"/>
  <c r="T17" i="15" s="1"/>
  <c r="D17" i="15"/>
  <c r="D17" i="27" s="1"/>
  <c r="R17" i="27" s="1"/>
  <c r="AG213" i="13"/>
  <c r="AI213" i="13" s="1"/>
  <c r="I35" i="15"/>
  <c r="I35" i="27" s="1"/>
  <c r="W35" i="27" s="1"/>
  <c r="D47" i="14"/>
  <c r="T47" i="15" s="1"/>
  <c r="G19" i="14"/>
  <c r="W19" i="15" s="1"/>
  <c r="J51" i="14"/>
  <c r="E27" i="14"/>
  <c r="U27" i="15" s="1"/>
  <c r="AG255" i="11"/>
  <c r="AI255" i="11" s="1"/>
  <c r="C15" i="14"/>
  <c r="S15" i="15" s="1"/>
  <c r="I50" i="15"/>
  <c r="I50" i="27" s="1"/>
  <c r="W50" i="27" s="1"/>
  <c r="E25" i="15"/>
  <c r="E25" i="27" s="1"/>
  <c r="S25" i="27" s="1"/>
  <c r="G46" i="15"/>
  <c r="G46" i="27" s="1"/>
  <c r="U46" i="27" s="1"/>
  <c r="AG93" i="13"/>
  <c r="AI93" i="13" s="1"/>
  <c r="J24" i="14"/>
  <c r="J38" i="14"/>
  <c r="M45" i="14"/>
  <c r="AC45" i="15" s="1"/>
  <c r="F40" i="14"/>
  <c r="V40" i="15" s="1"/>
  <c r="AG212" i="11"/>
  <c r="AI212" i="11" s="1"/>
  <c r="AG85" i="11"/>
  <c r="AH85" i="11" s="1"/>
  <c r="C19" i="24" s="1"/>
  <c r="I52" i="14"/>
  <c r="AG135" i="13"/>
  <c r="AH135" i="13" s="1"/>
  <c r="E13" i="15"/>
  <c r="E13" i="27" s="1"/>
  <c r="S13" i="27" s="1"/>
  <c r="AG116" i="13"/>
  <c r="AI116" i="13" s="1"/>
  <c r="D52" i="15"/>
  <c r="D52" i="27" s="1"/>
  <c r="R52" i="27" s="1"/>
  <c r="G51" i="14"/>
  <c r="W51" i="15" s="1"/>
  <c r="F45" i="14"/>
  <c r="V45" i="15" s="1"/>
  <c r="M27" i="14"/>
  <c r="AC27" i="15" s="1"/>
  <c r="C18" i="14"/>
  <c r="S18" i="15" s="1"/>
  <c r="AG233" i="13"/>
  <c r="AI233" i="13" s="1"/>
  <c r="AG172" i="13"/>
  <c r="AI172" i="13" s="1"/>
  <c r="I12" i="15"/>
  <c r="I12" i="27" s="1"/>
  <c r="W12" i="27" s="1"/>
  <c r="D13" i="14"/>
  <c r="T13" i="15" s="1"/>
  <c r="M25" i="14"/>
  <c r="AC25" i="15" s="1"/>
  <c r="F35" i="14"/>
  <c r="V35" i="15" s="1"/>
  <c r="E39" i="14"/>
  <c r="U39" i="15" s="1"/>
  <c r="AG215" i="13"/>
  <c r="AH215" i="13" s="1"/>
  <c r="K45" i="24" s="1"/>
  <c r="I24" i="15"/>
  <c r="I24" i="27" s="1"/>
  <c r="W24" i="27" s="1"/>
  <c r="J40" i="14"/>
  <c r="Z40" i="15" s="1"/>
  <c r="K9" i="14"/>
  <c r="AA9" i="15" s="1"/>
  <c r="M23" i="14"/>
  <c r="AC23" i="15" s="1"/>
  <c r="AG90" i="11"/>
  <c r="AH90" i="11" s="1"/>
  <c r="C24" i="24" s="1"/>
  <c r="D24" i="15"/>
  <c r="D24" i="27" s="1"/>
  <c r="R24" i="27" s="1"/>
  <c r="I41" i="14"/>
  <c r="I47" i="14"/>
  <c r="Y47" i="15" s="1"/>
  <c r="I18" i="14"/>
  <c r="Y18" i="15" s="1"/>
  <c r="C12" i="14"/>
  <c r="S12" i="15" s="1"/>
  <c r="AG161" i="13"/>
  <c r="AI161" i="13" s="1"/>
  <c r="E30" i="15"/>
  <c r="E30" i="27" s="1"/>
  <c r="S30" i="27" s="1"/>
  <c r="I41" i="15"/>
  <c r="I41" i="27" s="1"/>
  <c r="W41" i="27" s="1"/>
  <c r="F45" i="15"/>
  <c r="F45" i="27" s="1"/>
  <c r="T45" i="27" s="1"/>
  <c r="AG195" i="13"/>
  <c r="AH195" i="13" s="1"/>
  <c r="K25" i="24" s="1"/>
  <c r="I16" i="15"/>
  <c r="I16" i="27" s="1"/>
  <c r="W16" i="27" s="1"/>
  <c r="D41" i="15"/>
  <c r="D41" i="27" s="1"/>
  <c r="R41" i="27" s="1"/>
  <c r="AG311" i="13"/>
  <c r="AH311" i="13" s="1"/>
  <c r="M35" i="24" s="1"/>
  <c r="D33" i="14"/>
  <c r="T33" i="15" s="1"/>
  <c r="AG272" i="13"/>
  <c r="AI272" i="13" s="1"/>
  <c r="AG320" i="13"/>
  <c r="AH320" i="13" s="1"/>
  <c r="M44" i="24" s="1"/>
  <c r="D39" i="14"/>
  <c r="T39" i="15" s="1"/>
  <c r="E16" i="15"/>
  <c r="E16" i="27" s="1"/>
  <c r="S16" i="27" s="1"/>
  <c r="AG214" i="13"/>
  <c r="AH214" i="13" s="1"/>
  <c r="K44" i="24" s="1"/>
  <c r="E9" i="14"/>
  <c r="U9" i="15" s="1"/>
  <c r="AG94" i="13"/>
  <c r="AH94" i="13" s="1"/>
  <c r="I28" i="24" s="1"/>
  <c r="G10" i="15"/>
  <c r="G10" i="27" s="1"/>
  <c r="U10" i="27" s="1"/>
  <c r="M19" i="14"/>
  <c r="AC19" i="15" s="1"/>
  <c r="AG130" i="11"/>
  <c r="AI130" i="11" s="1"/>
  <c r="G36" i="15"/>
  <c r="G36" i="27" s="1"/>
  <c r="U36" i="27" s="1"/>
  <c r="G32" i="15"/>
  <c r="G32" i="27" s="1"/>
  <c r="U32" i="27" s="1"/>
  <c r="D37" i="15"/>
  <c r="D37" i="27" s="1"/>
  <c r="R37" i="27" s="1"/>
  <c r="F16" i="15"/>
  <c r="F16" i="27" s="1"/>
  <c r="T16" i="27" s="1"/>
  <c r="E47" i="15"/>
  <c r="E47" i="27" s="1"/>
  <c r="S47" i="27" s="1"/>
  <c r="G28" i="14"/>
  <c r="W28" i="15" s="1"/>
  <c r="D32" i="14"/>
  <c r="T32" i="15" s="1"/>
  <c r="D45" i="14"/>
  <c r="T45" i="15" s="1"/>
  <c r="AG159" i="13"/>
  <c r="AI159" i="13" s="1"/>
  <c r="AG188" i="13"/>
  <c r="AI188" i="13" s="1"/>
  <c r="D21" i="14"/>
  <c r="T21" i="15" s="1"/>
  <c r="F29" i="14"/>
  <c r="V29" i="15" s="1"/>
  <c r="E25" i="14"/>
  <c r="U25" i="15" s="1"/>
  <c r="E38" i="14"/>
  <c r="U38" i="15" s="1"/>
  <c r="G46" i="14"/>
  <c r="W46" i="15" s="1"/>
  <c r="C24" i="14"/>
  <c r="S24" i="15" s="1"/>
  <c r="AG265" i="11"/>
  <c r="AH265" i="11" s="1"/>
  <c r="F42" i="24" s="1"/>
  <c r="AG290" i="11"/>
  <c r="AI290" i="11" s="1"/>
  <c r="AG108" i="11"/>
  <c r="AH108" i="11" s="1"/>
  <c r="C42" i="24" s="1"/>
  <c r="AG292" i="11"/>
  <c r="AI292" i="11" s="1"/>
  <c r="I14" i="14"/>
  <c r="Y14" i="15" s="1"/>
  <c r="I51" i="14"/>
  <c r="C41" i="14"/>
  <c r="S41" i="15" s="1"/>
  <c r="AG103" i="13"/>
  <c r="AH103" i="13" s="1"/>
  <c r="I37" i="24" s="1"/>
  <c r="G42" i="15"/>
  <c r="G42" i="27" s="1"/>
  <c r="U42" i="27" s="1"/>
  <c r="D37" i="14"/>
  <c r="T37" i="15" s="1"/>
  <c r="D46" i="14"/>
  <c r="T46" i="15" s="1"/>
  <c r="E49" i="14"/>
  <c r="U49" i="15" s="1"/>
  <c r="I17" i="14"/>
  <c r="Y17" i="15" s="1"/>
  <c r="I28" i="15"/>
  <c r="I28" i="27" s="1"/>
  <c r="W28" i="27" s="1"/>
  <c r="G39" i="15"/>
  <c r="G39" i="27" s="1"/>
  <c r="U39" i="27" s="1"/>
  <c r="AG247" i="13"/>
  <c r="AI247" i="13" s="1"/>
  <c r="E10" i="14"/>
  <c r="U10" i="15" s="1"/>
  <c r="F15" i="15"/>
  <c r="F15" i="27" s="1"/>
  <c r="T15" i="27" s="1"/>
  <c r="E27" i="15"/>
  <c r="E27" i="27" s="1"/>
  <c r="S27" i="27" s="1"/>
  <c r="AG80" i="13"/>
  <c r="AH80" i="13" s="1"/>
  <c r="I14" i="24" s="1"/>
  <c r="AG303" i="13"/>
  <c r="AI303" i="13" s="1"/>
  <c r="AG152" i="13"/>
  <c r="AI152" i="13" s="1"/>
  <c r="AG132" i="13"/>
  <c r="AI132" i="13" s="1"/>
  <c r="D20" i="15"/>
  <c r="D20" i="27" s="1"/>
  <c r="R20" i="27" s="1"/>
  <c r="D29" i="14"/>
  <c r="T29" i="15" s="1"/>
  <c r="M21" i="14"/>
  <c r="AC21" i="15" s="1"/>
  <c r="M9" i="14"/>
  <c r="AC9" i="15" s="1"/>
  <c r="AG243" i="11"/>
  <c r="AI243" i="11" s="1"/>
  <c r="D11" i="15"/>
  <c r="D11" i="27" s="1"/>
  <c r="R11" i="27" s="1"/>
  <c r="I30" i="14"/>
  <c r="AG288" i="13"/>
  <c r="AI288" i="13" s="1"/>
  <c r="F19" i="15"/>
  <c r="F19" i="27" s="1"/>
  <c r="T19" i="27" s="1"/>
  <c r="F41" i="15"/>
  <c r="F41" i="27" s="1"/>
  <c r="T41" i="27" s="1"/>
  <c r="E50" i="15"/>
  <c r="E50" i="27" s="1"/>
  <c r="S50" i="27" s="1"/>
  <c r="G41" i="15"/>
  <c r="G41" i="27" s="1"/>
  <c r="U41" i="27" s="1"/>
  <c r="G31" i="15"/>
  <c r="G31" i="27" s="1"/>
  <c r="U31" i="27" s="1"/>
  <c r="E48" i="14"/>
  <c r="U48" i="15" s="1"/>
  <c r="D51" i="14"/>
  <c r="T51" i="15" s="1"/>
  <c r="J49" i="14"/>
  <c r="G32" i="14"/>
  <c r="W32" i="15" s="1"/>
  <c r="C47" i="15"/>
  <c r="C47" i="27" s="1"/>
  <c r="Q47" i="27" s="1"/>
  <c r="AG308" i="11"/>
  <c r="AI308" i="11" s="1"/>
  <c r="C44" i="15"/>
  <c r="C44" i="27" s="1"/>
  <c r="Q44" i="27" s="1"/>
  <c r="AG191" i="11"/>
  <c r="AI191" i="11" s="1"/>
  <c r="M33" i="14"/>
  <c r="AG309" i="11"/>
  <c r="AI309" i="11" s="1"/>
  <c r="AG115" i="11"/>
  <c r="AH115" i="11" s="1"/>
  <c r="C49" i="24" s="1"/>
  <c r="AG215" i="11"/>
  <c r="AH215" i="11" s="1"/>
  <c r="E45" i="24" s="1"/>
  <c r="I19" i="14"/>
  <c r="Y19" i="15" s="1"/>
  <c r="I25" i="14"/>
  <c r="I40" i="14"/>
  <c r="Y40" i="15" s="1"/>
  <c r="I29" i="14"/>
  <c r="C13" i="14"/>
  <c r="S13" i="15" s="1"/>
  <c r="AG200" i="13"/>
  <c r="AI200" i="13" s="1"/>
  <c r="AG145" i="13"/>
  <c r="AH145" i="13" s="1"/>
  <c r="J27" i="24" s="1"/>
  <c r="I39" i="15"/>
  <c r="I39" i="27" s="1"/>
  <c r="W39" i="27" s="1"/>
  <c r="G25" i="15"/>
  <c r="G25" i="27" s="1"/>
  <c r="U25" i="27" s="1"/>
  <c r="AG157" i="13"/>
  <c r="AI157" i="13" s="1"/>
  <c r="D34" i="14"/>
  <c r="T34" i="15" s="1"/>
  <c r="M17" i="14"/>
  <c r="AC17" i="15" s="1"/>
  <c r="AG83" i="11"/>
  <c r="AH83" i="11" s="1"/>
  <c r="C17" i="24" s="1"/>
  <c r="AG263" i="11"/>
  <c r="AI263" i="11" s="1"/>
  <c r="AG140" i="11"/>
  <c r="AI140" i="11" s="1"/>
  <c r="AG81" i="11"/>
  <c r="AI81" i="11" s="1"/>
  <c r="AG297" i="11"/>
  <c r="AH297" i="11" s="1"/>
  <c r="G21" i="24" s="1"/>
  <c r="AG146" i="11"/>
  <c r="AI146" i="11" s="1"/>
  <c r="AG204" i="11"/>
  <c r="AH204" i="11" s="1"/>
  <c r="E34" i="24" s="1"/>
  <c r="G29" i="15"/>
  <c r="G29" i="27" s="1"/>
  <c r="U29" i="27" s="1"/>
  <c r="G18" i="15"/>
  <c r="G18" i="27" s="1"/>
  <c r="U18" i="27" s="1"/>
  <c r="AG305" i="13"/>
  <c r="AI305" i="13" s="1"/>
  <c r="AG193" i="13"/>
  <c r="AI193" i="13" s="1"/>
  <c r="AG289" i="13"/>
  <c r="AH289" i="13" s="1"/>
  <c r="M13" i="24" s="1"/>
  <c r="D39" i="15"/>
  <c r="D39" i="27" s="1"/>
  <c r="R39" i="27" s="1"/>
  <c r="AG134" i="13"/>
  <c r="AH134" i="13" s="1"/>
  <c r="J16" i="24" s="1"/>
  <c r="D44" i="15"/>
  <c r="D44" i="27" s="1"/>
  <c r="R44" i="27" s="1"/>
  <c r="D35" i="15"/>
  <c r="D35" i="27" s="1"/>
  <c r="R35" i="27" s="1"/>
  <c r="F44" i="15"/>
  <c r="F44" i="27" s="1"/>
  <c r="T44" i="27" s="1"/>
  <c r="G40" i="15"/>
  <c r="G40" i="27" s="1"/>
  <c r="U40" i="27" s="1"/>
  <c r="AG237" i="13"/>
  <c r="AH237" i="13" s="1"/>
  <c r="L14" i="24" s="1"/>
  <c r="D40" i="14"/>
  <c r="T40" i="15" s="1"/>
  <c r="I11" i="15"/>
  <c r="I11" i="27" s="1"/>
  <c r="W11" i="27" s="1"/>
  <c r="G12" i="15"/>
  <c r="G12" i="27" s="1"/>
  <c r="U12" i="27" s="1"/>
  <c r="F28" i="15"/>
  <c r="F28" i="27" s="1"/>
  <c r="T28" i="27" s="1"/>
  <c r="I30" i="15"/>
  <c r="I30" i="27" s="1"/>
  <c r="W30" i="27" s="1"/>
  <c r="G45" i="14"/>
  <c r="W45" i="15" s="1"/>
  <c r="F31" i="14"/>
  <c r="V31" i="15" s="1"/>
  <c r="E51" i="14"/>
  <c r="U51" i="15" s="1"/>
  <c r="G19" i="15"/>
  <c r="G19" i="27" s="1"/>
  <c r="U19" i="27" s="1"/>
  <c r="M46" i="14"/>
  <c r="AG206" i="13"/>
  <c r="AI206" i="13" s="1"/>
  <c r="G24" i="14"/>
  <c r="W24" i="15" s="1"/>
  <c r="I43" i="14"/>
  <c r="I31" i="14"/>
  <c r="AG241" i="13"/>
  <c r="AH241" i="13" s="1"/>
  <c r="L18" i="24" s="1"/>
  <c r="I37" i="15"/>
  <c r="I37" i="27" s="1"/>
  <c r="W37" i="27" s="1"/>
  <c r="I25" i="15"/>
  <c r="I25" i="27" s="1"/>
  <c r="W25" i="27" s="1"/>
  <c r="E47" i="14"/>
  <c r="U47" i="15" s="1"/>
  <c r="D19" i="14"/>
  <c r="T19" i="15" s="1"/>
  <c r="I20" i="14"/>
  <c r="Y20" i="15" s="1"/>
  <c r="AG274" i="13"/>
  <c r="AH274" i="13" s="1"/>
  <c r="L51" i="24" s="1"/>
  <c r="I15" i="15"/>
  <c r="I15" i="27" s="1"/>
  <c r="W15" i="27" s="1"/>
  <c r="G21" i="15"/>
  <c r="G21" i="27" s="1"/>
  <c r="U21" i="27" s="1"/>
  <c r="D47" i="15"/>
  <c r="D47" i="27" s="1"/>
  <c r="R47" i="27" s="1"/>
  <c r="D21" i="15"/>
  <c r="D21" i="27" s="1"/>
  <c r="R21" i="27" s="1"/>
  <c r="D9" i="15"/>
  <c r="D9" i="27" s="1"/>
  <c r="R9" i="27" s="1"/>
  <c r="D13" i="15"/>
  <c r="D13" i="27" s="1"/>
  <c r="R13" i="27" s="1"/>
  <c r="E49" i="15"/>
  <c r="E49" i="27" s="1"/>
  <c r="S49" i="27" s="1"/>
  <c r="J50" i="14"/>
  <c r="M16" i="14"/>
  <c r="AC16" i="15" s="1"/>
  <c r="I16" i="14"/>
  <c r="Y16" i="15" s="1"/>
  <c r="J35" i="14"/>
  <c r="J32" i="14"/>
  <c r="M10" i="14"/>
  <c r="AC10" i="15" s="1"/>
  <c r="G42" i="14"/>
  <c r="W42" i="15" s="1"/>
  <c r="C17" i="14"/>
  <c r="S17" i="15" s="1"/>
  <c r="F13" i="14"/>
  <c r="V13" i="15" s="1"/>
  <c r="AG248" i="11"/>
  <c r="AI248" i="11" s="1"/>
  <c r="AG198" i="13"/>
  <c r="AI198" i="13" s="1"/>
  <c r="G37" i="15"/>
  <c r="G37" i="27" s="1"/>
  <c r="U37" i="27" s="1"/>
  <c r="G51" i="15"/>
  <c r="G51" i="27" s="1"/>
  <c r="U51" i="27" s="1"/>
  <c r="D10" i="15"/>
  <c r="D10" i="27" s="1"/>
  <c r="R10" i="27" s="1"/>
  <c r="D10" i="14"/>
  <c r="T10" i="15" s="1"/>
  <c r="F48" i="15"/>
  <c r="F48" i="27" s="1"/>
  <c r="T48" i="27" s="1"/>
  <c r="I46" i="15"/>
  <c r="I46" i="27" s="1"/>
  <c r="W46" i="27" s="1"/>
  <c r="D28" i="14"/>
  <c r="T28" i="15" s="1"/>
  <c r="D49" i="14"/>
  <c r="T49" i="15" s="1"/>
  <c r="I45" i="15"/>
  <c r="I45" i="27" s="1"/>
  <c r="W45" i="27" s="1"/>
  <c r="D26" i="14"/>
  <c r="T26" i="15" s="1"/>
  <c r="D20" i="14"/>
  <c r="T20" i="15" s="1"/>
  <c r="F42" i="15"/>
  <c r="F42" i="27" s="1"/>
  <c r="T42" i="27" s="1"/>
  <c r="D45" i="15"/>
  <c r="D45" i="27" s="1"/>
  <c r="R45" i="27" s="1"/>
  <c r="D40" i="15"/>
  <c r="D40" i="27" s="1"/>
  <c r="R40" i="27" s="1"/>
  <c r="F18" i="14"/>
  <c r="V18" i="15" s="1"/>
  <c r="E19" i="14"/>
  <c r="U19" i="15" s="1"/>
  <c r="I10" i="15"/>
  <c r="I10" i="27" s="1"/>
  <c r="W10" i="27" s="1"/>
  <c r="AG250" i="13"/>
  <c r="AH250" i="13" s="1"/>
  <c r="L27" i="24" s="1"/>
  <c r="F46" i="15"/>
  <c r="F46" i="27" s="1"/>
  <c r="T46" i="27" s="1"/>
  <c r="D14" i="14"/>
  <c r="T14" i="15" s="1"/>
  <c r="D30" i="14"/>
  <c r="T30" i="15" s="1"/>
  <c r="D19" i="15"/>
  <c r="D19" i="27" s="1"/>
  <c r="R19" i="27" s="1"/>
  <c r="F30" i="14"/>
  <c r="V30" i="15" s="1"/>
  <c r="J15" i="14"/>
  <c r="Z15" i="15" s="1"/>
  <c r="G15" i="14"/>
  <c r="W15" i="15" s="1"/>
  <c r="AG77" i="13"/>
  <c r="AI77" i="13" s="1"/>
  <c r="AG316" i="13"/>
  <c r="AH316" i="13" s="1"/>
  <c r="M40" i="24" s="1"/>
  <c r="I43" i="15"/>
  <c r="I43" i="27" s="1"/>
  <c r="W43" i="27" s="1"/>
  <c r="J23" i="14"/>
  <c r="J22" i="14"/>
  <c r="M47" i="14"/>
  <c r="AC47" i="15" s="1"/>
  <c r="G30" i="14"/>
  <c r="W30" i="15" s="1"/>
  <c r="I24" i="14"/>
  <c r="I34" i="14"/>
  <c r="F9" i="15"/>
  <c r="F9" i="27" s="1"/>
  <c r="T9" i="27" s="1"/>
  <c r="AG218" i="13"/>
  <c r="AI218" i="13" s="1"/>
  <c r="AG130" i="13"/>
  <c r="AI130" i="13" s="1"/>
  <c r="I52" i="15"/>
  <c r="I52" i="27" s="1"/>
  <c r="W52" i="27" s="1"/>
  <c r="AG201" i="13"/>
  <c r="AH201" i="13" s="1"/>
  <c r="K31" i="24" s="1"/>
  <c r="AG153" i="13"/>
  <c r="AH153" i="13" s="1"/>
  <c r="E14" i="14"/>
  <c r="U14" i="15" s="1"/>
  <c r="E39" i="15"/>
  <c r="E39" i="27" s="1"/>
  <c r="S39" i="27" s="1"/>
  <c r="D52" i="14"/>
  <c r="T52" i="15" s="1"/>
  <c r="G27" i="14"/>
  <c r="W27" i="15" s="1"/>
  <c r="D36" i="14"/>
  <c r="T36" i="15" s="1"/>
  <c r="J12" i="14"/>
  <c r="Z12" i="15" s="1"/>
  <c r="J46" i="14"/>
  <c r="J29" i="14"/>
  <c r="M15" i="14"/>
  <c r="AC15" i="15" s="1"/>
  <c r="G39" i="14"/>
  <c r="W39" i="15" s="1"/>
  <c r="E23" i="14"/>
  <c r="U23" i="15" s="1"/>
  <c r="E36" i="14"/>
  <c r="U36" i="15" s="1"/>
  <c r="G23" i="14"/>
  <c r="W23" i="15" s="1"/>
  <c r="D22" i="15"/>
  <c r="D22" i="27" s="1"/>
  <c r="R22" i="27" s="1"/>
  <c r="D32" i="15"/>
  <c r="D32" i="27" s="1"/>
  <c r="R32" i="27" s="1"/>
  <c r="I38" i="14"/>
  <c r="I50" i="14"/>
  <c r="I21" i="14"/>
  <c r="Y21" i="15" s="1"/>
  <c r="C49" i="14"/>
  <c r="S49" i="15" s="1"/>
  <c r="AG240" i="13"/>
  <c r="AI240" i="13" s="1"/>
  <c r="G50" i="15"/>
  <c r="G50" i="27" s="1"/>
  <c r="U50" i="27" s="1"/>
  <c r="F17" i="15"/>
  <c r="F17" i="27" s="1"/>
  <c r="T17" i="27" s="1"/>
  <c r="G48" i="15"/>
  <c r="G48" i="27" s="1"/>
  <c r="U48" i="27" s="1"/>
  <c r="F36" i="15"/>
  <c r="F36" i="27" s="1"/>
  <c r="T36" i="27" s="1"/>
  <c r="G34" i="15"/>
  <c r="G34" i="27" s="1"/>
  <c r="U34" i="27" s="1"/>
  <c r="E41" i="15"/>
  <c r="E41" i="27" s="1"/>
  <c r="S41" i="27" s="1"/>
  <c r="G47" i="15"/>
  <c r="G47" i="27" s="1"/>
  <c r="U47" i="27" s="1"/>
  <c r="E42" i="15"/>
  <c r="E42" i="27" s="1"/>
  <c r="S42" i="27" s="1"/>
  <c r="AG287" i="13"/>
  <c r="AI287" i="13" s="1"/>
  <c r="AG297" i="13"/>
  <c r="AI297" i="13" s="1"/>
  <c r="AG180" i="13"/>
  <c r="AI180" i="13" s="1"/>
  <c r="AG301" i="13"/>
  <c r="AI301" i="13" s="1"/>
  <c r="AG78" i="13"/>
  <c r="AI78" i="13" s="1"/>
  <c r="D22" i="14"/>
  <c r="T22" i="15" s="1"/>
  <c r="I51" i="15"/>
  <c r="I51" i="27" s="1"/>
  <c r="W51" i="27" s="1"/>
  <c r="D48" i="14"/>
  <c r="T48" i="15" s="1"/>
  <c r="G36" i="14"/>
  <c r="W36" i="15" s="1"/>
  <c r="D44" i="14"/>
  <c r="T44" i="15" s="1"/>
  <c r="I13" i="15"/>
  <c r="I13" i="27" s="1"/>
  <c r="W13" i="27" s="1"/>
  <c r="I48" i="15"/>
  <c r="I48" i="27" s="1"/>
  <c r="W48" i="27" s="1"/>
  <c r="D26" i="15"/>
  <c r="D26" i="27" s="1"/>
  <c r="R26" i="27" s="1"/>
  <c r="F25" i="15"/>
  <c r="F25" i="27" s="1"/>
  <c r="T25" i="27" s="1"/>
  <c r="D43" i="14"/>
  <c r="T43" i="15" s="1"/>
  <c r="D12" i="14"/>
  <c r="T12" i="15" s="1"/>
  <c r="J16" i="14"/>
  <c r="Z16" i="15" s="1"/>
  <c r="F44" i="14"/>
  <c r="V44" i="15" s="1"/>
  <c r="I42" i="15"/>
  <c r="I42" i="27" s="1"/>
  <c r="W42" i="27" s="1"/>
  <c r="F38" i="15"/>
  <c r="F38" i="27" s="1"/>
  <c r="T38" i="27" s="1"/>
  <c r="D23" i="14"/>
  <c r="T23" i="15" s="1"/>
  <c r="I33" i="15"/>
  <c r="I33" i="27" s="1"/>
  <c r="W33" i="27" s="1"/>
  <c r="F43" i="14"/>
  <c r="V43" i="15" s="1"/>
  <c r="F14" i="14"/>
  <c r="V14" i="15" s="1"/>
  <c r="F28" i="14"/>
  <c r="V28" i="15" s="1"/>
  <c r="I19" i="15"/>
  <c r="I19" i="27" s="1"/>
  <c r="W19" i="27" s="1"/>
  <c r="F49" i="15"/>
  <c r="F49" i="27" s="1"/>
  <c r="T49" i="27" s="1"/>
  <c r="I29" i="15"/>
  <c r="I29" i="27" s="1"/>
  <c r="W29" i="27" s="1"/>
  <c r="AG101" i="13"/>
  <c r="AI101" i="13" s="1"/>
  <c r="I17" i="15"/>
  <c r="I17" i="27" s="1"/>
  <c r="W17" i="27" s="1"/>
  <c r="AG167" i="13"/>
  <c r="AH167" i="13" s="1"/>
  <c r="J49" i="24" s="1"/>
  <c r="AG207" i="13"/>
  <c r="AI207" i="13" s="1"/>
  <c r="AG182" i="13"/>
  <c r="AI182" i="13" s="1"/>
  <c r="AG163" i="13"/>
  <c r="AI163" i="13" s="1"/>
  <c r="D46" i="15"/>
  <c r="D46" i="27" s="1"/>
  <c r="R46" i="27" s="1"/>
  <c r="E29" i="15"/>
  <c r="E29" i="27" s="1"/>
  <c r="S29" i="27" s="1"/>
  <c r="F33" i="15"/>
  <c r="F33" i="27" s="1"/>
  <c r="T33" i="27" s="1"/>
  <c r="F22" i="15"/>
  <c r="F22" i="27" s="1"/>
  <c r="T22" i="27" s="1"/>
  <c r="AG251" i="13"/>
  <c r="AI251" i="13" s="1"/>
  <c r="AG254" i="13"/>
  <c r="AI254" i="13" s="1"/>
  <c r="AG84" i="13"/>
  <c r="AI84" i="13" s="1"/>
  <c r="E37" i="14"/>
  <c r="U37" i="15" s="1"/>
  <c r="G35" i="15"/>
  <c r="G35" i="27" s="1"/>
  <c r="U35" i="27" s="1"/>
  <c r="I14" i="15"/>
  <c r="I14" i="27" s="1"/>
  <c r="W14" i="27" s="1"/>
  <c r="I9" i="15"/>
  <c r="I9" i="27" s="1"/>
  <c r="W9" i="27" s="1"/>
  <c r="F50" i="14"/>
  <c r="V50" i="15" s="1"/>
  <c r="J25" i="14"/>
  <c r="Z25" i="15" s="1"/>
  <c r="E46" i="15"/>
  <c r="E46" i="27" s="1"/>
  <c r="S46" i="27" s="1"/>
  <c r="F47" i="14"/>
  <c r="V47" i="15" s="1"/>
  <c r="AG169" i="13"/>
  <c r="AI169" i="13" s="1"/>
  <c r="E48" i="15"/>
  <c r="E48" i="27" s="1"/>
  <c r="S48" i="27" s="1"/>
  <c r="I18" i="15"/>
  <c r="I18" i="27" s="1"/>
  <c r="W18" i="27" s="1"/>
  <c r="J37" i="14"/>
  <c r="J52" i="14"/>
  <c r="Z52" i="15" s="1"/>
  <c r="M11" i="14"/>
  <c r="AC11" i="15" s="1"/>
  <c r="G37" i="14"/>
  <c r="W37" i="15" s="1"/>
  <c r="G50" i="14"/>
  <c r="W50" i="15" s="1"/>
  <c r="E34" i="14"/>
  <c r="U34" i="15" s="1"/>
  <c r="E21" i="14"/>
  <c r="U21" i="15" s="1"/>
  <c r="E30" i="14"/>
  <c r="U30" i="15" s="1"/>
  <c r="D51" i="15"/>
  <c r="D51" i="27" s="1"/>
  <c r="R51" i="27" s="1"/>
  <c r="E10" i="15"/>
  <c r="E10" i="27" s="1"/>
  <c r="S10" i="27" s="1"/>
  <c r="I10" i="14"/>
  <c r="Y10" i="15" s="1"/>
  <c r="I33" i="14"/>
  <c r="I11" i="14"/>
  <c r="Y11" i="15" s="1"/>
  <c r="AG243" i="13"/>
  <c r="AI243" i="13" s="1"/>
  <c r="F10" i="15"/>
  <c r="F10" i="27" s="1"/>
  <c r="T10" i="27" s="1"/>
  <c r="E17" i="15"/>
  <c r="E17" i="27" s="1"/>
  <c r="S17" i="27" s="1"/>
  <c r="I34" i="15"/>
  <c r="I34" i="27" s="1"/>
  <c r="W34" i="27" s="1"/>
  <c r="AG252" i="13"/>
  <c r="AH252" i="13" s="1"/>
  <c r="L29" i="24" s="1"/>
  <c r="AG304" i="13"/>
  <c r="AH304" i="13" s="1"/>
  <c r="M28" i="24" s="1"/>
  <c r="D29" i="15"/>
  <c r="D29" i="27" s="1"/>
  <c r="R29" i="27" s="1"/>
  <c r="D34" i="15"/>
  <c r="D34" i="27" s="1"/>
  <c r="R34" i="27" s="1"/>
  <c r="D42" i="15"/>
  <c r="D42" i="27" s="1"/>
  <c r="R42" i="27" s="1"/>
  <c r="F34" i="15"/>
  <c r="F34" i="27" s="1"/>
  <c r="T34" i="27" s="1"/>
  <c r="G28" i="15"/>
  <c r="G28" i="27" s="1"/>
  <c r="U28" i="27" s="1"/>
  <c r="AG270" i="13"/>
  <c r="AI270" i="13" s="1"/>
  <c r="D50" i="14"/>
  <c r="T50" i="15" s="1"/>
  <c r="F17" i="14"/>
  <c r="V17" i="15" s="1"/>
  <c r="AG246" i="13"/>
  <c r="AI246" i="13" s="1"/>
  <c r="AG292" i="13"/>
  <c r="AI292" i="13" s="1"/>
  <c r="J47" i="14"/>
  <c r="E52" i="14"/>
  <c r="U52" i="15" s="1"/>
  <c r="G47" i="14"/>
  <c r="W47" i="15" s="1"/>
  <c r="AG270" i="11"/>
  <c r="AH270" i="11" s="1"/>
  <c r="F47" i="24" s="1"/>
  <c r="AG266" i="11"/>
  <c r="AI266" i="11" s="1"/>
  <c r="AG149" i="11"/>
  <c r="AI149" i="11" s="1"/>
  <c r="AG201" i="11"/>
  <c r="AH201" i="11" s="1"/>
  <c r="E31" i="24" s="1"/>
  <c r="D38" i="15"/>
  <c r="D38" i="27" s="1"/>
  <c r="R38" i="27" s="1"/>
  <c r="F26" i="15"/>
  <c r="F26" i="27" s="1"/>
  <c r="T26" i="27" s="1"/>
  <c r="AG131" i="13"/>
  <c r="AI131" i="13" s="1"/>
  <c r="AG186" i="13"/>
  <c r="AH186" i="13" s="1"/>
  <c r="K16" i="24" s="1"/>
  <c r="AG105" i="13"/>
  <c r="AH105" i="13" s="1"/>
  <c r="I39" i="24" s="1"/>
  <c r="E9" i="15"/>
  <c r="E9" i="27" s="1"/>
  <c r="S9" i="27" s="1"/>
  <c r="C29" i="14"/>
  <c r="S29" i="15" s="1"/>
  <c r="C14" i="14"/>
  <c r="S14" i="15" s="1"/>
  <c r="AG90" i="13"/>
  <c r="AI90" i="13" s="1"/>
  <c r="AG115" i="13"/>
  <c r="AH115" i="13" s="1"/>
  <c r="I49" i="24" s="1"/>
  <c r="F32" i="15"/>
  <c r="F32" i="27" s="1"/>
  <c r="T32" i="27" s="1"/>
  <c r="G45" i="15"/>
  <c r="G45" i="27" s="1"/>
  <c r="U45" i="27" s="1"/>
  <c r="AG238" i="13"/>
  <c r="AI238" i="13" s="1"/>
  <c r="AG325" i="13"/>
  <c r="AI325" i="13" s="1"/>
  <c r="AG102" i="13"/>
  <c r="AH102" i="13" s="1"/>
  <c r="I36" i="24" s="1"/>
  <c r="AG106" i="13"/>
  <c r="AH106" i="13" s="1"/>
  <c r="I40" i="24" s="1"/>
  <c r="AG189" i="13"/>
  <c r="AH189" i="13" s="1"/>
  <c r="K19" i="24" s="1"/>
  <c r="AG276" i="13"/>
  <c r="AH276" i="13" s="1"/>
  <c r="AG99" i="13"/>
  <c r="AI99" i="13" s="1"/>
  <c r="D31" i="14"/>
  <c r="T31" i="15" s="1"/>
  <c r="I26" i="15"/>
  <c r="D15" i="14"/>
  <c r="T15" i="15" s="1"/>
  <c r="I38" i="15"/>
  <c r="E32" i="14"/>
  <c r="D48" i="15"/>
  <c r="D48" i="27" s="1"/>
  <c r="R48" i="27" s="1"/>
  <c r="I31" i="15"/>
  <c r="I31" i="27" s="1"/>
  <c r="W31" i="27" s="1"/>
  <c r="D18" i="14"/>
  <c r="T18" i="15" s="1"/>
  <c r="E18" i="14"/>
  <c r="AG254" i="11"/>
  <c r="AI254" i="11" s="1"/>
  <c r="AG199" i="13"/>
  <c r="AI199" i="13" s="1"/>
  <c r="G11" i="14"/>
  <c r="W11" i="15" s="1"/>
  <c r="AG145" i="11"/>
  <c r="AI145" i="11" s="1"/>
  <c r="G17" i="14"/>
  <c r="W17" i="15" s="1"/>
  <c r="AG155" i="11"/>
  <c r="AI155" i="11" s="1"/>
  <c r="AG287" i="11"/>
  <c r="AI287" i="11" s="1"/>
  <c r="M51" i="14"/>
  <c r="AC51" i="15" s="1"/>
  <c r="J21" i="14"/>
  <c r="Z21" i="15" s="1"/>
  <c r="J28" i="14"/>
  <c r="J11" i="14"/>
  <c r="Z11" i="15" s="1"/>
  <c r="J45" i="14"/>
  <c r="Z45" i="15" s="1"/>
  <c r="J36" i="14"/>
  <c r="M22" i="14"/>
  <c r="AC22" i="15" s="1"/>
  <c r="M36" i="14"/>
  <c r="M13" i="14"/>
  <c r="AC13" i="15" s="1"/>
  <c r="M43" i="14"/>
  <c r="AC43" i="15" s="1"/>
  <c r="G22" i="14"/>
  <c r="W22" i="15" s="1"/>
  <c r="G16" i="14"/>
  <c r="W16" i="15" s="1"/>
  <c r="E50" i="14"/>
  <c r="U50" i="15" s="1"/>
  <c r="AG253" i="11"/>
  <c r="AI253" i="11" s="1"/>
  <c r="C52" i="15"/>
  <c r="C52" i="27" s="1"/>
  <c r="Q52" i="27" s="1"/>
  <c r="AG103" i="11"/>
  <c r="AH103" i="11" s="1"/>
  <c r="C37" i="24" s="1"/>
  <c r="AG192" i="11"/>
  <c r="AI192" i="11" s="1"/>
  <c r="AG166" i="11"/>
  <c r="AI166" i="11" s="1"/>
  <c r="AG291" i="11"/>
  <c r="AH291" i="11" s="1"/>
  <c r="AG217" i="11"/>
  <c r="AI217" i="11" s="1"/>
  <c r="AG296" i="11"/>
  <c r="AH296" i="11" s="1"/>
  <c r="G20" i="24" s="1"/>
  <c r="I27" i="15"/>
  <c r="I27" i="27" s="1"/>
  <c r="W27" i="27" s="1"/>
  <c r="F43" i="15"/>
  <c r="F43" i="27" s="1"/>
  <c r="T43" i="27" s="1"/>
  <c r="AG266" i="13"/>
  <c r="AH266" i="13" s="1"/>
  <c r="AG317" i="13"/>
  <c r="AH317" i="13" s="1"/>
  <c r="M41" i="24" s="1"/>
  <c r="AG210" i="13"/>
  <c r="AH210" i="13" s="1"/>
  <c r="K40" i="24" s="1"/>
  <c r="G9" i="15"/>
  <c r="G9" i="27" s="1"/>
  <c r="U9" i="27" s="1"/>
  <c r="F41" i="14"/>
  <c r="V41" i="15" s="1"/>
  <c r="AG89" i="11"/>
  <c r="AI89" i="11" s="1"/>
  <c r="AG257" i="13"/>
  <c r="AI257" i="13" s="1"/>
  <c r="D41" i="14"/>
  <c r="M37" i="14"/>
  <c r="J27" i="14"/>
  <c r="M20" i="14"/>
  <c r="AC20" i="15" s="1"/>
  <c r="M34" i="14"/>
  <c r="F10" i="14"/>
  <c r="V10" i="15" s="1"/>
  <c r="E43" i="14"/>
  <c r="U43" i="15" s="1"/>
  <c r="F52" i="14"/>
  <c r="V52" i="15" s="1"/>
  <c r="F34" i="14"/>
  <c r="V34" i="15" s="1"/>
  <c r="G31" i="14"/>
  <c r="W31" i="15" s="1"/>
  <c r="F20" i="14"/>
  <c r="V20" i="15" s="1"/>
  <c r="AG82" i="11"/>
  <c r="AH82" i="11" s="1"/>
  <c r="C16" i="24" s="1"/>
  <c r="AG300" i="11"/>
  <c r="AI300" i="11" s="1"/>
  <c r="AG136" i="11"/>
  <c r="AH136" i="11" s="1"/>
  <c r="D18" i="24" s="1"/>
  <c r="AG257" i="11"/>
  <c r="AH257" i="11" s="1"/>
  <c r="F34" i="24" s="1"/>
  <c r="AG144" i="11"/>
  <c r="AH144" i="11" s="1"/>
  <c r="D26" i="24" s="1"/>
  <c r="C24" i="15"/>
  <c r="C24" i="27" s="1"/>
  <c r="Q24" i="27" s="1"/>
  <c r="AG196" i="11"/>
  <c r="AH196" i="11" s="1"/>
  <c r="E26" i="24" s="1"/>
  <c r="AG169" i="11"/>
  <c r="AI169" i="11" s="1"/>
  <c r="AG102" i="11"/>
  <c r="AH102" i="11" s="1"/>
  <c r="C36" i="24" s="1"/>
  <c r="AG264" i="11"/>
  <c r="AH264" i="11" s="1"/>
  <c r="F41" i="24" s="1"/>
  <c r="AG153" i="11"/>
  <c r="AI153" i="11" s="1"/>
  <c r="AG299" i="11"/>
  <c r="AH299" i="11" s="1"/>
  <c r="G23" i="24" s="1"/>
  <c r="AG244" i="11"/>
  <c r="AI244" i="11" s="1"/>
  <c r="AG184" i="11"/>
  <c r="AI184" i="11" s="1"/>
  <c r="I39" i="14"/>
  <c r="I49" i="14"/>
  <c r="C52" i="14"/>
  <c r="S52" i="15" s="1"/>
  <c r="C30" i="14"/>
  <c r="S30" i="15" s="1"/>
  <c r="AG192" i="13"/>
  <c r="AI192" i="13" s="1"/>
  <c r="E18" i="15"/>
  <c r="E18" i="27" s="1"/>
  <c r="S18" i="27" s="1"/>
  <c r="AG307" i="13"/>
  <c r="AH307" i="13" s="1"/>
  <c r="M31" i="24" s="1"/>
  <c r="AG236" i="13"/>
  <c r="AI236" i="13" s="1"/>
  <c r="F48" i="14"/>
  <c r="V48" i="15" s="1"/>
  <c r="AG163" i="11"/>
  <c r="AH163" i="11" s="1"/>
  <c r="D45" i="24" s="1"/>
  <c r="C19" i="14"/>
  <c r="S19" i="15" s="1"/>
  <c r="AG329" i="13"/>
  <c r="AH329" i="13" s="1"/>
  <c r="M53" i="24" s="1"/>
  <c r="AG256" i="11"/>
  <c r="AI256" i="11" s="1"/>
  <c r="I32" i="15"/>
  <c r="I32" i="27" s="1"/>
  <c r="W32" i="27" s="1"/>
  <c r="F50" i="15"/>
  <c r="F50" i="27" s="1"/>
  <c r="T50" i="27" s="1"/>
  <c r="G48" i="14"/>
  <c r="W48" i="15" s="1"/>
  <c r="E40" i="14"/>
  <c r="U40" i="15" s="1"/>
  <c r="F33" i="14"/>
  <c r="V33" i="15" s="1"/>
  <c r="AG289" i="11"/>
  <c r="AI289" i="11" s="1"/>
  <c r="AG245" i="11"/>
  <c r="AH245" i="11" s="1"/>
  <c r="F22" i="24" s="1"/>
  <c r="C25" i="15"/>
  <c r="AG269" i="11"/>
  <c r="AH269" i="11" s="1"/>
  <c r="C50" i="15"/>
  <c r="C50" i="27" s="1"/>
  <c r="Q50" i="27" s="1"/>
  <c r="AG148" i="11"/>
  <c r="AI148" i="11" s="1"/>
  <c r="AG275" i="11"/>
  <c r="AI275" i="11" s="1"/>
  <c r="AG131" i="11"/>
  <c r="AH131" i="11" s="1"/>
  <c r="AG210" i="11"/>
  <c r="AI210" i="11" s="1"/>
  <c r="I44" i="14"/>
  <c r="Y44" i="15" s="1"/>
  <c r="I12" i="14"/>
  <c r="Y12" i="15" s="1"/>
  <c r="AG118" i="13"/>
  <c r="AI118" i="13" s="1"/>
  <c r="AG256" i="13"/>
  <c r="AI256" i="13" s="1"/>
  <c r="D18" i="15"/>
  <c r="D18" i="27" s="1"/>
  <c r="R18" i="27" s="1"/>
  <c r="AG293" i="13"/>
  <c r="AH293" i="13" s="1"/>
  <c r="M17" i="24" s="1"/>
  <c r="AG296" i="13"/>
  <c r="AI296" i="13" s="1"/>
  <c r="AG299" i="13"/>
  <c r="AI299" i="13" s="1"/>
  <c r="AH195" i="11"/>
  <c r="AD195" i="11" s="1"/>
  <c r="E25" i="26" s="1"/>
  <c r="AH87" i="11"/>
  <c r="AD87" i="11" s="1"/>
  <c r="C21" i="26" s="1"/>
  <c r="AH306" i="11"/>
  <c r="AD306" i="11" s="1"/>
  <c r="G30" i="26" s="1"/>
  <c r="AI93" i="11"/>
  <c r="AD93" i="11" s="1"/>
  <c r="C27" i="26" s="1"/>
  <c r="M41" i="14"/>
  <c r="AC41" i="15" s="1"/>
  <c r="E29" i="14"/>
  <c r="U29" i="15" s="1"/>
  <c r="C39" i="14"/>
  <c r="S39" i="15" s="1"/>
  <c r="D43" i="15"/>
  <c r="D43" i="27" s="1"/>
  <c r="R43" i="27" s="1"/>
  <c r="D36" i="15"/>
  <c r="D36" i="27" s="1"/>
  <c r="R36" i="27" s="1"/>
  <c r="J10" i="14"/>
  <c r="Z10" i="15" s="1"/>
  <c r="J9" i="14"/>
  <c r="Z9" i="15" s="1"/>
  <c r="J43" i="14"/>
  <c r="J34" i="14"/>
  <c r="J17" i="14"/>
  <c r="Z17" i="15" s="1"/>
  <c r="M18" i="14"/>
  <c r="AC18" i="15" s="1"/>
  <c r="M48" i="14"/>
  <c r="M39" i="14"/>
  <c r="AC39" i="15" s="1"/>
  <c r="G13" i="14"/>
  <c r="W13" i="15" s="1"/>
  <c r="E45" i="14"/>
  <c r="U45" i="15" s="1"/>
  <c r="E26" i="14"/>
  <c r="U26" i="15" s="1"/>
  <c r="E22" i="14"/>
  <c r="U22" i="15" s="1"/>
  <c r="F21" i="14"/>
  <c r="V21" i="15" s="1"/>
  <c r="G14" i="14"/>
  <c r="W14" i="15" s="1"/>
  <c r="AG76" i="11"/>
  <c r="AH76" i="11" s="1"/>
  <c r="C10" i="24" s="1"/>
  <c r="AG156" i="11"/>
  <c r="AH156" i="11" s="1"/>
  <c r="D38" i="24" s="1"/>
  <c r="AG252" i="11"/>
  <c r="AH252" i="11" s="1"/>
  <c r="F29" i="24" s="1"/>
  <c r="D30" i="15"/>
  <c r="D30" i="27" s="1"/>
  <c r="R30" i="27" s="1"/>
  <c r="I27" i="14"/>
  <c r="I28" i="14"/>
  <c r="I23" i="14"/>
  <c r="Y23" i="15" s="1"/>
  <c r="C46" i="14"/>
  <c r="S46" i="15" s="1"/>
  <c r="AG104" i="13"/>
  <c r="AI104" i="13" s="1"/>
  <c r="F37" i="15"/>
  <c r="F37" i="27" s="1"/>
  <c r="T37" i="27" s="1"/>
  <c r="G15" i="15"/>
  <c r="G15" i="27" s="1"/>
  <c r="U15" i="27" s="1"/>
  <c r="J19" i="14"/>
  <c r="Z19" i="15" s="1"/>
  <c r="AG113" i="13"/>
  <c r="AH113" i="13" s="1"/>
  <c r="I47" i="24" s="1"/>
  <c r="AG87" i="13"/>
  <c r="AH87" i="13" s="1"/>
  <c r="I21" i="24" s="1"/>
  <c r="AG322" i="13"/>
  <c r="AH322" i="13" s="1"/>
  <c r="M46" i="24" s="1"/>
  <c r="AG117" i="13"/>
  <c r="AH117" i="13" s="1"/>
  <c r="I51" i="24" s="1"/>
  <c r="M24" i="14"/>
  <c r="AC24" i="15" s="1"/>
  <c r="M49" i="14"/>
  <c r="AC49" i="15" s="1"/>
  <c r="AG294" i="13"/>
  <c r="AI294" i="13" s="1"/>
  <c r="E15" i="15"/>
  <c r="E15" i="27" s="1"/>
  <c r="S15" i="27" s="1"/>
  <c r="J48" i="14"/>
  <c r="J31" i="14"/>
  <c r="M14" i="14"/>
  <c r="AC14" i="15" s="1"/>
  <c r="M28" i="14"/>
  <c r="AI317" i="11"/>
  <c r="AD317" i="11" s="1"/>
  <c r="G41" i="26" s="1"/>
  <c r="F51" i="14"/>
  <c r="V51" i="15" s="1"/>
  <c r="E33" i="14"/>
  <c r="U33" i="15" s="1"/>
  <c r="AG132" i="11"/>
  <c r="AI132" i="11" s="1"/>
  <c r="AG110" i="11"/>
  <c r="AH110" i="11" s="1"/>
  <c r="C44" i="24" s="1"/>
  <c r="AG113" i="11"/>
  <c r="AI113" i="11" s="1"/>
  <c r="AG276" i="11"/>
  <c r="AG182" i="11"/>
  <c r="AG214" i="11"/>
  <c r="D12" i="15"/>
  <c r="D12" i="27" s="1"/>
  <c r="R12" i="27" s="1"/>
  <c r="I48" i="14"/>
  <c r="I22" i="14"/>
  <c r="Y22" i="15" s="1"/>
  <c r="I13" i="14"/>
  <c r="Y13" i="15" s="1"/>
  <c r="I9" i="14"/>
  <c r="Y9" i="15" s="1"/>
  <c r="C9" i="14"/>
  <c r="S9" i="15" s="1"/>
  <c r="AG83" i="13"/>
  <c r="AI83" i="13" s="1"/>
  <c r="G24" i="15"/>
  <c r="G24" i="27" s="1"/>
  <c r="U24" i="27" s="1"/>
  <c r="E31" i="15"/>
  <c r="E31" i="27" s="1"/>
  <c r="S31" i="27" s="1"/>
  <c r="AG321" i="13"/>
  <c r="AH321" i="13" s="1"/>
  <c r="M45" i="24" s="1"/>
  <c r="AG160" i="13"/>
  <c r="AI160" i="13" s="1"/>
  <c r="AG286" i="13"/>
  <c r="AI286" i="13" s="1"/>
  <c r="AG138" i="13"/>
  <c r="AI138" i="13" s="1"/>
  <c r="AG314" i="13"/>
  <c r="AI314" i="13" s="1"/>
  <c r="AG242" i="13"/>
  <c r="AI242" i="13" s="1"/>
  <c r="I21" i="15"/>
  <c r="I21" i="27" s="1"/>
  <c r="W21" i="27" s="1"/>
  <c r="F27" i="15"/>
  <c r="F27" i="27" s="1"/>
  <c r="T27" i="27" s="1"/>
  <c r="AG273" i="13"/>
  <c r="AI273" i="13" s="1"/>
  <c r="F25" i="14"/>
  <c r="V25" i="15" s="1"/>
  <c r="AG202" i="13"/>
  <c r="AI202" i="13" s="1"/>
  <c r="AG187" i="13"/>
  <c r="AI187" i="13" s="1"/>
  <c r="G43" i="15"/>
  <c r="G43" i="27" s="1"/>
  <c r="U43" i="27" s="1"/>
  <c r="F18" i="15"/>
  <c r="F18" i="27" s="1"/>
  <c r="T18" i="27" s="1"/>
  <c r="J42" i="14"/>
  <c r="E11" i="14"/>
  <c r="U11" i="15" s="1"/>
  <c r="I15" i="14"/>
  <c r="Y15" i="15" s="1"/>
  <c r="AG298" i="13"/>
  <c r="AI298" i="13" s="1"/>
  <c r="J39" i="14"/>
  <c r="J13" i="14"/>
  <c r="Z13" i="15" s="1"/>
  <c r="M12" i="14"/>
  <c r="AC12" i="15" s="1"/>
  <c r="E46" i="14"/>
  <c r="U46" i="15" s="1"/>
  <c r="F19" i="14"/>
  <c r="V19" i="15" s="1"/>
  <c r="F16" i="14"/>
  <c r="V16" i="15" s="1"/>
  <c r="F32" i="14"/>
  <c r="V32" i="15" s="1"/>
  <c r="C36" i="15"/>
  <c r="C36" i="27" s="1"/>
  <c r="Q36" i="27" s="1"/>
  <c r="AG190" i="11"/>
  <c r="AH190" i="11" s="1"/>
  <c r="AG327" i="11"/>
  <c r="AI327" i="11" s="1"/>
  <c r="AG209" i="11"/>
  <c r="AH209" i="11" s="1"/>
  <c r="E39" i="24" s="1"/>
  <c r="I35" i="14"/>
  <c r="AG96" i="13"/>
  <c r="AH96" i="13" s="1"/>
  <c r="I30" i="24" s="1"/>
  <c r="F51" i="15"/>
  <c r="F51" i="27" s="1"/>
  <c r="T51" i="27" s="1"/>
  <c r="AG315" i="13"/>
  <c r="AI315" i="13" s="1"/>
  <c r="F47" i="15"/>
  <c r="E52" i="15"/>
  <c r="E52" i="27" s="1"/>
  <c r="S52" i="27" s="1"/>
  <c r="AG264" i="13"/>
  <c r="AH264" i="13" s="1"/>
  <c r="L41" i="24" s="1"/>
  <c r="AG162" i="13"/>
  <c r="AI162" i="13" s="1"/>
  <c r="AG302" i="13"/>
  <c r="AI302" i="13" s="1"/>
  <c r="C28" i="14"/>
  <c r="S28" i="15" s="1"/>
  <c r="AG267" i="13"/>
  <c r="AI267" i="13" s="1"/>
  <c r="M26" i="14"/>
  <c r="AC26" i="15" s="1"/>
  <c r="F27" i="14"/>
  <c r="V27" i="15" s="1"/>
  <c r="AG205" i="13"/>
  <c r="AI205" i="13" s="1"/>
  <c r="M31" i="14"/>
  <c r="J20" i="14"/>
  <c r="Z20" i="15" s="1"/>
  <c r="M52" i="14"/>
  <c r="M29" i="14"/>
  <c r="G29" i="14"/>
  <c r="W29" i="15" s="1"/>
  <c r="G40" i="14"/>
  <c r="W40" i="15" s="1"/>
  <c r="AG321" i="11"/>
  <c r="AI321" i="11" s="1"/>
  <c r="AG202" i="11"/>
  <c r="AI202" i="11" s="1"/>
  <c r="C9" i="15"/>
  <c r="C9" i="27" s="1"/>
  <c r="Q9" i="27" s="1"/>
  <c r="D15" i="15"/>
  <c r="D15" i="27" s="1"/>
  <c r="R15" i="27" s="1"/>
  <c r="I32" i="14"/>
  <c r="I37" i="14"/>
  <c r="I36" i="14"/>
  <c r="C51" i="14"/>
  <c r="S51" i="15" s="1"/>
  <c r="F35" i="15"/>
  <c r="F35" i="27" s="1"/>
  <c r="T35" i="27" s="1"/>
  <c r="G22" i="15"/>
  <c r="G22" i="27" s="1"/>
  <c r="U22" i="27" s="1"/>
  <c r="F24" i="15"/>
  <c r="E38" i="15"/>
  <c r="E38" i="27" s="1"/>
  <c r="S38" i="27" s="1"/>
  <c r="AG269" i="13"/>
  <c r="AH269" i="13" s="1"/>
  <c r="L46" i="24" s="1"/>
  <c r="AG204" i="13"/>
  <c r="AH204" i="13" s="1"/>
  <c r="K34" i="24" s="1"/>
  <c r="E22" i="15"/>
  <c r="E22" i="27" s="1"/>
  <c r="S22" i="27" s="1"/>
  <c r="AG140" i="13"/>
  <c r="AH140" i="13" s="1"/>
  <c r="J22" i="24" s="1"/>
  <c r="AG89" i="13"/>
  <c r="AH89" i="13" s="1"/>
  <c r="I23" i="24" s="1"/>
  <c r="AG275" i="13"/>
  <c r="AI275" i="13" s="1"/>
  <c r="AG79" i="13"/>
  <c r="AI79" i="13" s="1"/>
  <c r="E11" i="15"/>
  <c r="E11" i="27" s="1"/>
  <c r="S11" i="27" s="1"/>
  <c r="AG260" i="13"/>
  <c r="AI260" i="13" s="1"/>
  <c r="G23" i="15"/>
  <c r="G23" i="27" s="1"/>
  <c r="U23" i="27" s="1"/>
  <c r="AG154" i="13"/>
  <c r="AI154" i="13" s="1"/>
  <c r="AG253" i="13"/>
  <c r="AI253" i="13" s="1"/>
  <c r="AG76" i="13"/>
  <c r="AI76" i="13" s="1"/>
  <c r="AG136" i="13"/>
  <c r="AI136" i="13" s="1"/>
  <c r="AG212" i="13"/>
  <c r="AI212" i="13" s="1"/>
  <c r="F39" i="15"/>
  <c r="F39" i="27" s="1"/>
  <c r="T39" i="27" s="1"/>
  <c r="AG221" i="11"/>
  <c r="AI221" i="11" s="1"/>
  <c r="AG222" i="13"/>
  <c r="AI222" i="13" s="1"/>
  <c r="AG217" i="13"/>
  <c r="AI217" i="13" s="1"/>
  <c r="AG295" i="13"/>
  <c r="AH295" i="13" s="1"/>
  <c r="M19" i="24" s="1"/>
  <c r="AG107" i="13"/>
  <c r="AH107" i="13" s="1"/>
  <c r="I41" i="24" s="1"/>
  <c r="AG158" i="13"/>
  <c r="AI158" i="13" s="1"/>
  <c r="AG209" i="13"/>
  <c r="AI209" i="13" s="1"/>
  <c r="AG143" i="13"/>
  <c r="AH143" i="13" s="1"/>
  <c r="J25" i="24" s="1"/>
  <c r="C32" i="15"/>
  <c r="C32" i="27" s="1"/>
  <c r="Q32" i="27" s="1"/>
  <c r="AG191" i="13"/>
  <c r="AI191" i="13" s="1"/>
  <c r="AG148" i="13"/>
  <c r="AH148" i="13" s="1"/>
  <c r="AG216" i="11"/>
  <c r="AI216" i="11" s="1"/>
  <c r="C40" i="15"/>
  <c r="C40" i="27" s="1"/>
  <c r="Q40" i="27" s="1"/>
  <c r="AG238" i="11"/>
  <c r="AG183" i="13"/>
  <c r="AH183" i="13" s="1"/>
  <c r="K13" i="24" s="1"/>
  <c r="AG190" i="13"/>
  <c r="AI190" i="13" s="1"/>
  <c r="AG85" i="13"/>
  <c r="AI85" i="13" s="1"/>
  <c r="AH250" i="11"/>
  <c r="F27" i="24" s="1"/>
  <c r="AG91" i="11"/>
  <c r="AI91" i="11" s="1"/>
  <c r="AG196" i="13"/>
  <c r="AI196" i="13" s="1"/>
  <c r="AG133" i="13"/>
  <c r="AI133" i="13" s="1"/>
  <c r="AG328" i="13"/>
  <c r="AH328" i="13" s="1"/>
  <c r="AG194" i="13"/>
  <c r="AH194" i="13" s="1"/>
  <c r="K24" i="24" s="1"/>
  <c r="AG326" i="13"/>
  <c r="AH326" i="13" s="1"/>
  <c r="M50" i="24" s="1"/>
  <c r="F40" i="15"/>
  <c r="F40" i="27" s="1"/>
  <c r="T40" i="27" s="1"/>
  <c r="C10" i="15"/>
  <c r="AG313" i="11"/>
  <c r="AI313" i="11" s="1"/>
  <c r="AG144" i="13"/>
  <c r="AH144" i="13" s="1"/>
  <c r="J26" i="24" s="1"/>
  <c r="AG110" i="13"/>
  <c r="AH110" i="13" s="1"/>
  <c r="I44" i="24" s="1"/>
  <c r="AG309" i="13"/>
  <c r="AH309" i="13" s="1"/>
  <c r="AH237" i="11"/>
  <c r="AD237" i="11" s="1"/>
  <c r="F14" i="26" s="1"/>
  <c r="AH109" i="11"/>
  <c r="AD109" i="11" s="1"/>
  <c r="C43" i="26" s="1"/>
  <c r="C48" i="14"/>
  <c r="S48" i="15" s="1"/>
  <c r="AG323" i="11"/>
  <c r="AI323" i="11" s="1"/>
  <c r="G38" i="15"/>
  <c r="G38" i="27" s="1"/>
  <c r="U38" i="27" s="1"/>
  <c r="F31" i="15"/>
  <c r="F31" i="27" s="1"/>
  <c r="T31" i="27" s="1"/>
  <c r="AG324" i="13"/>
  <c r="AI324" i="13" s="1"/>
  <c r="C35" i="14"/>
  <c r="S35" i="15" s="1"/>
  <c r="AG141" i="11"/>
  <c r="AI141" i="11" s="1"/>
  <c r="AG185" i="11"/>
  <c r="AH185" i="11" s="1"/>
  <c r="E15" i="24" s="1"/>
  <c r="AG137" i="13"/>
  <c r="AH137" i="13" s="1"/>
  <c r="AG199" i="11"/>
  <c r="AI199" i="11" s="1"/>
  <c r="AG304" i="11"/>
  <c r="AI304" i="11" s="1"/>
  <c r="AG150" i="11"/>
  <c r="AI150" i="11" s="1"/>
  <c r="AG291" i="13"/>
  <c r="AI291" i="13" s="1"/>
  <c r="AG306" i="13"/>
  <c r="AI306" i="13" s="1"/>
  <c r="AG151" i="13"/>
  <c r="AI151" i="13" s="1"/>
  <c r="AG308" i="13"/>
  <c r="AH308" i="13" s="1"/>
  <c r="AG218" i="11"/>
  <c r="AI218" i="11" s="1"/>
  <c r="AG200" i="11"/>
  <c r="AI200" i="11" s="1"/>
  <c r="AG272" i="11"/>
  <c r="AI272" i="11" s="1"/>
  <c r="AG261" i="13"/>
  <c r="AH261" i="13" s="1"/>
  <c r="L38" i="24" s="1"/>
  <c r="AG100" i="13"/>
  <c r="AH100" i="13" s="1"/>
  <c r="I34" i="24" s="1"/>
  <c r="E23" i="15"/>
  <c r="E23" i="27" s="1"/>
  <c r="S23" i="27" s="1"/>
  <c r="F52" i="15"/>
  <c r="F52" i="27" s="1"/>
  <c r="T52" i="27" s="1"/>
  <c r="AG81" i="13"/>
  <c r="AH81" i="13" s="1"/>
  <c r="I15" i="24" s="1"/>
  <c r="AG265" i="13"/>
  <c r="AI265" i="13" s="1"/>
  <c r="AG149" i="13"/>
  <c r="AH149" i="13" s="1"/>
  <c r="AG147" i="13"/>
  <c r="AI147" i="13" s="1"/>
  <c r="AG221" i="13"/>
  <c r="AH221" i="13" s="1"/>
  <c r="K51" i="24" s="1"/>
  <c r="AG114" i="13"/>
  <c r="AI114" i="13" s="1"/>
  <c r="AG159" i="11"/>
  <c r="AH159" i="11" s="1"/>
  <c r="D41" i="24" s="1"/>
  <c r="AG112" i="11"/>
  <c r="AH112" i="11" s="1"/>
  <c r="C46" i="24" s="1"/>
  <c r="AG240" i="11"/>
  <c r="AI240" i="11" s="1"/>
  <c r="AG170" i="13"/>
  <c r="AI170" i="13" s="1"/>
  <c r="AG310" i="13"/>
  <c r="AI310" i="13" s="1"/>
  <c r="AG168" i="13"/>
  <c r="AH168" i="13" s="1"/>
  <c r="AG98" i="13"/>
  <c r="AI98" i="13" s="1"/>
  <c r="AG181" i="13"/>
  <c r="AI181" i="13" s="1"/>
  <c r="AG185" i="13"/>
  <c r="AI185" i="13" s="1"/>
  <c r="AG109" i="13"/>
  <c r="AH109" i="13" s="1"/>
  <c r="I43" i="24" s="1"/>
  <c r="AG263" i="13"/>
  <c r="AI263" i="13" s="1"/>
  <c r="AG155" i="13"/>
  <c r="AI155" i="13" s="1"/>
  <c r="AG151" i="11"/>
  <c r="AI151" i="11" s="1"/>
  <c r="AG188" i="11"/>
  <c r="AH188" i="11" s="1"/>
  <c r="E18" i="24" s="1"/>
  <c r="AG97" i="13"/>
  <c r="AI97" i="13" s="1"/>
  <c r="AG248" i="13"/>
  <c r="AI248" i="13" s="1"/>
  <c r="G26" i="15"/>
  <c r="G26" i="27" s="1"/>
  <c r="U26" i="27" s="1"/>
  <c r="C41" i="15"/>
  <c r="AG139" i="11"/>
  <c r="AG205" i="11"/>
  <c r="AG86" i="11"/>
  <c r="AG80" i="11"/>
  <c r="E26" i="15"/>
  <c r="E26" i="27" s="1"/>
  <c r="S26" i="27" s="1"/>
  <c r="AG260" i="11"/>
  <c r="AH260" i="11" s="1"/>
  <c r="AG318" i="11"/>
  <c r="AH318" i="11" s="1"/>
  <c r="AG158" i="11"/>
  <c r="AI158" i="11" s="1"/>
  <c r="AG274" i="11"/>
  <c r="AG186" i="11"/>
  <c r="AI186" i="11" s="1"/>
  <c r="AG244" i="13"/>
  <c r="AH244" i="13" s="1"/>
  <c r="L21" i="24" s="1"/>
  <c r="C32" i="14"/>
  <c r="S32" i="15" s="1"/>
  <c r="AG128" i="11"/>
  <c r="AH128" i="11" s="1"/>
  <c r="D10" i="24" s="1"/>
  <c r="C51" i="15"/>
  <c r="C51" i="27" s="1"/>
  <c r="Q51" i="27" s="1"/>
  <c r="AG106" i="11"/>
  <c r="AH106" i="11" s="1"/>
  <c r="AG239" i="13"/>
  <c r="AH239" i="13" s="1"/>
  <c r="L16" i="24" s="1"/>
  <c r="AG245" i="13"/>
  <c r="AH245" i="13" s="1"/>
  <c r="L22" i="24" s="1"/>
  <c r="AG234" i="13"/>
  <c r="AI234" i="13" s="1"/>
  <c r="AG312" i="13"/>
  <c r="AI312" i="13" s="1"/>
  <c r="AG141" i="13"/>
  <c r="AH141" i="13" s="1"/>
  <c r="AG211" i="13"/>
  <c r="AI211" i="13" s="1"/>
  <c r="AG95" i="13"/>
  <c r="AI95" i="13" s="1"/>
  <c r="AG219" i="13"/>
  <c r="AH219" i="13" s="1"/>
  <c r="AG150" i="13"/>
  <c r="AH150" i="13" s="1"/>
  <c r="AG82" i="13"/>
  <c r="AI82" i="13" s="1"/>
  <c r="AG92" i="13"/>
  <c r="AI92" i="13" s="1"/>
  <c r="AG142" i="13"/>
  <c r="AI142" i="13" s="1"/>
  <c r="AG220" i="13"/>
  <c r="AI220" i="13" s="1"/>
  <c r="AG165" i="13"/>
  <c r="AI165" i="13" s="1"/>
  <c r="AG318" i="13"/>
  <c r="AH318" i="13" s="1"/>
  <c r="M42" i="24" s="1"/>
  <c r="AG258" i="13"/>
  <c r="AH258" i="13" s="1"/>
  <c r="L35" i="24" s="1"/>
  <c r="AG271" i="13"/>
  <c r="AI271" i="13" s="1"/>
  <c r="AG156" i="13"/>
  <c r="AI156" i="13" s="1"/>
  <c r="AG249" i="13"/>
  <c r="AH249" i="13" s="1"/>
  <c r="L26" i="24" s="1"/>
  <c r="AG184" i="13"/>
  <c r="AH184" i="13" s="1"/>
  <c r="K14" i="24" s="1"/>
  <c r="AG197" i="13"/>
  <c r="AI197" i="13" s="1"/>
  <c r="AI273" i="11"/>
  <c r="AD273" i="11" s="1"/>
  <c r="F50" i="26" s="1"/>
  <c r="AI288" i="11"/>
  <c r="AD288" i="11" s="1"/>
  <c r="G12" i="26" s="1"/>
  <c r="AI78" i="11"/>
  <c r="AD78" i="11" s="1"/>
  <c r="C12" i="26" s="1"/>
  <c r="AI220" i="11"/>
  <c r="AH223" i="11"/>
  <c r="E53" i="24" s="1"/>
  <c r="AI197" i="11"/>
  <c r="AD197" i="11" s="1"/>
  <c r="E27" i="26" s="1"/>
  <c r="AI261" i="11"/>
  <c r="AD261" i="11" s="1"/>
  <c r="F38" i="26" s="1"/>
  <c r="AH293" i="11"/>
  <c r="AD293" i="11" s="1"/>
  <c r="G17" i="26" s="1"/>
  <c r="AI222" i="11"/>
  <c r="F24" i="24"/>
  <c r="C12" i="24"/>
  <c r="F16" i="24"/>
  <c r="C30" i="24"/>
  <c r="AH88" i="11"/>
  <c r="AI88" i="11"/>
  <c r="C48" i="15"/>
  <c r="C48" i="27" s="1"/>
  <c r="Q48" i="27" s="1"/>
  <c r="AG91" i="13"/>
  <c r="AH91" i="13" s="1"/>
  <c r="I25" i="24" s="1"/>
  <c r="F50" i="24"/>
  <c r="C29" i="15"/>
  <c r="C29" i="27" s="1"/>
  <c r="Q29" i="27" s="1"/>
  <c r="AH249" i="11"/>
  <c r="AI249" i="11"/>
  <c r="AI247" i="11"/>
  <c r="AD247" i="11" s="1"/>
  <c r="F24" i="26" s="1"/>
  <c r="C13" i="15"/>
  <c r="D15" i="24"/>
  <c r="D31" i="15"/>
  <c r="D31" i="27" s="1"/>
  <c r="R31" i="27" s="1"/>
  <c r="AI239" i="11"/>
  <c r="AD239" i="11" s="1"/>
  <c r="F16" i="26" s="1"/>
  <c r="G12" i="24"/>
  <c r="AI96" i="11"/>
  <c r="AD96" i="11" s="1"/>
  <c r="C30" i="26" s="1"/>
  <c r="AH98" i="11"/>
  <c r="AG84" i="11"/>
  <c r="AG213" i="11"/>
  <c r="AH79" i="11"/>
  <c r="AI79" i="11"/>
  <c r="C27" i="24"/>
  <c r="AI133" i="11"/>
  <c r="AD133" i="11" s="1"/>
  <c r="D15" i="26" s="1"/>
  <c r="G10" i="24"/>
  <c r="AG152" i="11"/>
  <c r="AH171" i="11"/>
  <c r="AI171" i="11"/>
  <c r="C21" i="15"/>
  <c r="C21" i="27" s="1"/>
  <c r="Q21" i="27" s="1"/>
  <c r="AG183" i="11"/>
  <c r="AG162" i="11"/>
  <c r="AG207" i="11"/>
  <c r="AG138" i="11"/>
  <c r="AI187" i="11"/>
  <c r="AH187" i="11"/>
  <c r="AG114" i="11"/>
  <c r="AG259" i="11"/>
  <c r="AG208" i="11"/>
  <c r="AG316" i="11"/>
  <c r="AG322" i="11"/>
  <c r="E44" i="15"/>
  <c r="E44" i="27" s="1"/>
  <c r="S44" i="27" s="1"/>
  <c r="AG164" i="13"/>
  <c r="AI164" i="13" s="1"/>
  <c r="E28" i="15"/>
  <c r="E28" i="27" s="1"/>
  <c r="S28" i="27" s="1"/>
  <c r="M37" i="24"/>
  <c r="G41" i="24"/>
  <c r="C19" i="15"/>
  <c r="C19" i="27" s="1"/>
  <c r="Q19" i="27" s="1"/>
  <c r="C28" i="15"/>
  <c r="C28" i="27" s="1"/>
  <c r="Q28" i="27" s="1"/>
  <c r="AG116" i="11"/>
  <c r="AH116" i="11" s="1"/>
  <c r="C15" i="15"/>
  <c r="C15" i="27" s="1"/>
  <c r="Q15" i="27" s="1"/>
  <c r="AG117" i="11"/>
  <c r="AH117" i="11" s="1"/>
  <c r="AG92" i="11"/>
  <c r="AG326" i="11"/>
  <c r="AG310" i="11"/>
  <c r="AH310" i="11" s="1"/>
  <c r="AG142" i="11"/>
  <c r="AG167" i="11"/>
  <c r="AI167" i="11" s="1"/>
  <c r="AG268" i="11"/>
  <c r="AI268" i="11" s="1"/>
  <c r="AG105" i="11"/>
  <c r="AI105" i="11" s="1"/>
  <c r="AG236" i="11"/>
  <c r="C22" i="15"/>
  <c r="C22" i="27" s="1"/>
  <c r="Q22" i="27" s="1"/>
  <c r="AG219" i="11"/>
  <c r="AI219" i="11" s="1"/>
  <c r="AG294" i="11"/>
  <c r="AH294" i="11" s="1"/>
  <c r="AG234" i="11"/>
  <c r="AI234" i="11" s="1"/>
  <c r="C33" i="14"/>
  <c r="S33" i="15" s="1"/>
  <c r="AG327" i="13"/>
  <c r="AH327" i="13" s="1"/>
  <c r="E36" i="15"/>
  <c r="E36" i="27" s="1"/>
  <c r="S36" i="27" s="1"/>
  <c r="G17" i="15"/>
  <c r="G17" i="27" s="1"/>
  <c r="U17" i="27" s="1"/>
  <c r="AH206" i="11"/>
  <c r="E36" i="24" s="1"/>
  <c r="AG181" i="11"/>
  <c r="AG137" i="11"/>
  <c r="C14" i="15"/>
  <c r="C14" i="27" s="1"/>
  <c r="Q14" i="27" s="1"/>
  <c r="AG143" i="11"/>
  <c r="AG315" i="11"/>
  <c r="C30" i="15"/>
  <c r="C30" i="27" s="1"/>
  <c r="Q30" i="27" s="1"/>
  <c r="AG111" i="11"/>
  <c r="AG262" i="11"/>
  <c r="AG258" i="11"/>
  <c r="AG135" i="11"/>
  <c r="AG193" i="11"/>
  <c r="AG161" i="11"/>
  <c r="AG170" i="11"/>
  <c r="AG298" i="11"/>
  <c r="AG101" i="11"/>
  <c r="C16" i="15"/>
  <c r="C16" i="27" s="1"/>
  <c r="Q16" i="27" s="1"/>
  <c r="AG301" i="11"/>
  <c r="AG180" i="11"/>
  <c r="AG311" i="11"/>
  <c r="F20" i="15"/>
  <c r="F20" i="27" s="1"/>
  <c r="T20" i="27" s="1"/>
  <c r="AG290" i="13"/>
  <c r="AI290" i="13" s="1"/>
  <c r="E27" i="24"/>
  <c r="F38" i="24"/>
  <c r="AG100" i="11"/>
  <c r="AG246" i="11"/>
  <c r="C33" i="15"/>
  <c r="C33" i="27" s="1"/>
  <c r="Q33" i="27" s="1"/>
  <c r="AG147" i="11"/>
  <c r="AG194" i="11"/>
  <c r="AG94" i="11"/>
  <c r="AG241" i="11"/>
  <c r="E37" i="15"/>
  <c r="E37" i="27" s="1"/>
  <c r="S37" i="27" s="1"/>
  <c r="AG88" i="13"/>
  <c r="AI88" i="13" s="1"/>
  <c r="AG119" i="13"/>
  <c r="AI119" i="13" s="1"/>
  <c r="AG108" i="13"/>
  <c r="AH108" i="13" s="1"/>
  <c r="I42" i="24" s="1"/>
  <c r="C27" i="14"/>
  <c r="S27" i="15" s="1"/>
  <c r="C44" i="14"/>
  <c r="S44" i="15" s="1"/>
  <c r="C20" i="14"/>
  <c r="S20" i="15" s="1"/>
  <c r="AG86" i="13"/>
  <c r="AI86" i="13" s="1"/>
  <c r="AG323" i="13"/>
  <c r="AI323" i="13" s="1"/>
  <c r="AG111" i="13"/>
  <c r="AI111" i="13" s="1"/>
  <c r="F30" i="15"/>
  <c r="F30" i="27" s="1"/>
  <c r="T30" i="27" s="1"/>
  <c r="E45" i="15"/>
  <c r="E45" i="27" s="1"/>
  <c r="S45" i="27" s="1"/>
  <c r="E51" i="15"/>
  <c r="E51" i="27" s="1"/>
  <c r="S51" i="27" s="1"/>
  <c r="AG203" i="13"/>
  <c r="AI203" i="13" s="1"/>
  <c r="AG171" i="13"/>
  <c r="AI171" i="13" s="1"/>
  <c r="AG255" i="13"/>
  <c r="AH255" i="13" s="1"/>
  <c r="AG259" i="13"/>
  <c r="AI259" i="13" s="1"/>
  <c r="AG262" i="13"/>
  <c r="AI262" i="13" s="1"/>
  <c r="AG319" i="13"/>
  <c r="AI319" i="13" s="1"/>
  <c r="AG235" i="13"/>
  <c r="AH235" i="13" s="1"/>
  <c r="F14" i="15"/>
  <c r="F14" i="27" s="1"/>
  <c r="T14" i="27" s="1"/>
  <c r="AG303" i="11"/>
  <c r="AG328" i="11"/>
  <c r="G52" i="15"/>
  <c r="G52" i="27" s="1"/>
  <c r="U52" i="27" s="1"/>
  <c r="G16" i="15"/>
  <c r="G16" i="27" s="1"/>
  <c r="U16" i="27" s="1"/>
  <c r="E14" i="15"/>
  <c r="E14" i="27" s="1"/>
  <c r="S14" i="27" s="1"/>
  <c r="E34" i="15"/>
  <c r="E34" i="27" s="1"/>
  <c r="S34" i="27" s="1"/>
  <c r="AG119" i="11"/>
  <c r="AG97" i="11"/>
  <c r="AG211" i="11"/>
  <c r="C12" i="15"/>
  <c r="C12" i="27" s="1"/>
  <c r="Q12" i="27" s="1"/>
  <c r="AG233" i="11"/>
  <c r="AG307" i="11"/>
  <c r="C23" i="15"/>
  <c r="C23" i="27" s="1"/>
  <c r="Q23" i="27" s="1"/>
  <c r="C35" i="15"/>
  <c r="C35" i="27" s="1"/>
  <c r="Q35" i="27" s="1"/>
  <c r="F11" i="15"/>
  <c r="F11" i="27" s="1"/>
  <c r="T11" i="27" s="1"/>
  <c r="G11" i="15"/>
  <c r="G11" i="27" s="1"/>
  <c r="U11" i="27" s="1"/>
  <c r="D27" i="15"/>
  <c r="C34" i="14"/>
  <c r="S34" i="15" s="1"/>
  <c r="C42" i="14"/>
  <c r="S42" i="15" s="1"/>
  <c r="C36" i="14"/>
  <c r="S36" i="15" s="1"/>
  <c r="AI286" i="11"/>
  <c r="AD286" i="11" s="1"/>
  <c r="G10" i="26" s="1"/>
  <c r="AG165" i="11"/>
  <c r="AG129" i="11"/>
  <c r="AG189" i="11"/>
  <c r="E21" i="15"/>
  <c r="E21" i="27" s="1"/>
  <c r="S21" i="27" s="1"/>
  <c r="C40" i="14"/>
  <c r="S40" i="15" s="1"/>
  <c r="C38" i="14"/>
  <c r="S38" i="15" s="1"/>
  <c r="C50" i="14"/>
  <c r="S50" i="15" s="1"/>
  <c r="G30" i="15"/>
  <c r="G30" i="27" s="1"/>
  <c r="U30" i="27" s="1"/>
  <c r="AG300" i="13"/>
  <c r="G49" i="15"/>
  <c r="G49" i="27" s="1"/>
  <c r="U49" i="27" s="1"/>
  <c r="D50" i="15"/>
  <c r="D50" i="27" s="1"/>
  <c r="R50" i="27" s="1"/>
  <c r="D23" i="15"/>
  <c r="D23" i="27" s="1"/>
  <c r="R23" i="27" s="1"/>
  <c r="C11" i="15"/>
  <c r="C11" i="27" s="1"/>
  <c r="Q11" i="27" s="1"/>
  <c r="AG235" i="11"/>
  <c r="C37" i="15"/>
  <c r="C37" i="27" s="1"/>
  <c r="Q37" i="27" s="1"/>
  <c r="AG302" i="11"/>
  <c r="AG198" i="11"/>
  <c r="AG134" i="11"/>
  <c r="AG160" i="11"/>
  <c r="AG314" i="11"/>
  <c r="C42" i="15"/>
  <c r="C39" i="15"/>
  <c r="C39" i="27" s="1"/>
  <c r="Q39" i="27" s="1"/>
  <c r="C26" i="15"/>
  <c r="C26" i="27" s="1"/>
  <c r="Q26" i="27" s="1"/>
  <c r="E19" i="15"/>
  <c r="E19" i="27" s="1"/>
  <c r="S19" i="27" s="1"/>
  <c r="C26" i="14"/>
  <c r="S26" i="15" s="1"/>
  <c r="AG216" i="13"/>
  <c r="G33" i="15"/>
  <c r="G33" i="27" s="1"/>
  <c r="U33" i="27" s="1"/>
  <c r="AG223" i="13"/>
  <c r="C132" i="5"/>
  <c r="AH329" i="11"/>
  <c r="AG267" i="11"/>
  <c r="AG295" i="11"/>
  <c r="AG154" i="11"/>
  <c r="AG164" i="11"/>
  <c r="C49" i="15"/>
  <c r="C49" i="27" s="1"/>
  <c r="Q49" i="27" s="1"/>
  <c r="C11" i="14"/>
  <c r="S11" i="15" s="1"/>
  <c r="E32" i="15"/>
  <c r="E32" i="27" s="1"/>
  <c r="S32" i="27" s="1"/>
  <c r="C23" i="14"/>
  <c r="S23" i="15" s="1"/>
  <c r="C43" i="14"/>
  <c r="S43" i="15" s="1"/>
  <c r="AG146" i="13"/>
  <c r="AG107" i="11"/>
  <c r="AG305" i="11"/>
  <c r="AG271" i="11"/>
  <c r="C45" i="15"/>
  <c r="C45" i="27" s="1"/>
  <c r="Q45" i="27" s="1"/>
  <c r="AG99" i="11"/>
  <c r="C31" i="15"/>
  <c r="C31" i="27" s="1"/>
  <c r="Q31" i="27" s="1"/>
  <c r="I42" i="14"/>
  <c r="E43" i="15"/>
  <c r="E43" i="27" s="1"/>
  <c r="S43" i="27" s="1"/>
  <c r="C21" i="14"/>
  <c r="S21" i="15" s="1"/>
  <c r="C45" i="14"/>
  <c r="S45" i="15" s="1"/>
  <c r="C25" i="14"/>
  <c r="S25" i="15" s="1"/>
  <c r="G44" i="15"/>
  <c r="G44" i="27" s="1"/>
  <c r="U44" i="27" s="1"/>
  <c r="F12" i="15"/>
  <c r="F12" i="27" s="1"/>
  <c r="T12" i="27" s="1"/>
  <c r="AH320" i="11"/>
  <c r="AG312" i="11"/>
  <c r="C17" i="15"/>
  <c r="C17" i="27" s="1"/>
  <c r="Q17" i="27" s="1"/>
  <c r="AG95" i="11"/>
  <c r="AG325" i="11"/>
  <c r="C43" i="15"/>
  <c r="C43" i="27" s="1"/>
  <c r="Q43" i="27" s="1"/>
  <c r="F29" i="15"/>
  <c r="F29" i="27" s="1"/>
  <c r="T29" i="27" s="1"/>
  <c r="C31" i="14"/>
  <c r="S31" i="15" s="1"/>
  <c r="C10" i="14"/>
  <c r="S10" i="15" s="1"/>
  <c r="C47" i="14"/>
  <c r="S47" i="15" s="1"/>
  <c r="E35" i="15"/>
  <c r="E35" i="27" s="1"/>
  <c r="S35" i="27" s="1"/>
  <c r="AH242" i="11"/>
  <c r="AG157" i="11"/>
  <c r="C34" i="15"/>
  <c r="C34" i="27" s="1"/>
  <c r="Q34" i="27" s="1"/>
  <c r="AG319" i="11"/>
  <c r="AG77" i="11"/>
  <c r="AG203" i="11"/>
  <c r="C27" i="15"/>
  <c r="C27" i="27" s="1"/>
  <c r="Q27" i="27" s="1"/>
  <c r="C46" i="15"/>
  <c r="C46" i="27" s="1"/>
  <c r="Q46" i="27" s="1"/>
  <c r="AG251" i="11"/>
  <c r="C16" i="14"/>
  <c r="S16" i="15" s="1"/>
  <c r="E20" i="15"/>
  <c r="E20" i="27" s="1"/>
  <c r="S20" i="27" s="1"/>
  <c r="F26" i="14"/>
  <c r="V26" i="15" s="1"/>
  <c r="G26" i="14"/>
  <c r="W26" i="15" s="1"/>
  <c r="E20" i="14"/>
  <c r="U20" i="15" s="1"/>
  <c r="G44" i="14"/>
  <c r="W44" i="15" s="1"/>
  <c r="F22" i="14"/>
  <c r="V22" i="15" s="1"/>
  <c r="F36" i="14"/>
  <c r="E44" i="14"/>
  <c r="E41" i="14"/>
  <c r="U41" i="15" s="1"/>
  <c r="G33" i="14"/>
  <c r="W33" i="15" s="1"/>
  <c r="F15" i="14"/>
  <c r="V15" i="15" s="1"/>
  <c r="F12" i="14"/>
  <c r="V12" i="15" s="1"/>
  <c r="E13" i="14"/>
  <c r="E28" i="14"/>
  <c r="E12" i="14"/>
  <c r="G20" i="14"/>
  <c r="W20" i="15" s="1"/>
  <c r="F9" i="14"/>
  <c r="V9" i="15" s="1"/>
  <c r="F46" i="14"/>
  <c r="V46" i="15" s="1"/>
  <c r="G10" i="14"/>
  <c r="W10" i="15" s="1"/>
  <c r="E35" i="14"/>
  <c r="U35" i="15" s="1"/>
  <c r="N132" i="5"/>
  <c r="D132" i="5"/>
  <c r="L132" i="5"/>
  <c r="X132" i="5"/>
  <c r="Y132" i="5" s="1"/>
  <c r="AH139" i="13"/>
  <c r="J48" i="15"/>
  <c r="AH166" i="13"/>
  <c r="AD166" i="13" s="1"/>
  <c r="J48" i="26" s="1"/>
  <c r="M14" i="15"/>
  <c r="M14" i="27" s="1"/>
  <c r="AA14" i="27" s="1"/>
  <c r="L13" i="15"/>
  <c r="L13" i="27" s="1"/>
  <c r="Z13" i="27" s="1"/>
  <c r="M33" i="15"/>
  <c r="J16" i="15"/>
  <c r="J16" i="27" s="1"/>
  <c r="X16" i="27" s="1"/>
  <c r="M46" i="15"/>
  <c r="J20" i="15"/>
  <c r="J20" i="27" s="1"/>
  <c r="X20" i="27" s="1"/>
  <c r="J36" i="15"/>
  <c r="AH268" i="13"/>
  <c r="AI313" i="13"/>
  <c r="M18" i="15"/>
  <c r="M18" i="27" s="1"/>
  <c r="AA18" i="27" s="1"/>
  <c r="J22" i="15"/>
  <c r="M42" i="15"/>
  <c r="M36" i="15"/>
  <c r="L26" i="15"/>
  <c r="L34" i="15"/>
  <c r="J38" i="15"/>
  <c r="M32" i="15"/>
  <c r="M28" i="15"/>
  <c r="L18" i="15"/>
  <c r="L18" i="27" s="1"/>
  <c r="Z18" i="27" s="1"/>
  <c r="L46" i="15"/>
  <c r="M12" i="15"/>
  <c r="M12" i="27" s="1"/>
  <c r="AA12" i="27" s="1"/>
  <c r="J28" i="15"/>
  <c r="M50" i="15"/>
  <c r="M52" i="15"/>
  <c r="M40" i="15"/>
  <c r="J12" i="15"/>
  <c r="J12" i="27" s="1"/>
  <c r="X12" i="27" s="1"/>
  <c r="L38" i="15"/>
  <c r="L25" i="15"/>
  <c r="M13" i="15"/>
  <c r="M13" i="27" s="1"/>
  <c r="AA13" i="27" s="1"/>
  <c r="J27" i="15"/>
  <c r="L10" i="15"/>
  <c r="L10" i="27" s="1"/>
  <c r="Z10" i="27" s="1"/>
  <c r="M26" i="15"/>
  <c r="M26" i="27" s="1"/>
  <c r="AA26" i="27" s="1"/>
  <c r="L29" i="15"/>
  <c r="J43" i="15"/>
  <c r="J50" i="15"/>
  <c r="M21" i="15"/>
  <c r="M21" i="27" s="1"/>
  <c r="AA21" i="27" s="1"/>
  <c r="J39" i="15"/>
  <c r="M23" i="15"/>
  <c r="M23" i="27" s="1"/>
  <c r="AA23" i="27" s="1"/>
  <c r="L45" i="15"/>
  <c r="L23" i="15"/>
  <c r="J24" i="15"/>
  <c r="J31" i="15"/>
  <c r="M30" i="15"/>
  <c r="M48" i="15"/>
  <c r="L44" i="15"/>
  <c r="L22" i="15"/>
  <c r="L22" i="27" s="1"/>
  <c r="Z22" i="27" s="1"/>
  <c r="M22" i="15"/>
  <c r="M22" i="27" s="1"/>
  <c r="AA22" i="27" s="1"/>
  <c r="J14" i="15"/>
  <c r="J14" i="27" s="1"/>
  <c r="X14" i="27" s="1"/>
  <c r="J30" i="15"/>
  <c r="J19" i="15"/>
  <c r="J19" i="27" s="1"/>
  <c r="X19" i="27" s="1"/>
  <c r="J23" i="15"/>
  <c r="L17" i="15"/>
  <c r="L17" i="27" s="1"/>
  <c r="Z17" i="27" s="1"/>
  <c r="L33" i="15"/>
  <c r="L49" i="15"/>
  <c r="J35" i="15"/>
  <c r="J32" i="15"/>
  <c r="M16" i="15"/>
  <c r="M16" i="27" s="1"/>
  <c r="AA16" i="27" s="1"/>
  <c r="M38" i="15"/>
  <c r="AU64" i="11"/>
  <c r="AF65" i="11"/>
  <c r="V65" i="11"/>
  <c r="K66" i="11"/>
  <c r="Q66" i="11" s="1"/>
  <c r="L55" i="11"/>
  <c r="L41" i="15"/>
  <c r="L42" i="15"/>
  <c r="L30" i="15"/>
  <c r="L48" i="15"/>
  <c r="L15" i="15"/>
  <c r="L15" i="27" s="1"/>
  <c r="Z15" i="27" s="1"/>
  <c r="J46" i="15"/>
  <c r="J9" i="15"/>
  <c r="J9" i="27" s="1"/>
  <c r="X9" i="27" s="1"/>
  <c r="L39" i="15"/>
  <c r="M11" i="15"/>
  <c r="M11" i="27" s="1"/>
  <c r="AA11" i="27" s="1"/>
  <c r="J51" i="15"/>
  <c r="M17" i="15"/>
  <c r="M17" i="27" s="1"/>
  <c r="AA17" i="27" s="1"/>
  <c r="L12" i="15"/>
  <c r="L12" i="27" s="1"/>
  <c r="Z12" i="27" s="1"/>
  <c r="L24" i="15"/>
  <c r="M34" i="15"/>
  <c r="L36" i="15"/>
  <c r="J17" i="15"/>
  <c r="J17" i="27" s="1"/>
  <c r="X17" i="27" s="1"/>
  <c r="L32" i="15"/>
  <c r="L50" i="15"/>
  <c r="L14" i="15"/>
  <c r="L14" i="27" s="1"/>
  <c r="Z14" i="27" s="1"/>
  <c r="J41" i="15"/>
  <c r="L28" i="15"/>
  <c r="L9" i="15"/>
  <c r="L9" i="27" s="1"/>
  <c r="Z9" i="27" s="1"/>
  <c r="K9" i="15"/>
  <c r="K9" i="27" s="1"/>
  <c r="Y9" i="27" s="1"/>
  <c r="M24" i="15"/>
  <c r="M24" i="27" s="1"/>
  <c r="AA24" i="27" s="1"/>
  <c r="L21" i="15"/>
  <c r="L21" i="27" s="1"/>
  <c r="Z21" i="27" s="1"/>
  <c r="L37" i="15"/>
  <c r="M9" i="15"/>
  <c r="M9" i="27" s="1"/>
  <c r="AA9" i="27" s="1"/>
  <c r="M25" i="15"/>
  <c r="M25" i="27" s="1"/>
  <c r="AA25" i="27" s="1"/>
  <c r="J21" i="15"/>
  <c r="J21" i="27" s="1"/>
  <c r="X21" i="27" s="1"/>
  <c r="J49" i="15"/>
  <c r="L43" i="15"/>
  <c r="M37" i="15"/>
  <c r="J37" i="15"/>
  <c r="L52" i="15"/>
  <c r="L19" i="15"/>
  <c r="L19" i="27" s="1"/>
  <c r="Z19" i="27" s="1"/>
  <c r="L35" i="15"/>
  <c r="J33" i="15"/>
  <c r="J42" i="15"/>
  <c r="M29" i="15"/>
  <c r="J44" i="15"/>
  <c r="J47" i="15"/>
  <c r="L11" i="15"/>
  <c r="L11" i="27" s="1"/>
  <c r="Z11" i="27" s="1"/>
  <c r="M15" i="15"/>
  <c r="M15" i="27" s="1"/>
  <c r="AA15" i="27" s="1"/>
  <c r="M31" i="15"/>
  <c r="J34" i="15"/>
  <c r="J10" i="15"/>
  <c r="J10" i="27" s="1"/>
  <c r="X10" i="27" s="1"/>
  <c r="M44" i="15"/>
  <c r="L20" i="15"/>
  <c r="L20" i="27" s="1"/>
  <c r="Z20" i="27" s="1"/>
  <c r="L31" i="15"/>
  <c r="L47" i="15"/>
  <c r="M19" i="15"/>
  <c r="M19" i="27" s="1"/>
  <c r="AA19" i="27" s="1"/>
  <c r="M35" i="15"/>
  <c r="J29" i="15"/>
  <c r="J26" i="15"/>
  <c r="AD54" i="1"/>
  <c r="AN52" i="11"/>
  <c r="AQ52" i="11"/>
  <c r="AP52" i="11"/>
  <c r="AR52" i="11"/>
  <c r="AO52" i="11"/>
  <c r="V49" i="15"/>
  <c r="V39" i="15"/>
  <c r="B53" i="11"/>
  <c r="A36" i="5"/>
  <c r="A37" i="5" s="1"/>
  <c r="A38" i="5" s="1"/>
  <c r="A39" i="5" s="1"/>
  <c r="V132" i="5"/>
  <c r="W132" i="5" s="1"/>
  <c r="U17" i="15"/>
  <c r="U24" i="15"/>
  <c r="U15" i="15"/>
  <c r="T25" i="15"/>
  <c r="T16" i="15"/>
  <c r="A70" i="5"/>
  <c r="P69" i="5"/>
  <c r="AB69" i="5"/>
  <c r="Z69" i="5"/>
  <c r="F69" i="5"/>
  <c r="H69" i="5"/>
  <c r="R69" i="5"/>
  <c r="U17" i="5"/>
  <c r="T24" i="15"/>
  <c r="T27" i="15"/>
  <c r="U16" i="15"/>
  <c r="AA65" i="11"/>
  <c r="AC29" i="15" l="1"/>
  <c r="AC28" i="15"/>
  <c r="AA40" i="15"/>
  <c r="Y36" i="15"/>
  <c r="AH93" i="13"/>
  <c r="I27" i="24" s="1"/>
  <c r="AC31" i="15"/>
  <c r="AC30" i="15"/>
  <c r="AI195" i="13"/>
  <c r="AA26" i="15"/>
  <c r="AF27" i="15"/>
  <c r="AA27" i="15"/>
  <c r="AI112" i="13"/>
  <c r="Y33" i="15"/>
  <c r="AA22" i="15"/>
  <c r="Y35" i="15"/>
  <c r="AH290" i="11"/>
  <c r="AD290" i="11" s="1"/>
  <c r="G14" i="26" s="1"/>
  <c r="AH168" i="11"/>
  <c r="AD168" i="11" s="1"/>
  <c r="D50" i="26" s="1"/>
  <c r="AH309" i="11"/>
  <c r="AD309" i="11" s="1"/>
  <c r="G33" i="26" s="1"/>
  <c r="AI324" i="11"/>
  <c r="AD324" i="11" s="1"/>
  <c r="G48" i="26" s="1"/>
  <c r="AI85" i="11"/>
  <c r="AD85" i="11" s="1"/>
  <c r="C19" i="26" s="1"/>
  <c r="AH272" i="13"/>
  <c r="L49" i="24" s="1"/>
  <c r="AH233" i="13"/>
  <c r="AD233" i="13" s="1"/>
  <c r="L10" i="26" s="1"/>
  <c r="AI241" i="13"/>
  <c r="AD241" i="13" s="1"/>
  <c r="L18" i="26" s="1"/>
  <c r="AH255" i="11"/>
  <c r="AD255" i="11" s="1"/>
  <c r="F32" i="26" s="1"/>
  <c r="AI94" i="13"/>
  <c r="AH208" i="13"/>
  <c r="K38" i="24" s="1"/>
  <c r="AI237" i="13"/>
  <c r="AD237" i="13" s="1"/>
  <c r="L14" i="26" s="1"/>
  <c r="AH303" i="13"/>
  <c r="AD303" i="13" s="1"/>
  <c r="M27" i="26" s="1"/>
  <c r="AH212" i="11"/>
  <c r="E42" i="24" s="1"/>
  <c r="AI118" i="11"/>
  <c r="AD118" i="11" s="1"/>
  <c r="C52" i="26" s="1"/>
  <c r="G30" i="24"/>
  <c r="AH104" i="11"/>
  <c r="AD104" i="11" s="1"/>
  <c r="C38" i="26" s="1"/>
  <c r="AH213" i="13"/>
  <c r="K43" i="24" s="1"/>
  <c r="Y50" i="15"/>
  <c r="AI215" i="13"/>
  <c r="Y39" i="15"/>
  <c r="AH161" i="13"/>
  <c r="AD161" i="13" s="1"/>
  <c r="J43" i="26" s="1"/>
  <c r="J42" i="27" s="1"/>
  <c r="X42" i="27" s="1"/>
  <c r="Y41" i="15"/>
  <c r="AI320" i="13"/>
  <c r="AI135" i="13"/>
  <c r="AD135" i="13" s="1"/>
  <c r="J17" i="26" s="1"/>
  <c r="AI90" i="11"/>
  <c r="AD90" i="11" s="1"/>
  <c r="C24" i="26" s="1"/>
  <c r="AH116" i="13"/>
  <c r="I50" i="24" s="1"/>
  <c r="AH172" i="13"/>
  <c r="AI311" i="13"/>
  <c r="AH193" i="13"/>
  <c r="K23" i="24" s="1"/>
  <c r="Y24" i="15"/>
  <c r="H40" i="14"/>
  <c r="H30" i="14"/>
  <c r="AH81" i="11"/>
  <c r="AD81" i="11" s="1"/>
  <c r="C15" i="26" s="1"/>
  <c r="Y51" i="15"/>
  <c r="AH200" i="13"/>
  <c r="K30" i="24" s="1"/>
  <c r="Y43" i="15"/>
  <c r="AI103" i="13"/>
  <c r="AI134" i="13"/>
  <c r="AD134" i="13" s="1"/>
  <c r="J16" i="26" s="1"/>
  <c r="AI131" i="11"/>
  <c r="AD131" i="11" s="1"/>
  <c r="D13" i="26" s="1"/>
  <c r="AH130" i="11"/>
  <c r="AD130" i="11" s="1"/>
  <c r="D12" i="26" s="1"/>
  <c r="AH308" i="11"/>
  <c r="G32" i="24" s="1"/>
  <c r="AH248" i="11"/>
  <c r="AD248" i="11" s="1"/>
  <c r="F25" i="26" s="1"/>
  <c r="AI214" i="13"/>
  <c r="AH159" i="13"/>
  <c r="AD159" i="13" s="1"/>
  <c r="J41" i="26" s="1"/>
  <c r="J40" i="27" s="1"/>
  <c r="X40" i="27" s="1"/>
  <c r="AI289" i="13"/>
  <c r="AD289" i="13" s="1"/>
  <c r="M13" i="26" s="1"/>
  <c r="AH152" i="13"/>
  <c r="AD152" i="13" s="1"/>
  <c r="J34" i="26" s="1"/>
  <c r="J33" i="27" s="1"/>
  <c r="X33" i="27" s="1"/>
  <c r="AI80" i="13"/>
  <c r="AH188" i="13"/>
  <c r="AD188" i="13" s="1"/>
  <c r="K18" i="26" s="1"/>
  <c r="AI145" i="13"/>
  <c r="AD145" i="13" s="1"/>
  <c r="J27" i="26" s="1"/>
  <c r="J26" i="27" s="1"/>
  <c r="X26" i="27" s="1"/>
  <c r="AH305" i="13"/>
  <c r="M29" i="24" s="1"/>
  <c r="AH292" i="11"/>
  <c r="AD292" i="11" s="1"/>
  <c r="G16" i="26" s="1"/>
  <c r="AI108" i="11"/>
  <c r="AD108" i="11" s="1"/>
  <c r="C42" i="26" s="1"/>
  <c r="AI115" i="11"/>
  <c r="AD115" i="11" s="1"/>
  <c r="C49" i="26" s="1"/>
  <c r="AI83" i="11"/>
  <c r="AD83" i="11" s="1"/>
  <c r="C17" i="26" s="1"/>
  <c r="AI215" i="11"/>
  <c r="AH140" i="11"/>
  <c r="AD140" i="11" s="1"/>
  <c r="D22" i="26" s="1"/>
  <c r="AH243" i="11"/>
  <c r="AD243" i="11" s="1"/>
  <c r="F20" i="26" s="1"/>
  <c r="AH263" i="11"/>
  <c r="AD263" i="11" s="1"/>
  <c r="F40" i="26" s="1"/>
  <c r="AI265" i="11"/>
  <c r="AD265" i="11" s="1"/>
  <c r="F42" i="26" s="1"/>
  <c r="Y29" i="15"/>
  <c r="AI204" i="11"/>
  <c r="AD204" i="11" s="1"/>
  <c r="E34" i="26" s="1"/>
  <c r="H41" i="14"/>
  <c r="Y30" i="15"/>
  <c r="AH198" i="13"/>
  <c r="K28" i="24" s="1"/>
  <c r="AH132" i="13"/>
  <c r="AD132" i="13" s="1"/>
  <c r="J14" i="26" s="1"/>
  <c r="H9" i="14"/>
  <c r="AH146" i="11"/>
  <c r="AD146" i="11" s="1"/>
  <c r="D28" i="26" s="1"/>
  <c r="AH157" i="13"/>
  <c r="AD157" i="13" s="1"/>
  <c r="J39" i="26" s="1"/>
  <c r="J38" i="27" s="1"/>
  <c r="X38" i="27" s="1"/>
  <c r="Y28" i="15"/>
  <c r="H33" i="14"/>
  <c r="H18" i="14"/>
  <c r="Y46" i="15"/>
  <c r="AH191" i="11"/>
  <c r="AD191" i="11" s="1"/>
  <c r="E21" i="26" s="1"/>
  <c r="AI297" i="11"/>
  <c r="AD297" i="11" s="1"/>
  <c r="G21" i="26" s="1"/>
  <c r="AH288" i="13"/>
  <c r="M12" i="24" s="1"/>
  <c r="AH247" i="13"/>
  <c r="AD247" i="13" s="1"/>
  <c r="L24" i="26" s="1"/>
  <c r="L23" i="27" s="1"/>
  <c r="Z23" i="27" s="1"/>
  <c r="AI257" i="11"/>
  <c r="AD257" i="11" s="1"/>
  <c r="F34" i="26" s="1"/>
  <c r="H27" i="14"/>
  <c r="AH240" i="13"/>
  <c r="L17" i="24" s="1"/>
  <c r="AI274" i="13"/>
  <c r="AH192" i="11"/>
  <c r="AD192" i="11" s="1"/>
  <c r="E22" i="26" s="1"/>
  <c r="AI269" i="11"/>
  <c r="AD269" i="11" s="1"/>
  <c r="F46" i="26" s="1"/>
  <c r="Y45" i="15"/>
  <c r="Y52" i="15"/>
  <c r="Y31" i="15"/>
  <c r="AH148" i="11"/>
  <c r="AD148" i="11" s="1"/>
  <c r="D30" i="26" s="1"/>
  <c r="B24" i="14"/>
  <c r="AH206" i="13"/>
  <c r="K36" i="24" s="1"/>
  <c r="H34" i="14"/>
  <c r="Y25" i="15"/>
  <c r="Y42" i="15"/>
  <c r="H37" i="14"/>
  <c r="B49" i="14"/>
  <c r="H38" i="14"/>
  <c r="Y48" i="15"/>
  <c r="B40" i="15"/>
  <c r="B40" i="27" s="1"/>
  <c r="P40" i="27" s="1"/>
  <c r="H43" i="14"/>
  <c r="Y27" i="15"/>
  <c r="H50" i="14"/>
  <c r="H15" i="14"/>
  <c r="J47" i="27"/>
  <c r="X47" i="27" s="1"/>
  <c r="AH118" i="13"/>
  <c r="I52" i="24" s="1"/>
  <c r="AI189" i="13"/>
  <c r="AD189" i="13" s="1"/>
  <c r="K19" i="26" s="1"/>
  <c r="AI291" i="11"/>
  <c r="AD291" i="11" s="1"/>
  <c r="G15" i="26" s="1"/>
  <c r="AH184" i="11"/>
  <c r="AD184" i="11" s="1"/>
  <c r="E14" i="26" s="1"/>
  <c r="AA23" i="15"/>
  <c r="Z22" i="15"/>
  <c r="AA24" i="15"/>
  <c r="AB25" i="15"/>
  <c r="AA25" i="15"/>
  <c r="AB23" i="15"/>
  <c r="Z23" i="15"/>
  <c r="AB26" i="15"/>
  <c r="Z26" i="15"/>
  <c r="AB24" i="15"/>
  <c r="Z24" i="15"/>
  <c r="AH251" i="13"/>
  <c r="AD251" i="13" s="1"/>
  <c r="L28" i="26" s="1"/>
  <c r="L27" i="27" s="1"/>
  <c r="Z27" i="27" s="1"/>
  <c r="AH77" i="13"/>
  <c r="I11" i="24" s="1"/>
  <c r="AI250" i="13"/>
  <c r="AD250" i="13" s="1"/>
  <c r="L27" i="26" s="1"/>
  <c r="L26" i="27" s="1"/>
  <c r="Z26" i="27" s="1"/>
  <c r="AH270" i="13"/>
  <c r="L47" i="24" s="1"/>
  <c r="AH99" i="13"/>
  <c r="I33" i="24" s="1"/>
  <c r="AH217" i="11"/>
  <c r="E47" i="24" s="1"/>
  <c r="AH275" i="11"/>
  <c r="AD275" i="11" s="1"/>
  <c r="F52" i="26" s="1"/>
  <c r="AI82" i="11"/>
  <c r="AD82" i="11" s="1"/>
  <c r="C16" i="26" s="1"/>
  <c r="AB28" i="15"/>
  <c r="AB29" i="15"/>
  <c r="AI266" i="13"/>
  <c r="AI106" i="13"/>
  <c r="AH301" i="13"/>
  <c r="AD301" i="13" s="1"/>
  <c r="M25" i="26" s="1"/>
  <c r="AH84" i="13"/>
  <c r="I18" i="24" s="1"/>
  <c r="AH243" i="13"/>
  <c r="AD243" i="13" s="1"/>
  <c r="L20" i="26" s="1"/>
  <c r="AI252" i="13"/>
  <c r="AD252" i="13" s="1"/>
  <c r="L29" i="26" s="1"/>
  <c r="L28" i="27" s="1"/>
  <c r="Z28" i="27" s="1"/>
  <c r="AI210" i="13"/>
  <c r="AH169" i="13"/>
  <c r="AD169" i="13" s="1"/>
  <c r="J51" i="26" s="1"/>
  <c r="J50" i="27" s="1"/>
  <c r="X50" i="27" s="1"/>
  <c r="AI115" i="13"/>
  <c r="AH246" i="13"/>
  <c r="AD246" i="13" s="1"/>
  <c r="L23" i="26" s="1"/>
  <c r="AH101" i="13"/>
  <c r="I35" i="24" s="1"/>
  <c r="AI276" i="13"/>
  <c r="AH130" i="13"/>
  <c r="AD130" i="13" s="1"/>
  <c r="J12" i="26" s="1"/>
  <c r="AH325" i="13"/>
  <c r="AH202" i="13"/>
  <c r="K32" i="24" s="1"/>
  <c r="AH207" i="13"/>
  <c r="K37" i="24" s="1"/>
  <c r="AI329" i="13"/>
  <c r="AH90" i="13"/>
  <c r="I24" i="24" s="1"/>
  <c r="AH236" i="13"/>
  <c r="AD236" i="13" s="1"/>
  <c r="L13" i="26" s="1"/>
  <c r="AH296" i="13"/>
  <c r="AD296" i="13" s="1"/>
  <c r="M20" i="26" s="1"/>
  <c r="AI304" i="13"/>
  <c r="AD304" i="13" s="1"/>
  <c r="M28" i="26" s="1"/>
  <c r="AH78" i="13"/>
  <c r="I12" i="24" s="1"/>
  <c r="AI317" i="13"/>
  <c r="AH218" i="13"/>
  <c r="K48" i="24" s="1"/>
  <c r="AI196" i="11"/>
  <c r="AD196" i="11" s="1"/>
  <c r="E26" i="26" s="1"/>
  <c r="AH145" i="11"/>
  <c r="AD145" i="11" s="1"/>
  <c r="D27" i="26" s="1"/>
  <c r="AH155" i="11"/>
  <c r="AD155" i="11" s="1"/>
  <c r="D37" i="26" s="1"/>
  <c r="AB48" i="15"/>
  <c r="Z36" i="15"/>
  <c r="AA39" i="15"/>
  <c r="AB39" i="15"/>
  <c r="AA38" i="15"/>
  <c r="B27" i="15"/>
  <c r="B27" i="27" s="1"/>
  <c r="P27" i="27" s="1"/>
  <c r="D27" i="27"/>
  <c r="R27" i="27" s="1"/>
  <c r="B13" i="15"/>
  <c r="B13" i="27" s="1"/>
  <c r="P13" i="27" s="1"/>
  <c r="C13" i="27"/>
  <c r="Q13" i="27" s="1"/>
  <c r="B10" i="15"/>
  <c r="B10" i="27" s="1"/>
  <c r="P10" i="27" s="1"/>
  <c r="C10" i="27"/>
  <c r="Q10" i="27" s="1"/>
  <c r="Y26" i="15"/>
  <c r="I26" i="27"/>
  <c r="W26" i="27" s="1"/>
  <c r="AC34" i="15"/>
  <c r="Z50" i="15"/>
  <c r="AC46" i="15"/>
  <c r="AB31" i="15"/>
  <c r="AC44" i="15"/>
  <c r="AB42" i="15"/>
  <c r="AC38" i="15"/>
  <c r="AB49" i="15"/>
  <c r="AC32" i="15"/>
  <c r="AC36" i="15"/>
  <c r="AC35" i="15"/>
  <c r="AA45" i="15"/>
  <c r="AA41" i="15"/>
  <c r="AA28" i="15"/>
  <c r="AA37" i="15"/>
  <c r="AA43" i="15"/>
  <c r="AB33" i="15"/>
  <c r="AA32" i="15"/>
  <c r="AA49" i="15"/>
  <c r="Z38" i="15"/>
  <c r="AC42" i="15"/>
  <c r="O17" i="14"/>
  <c r="AE17" i="15" s="1"/>
  <c r="O37" i="14"/>
  <c r="AA30" i="15"/>
  <c r="B24" i="15"/>
  <c r="B24" i="27" s="1"/>
  <c r="P24" i="27" s="1"/>
  <c r="F24" i="27"/>
  <c r="T24" i="27" s="1"/>
  <c r="B47" i="15"/>
  <c r="B47" i="27" s="1"/>
  <c r="P47" i="27" s="1"/>
  <c r="F47" i="27"/>
  <c r="T47" i="27" s="1"/>
  <c r="H46" i="14"/>
  <c r="B25" i="15"/>
  <c r="B25" i="27" s="1"/>
  <c r="P25" i="27" s="1"/>
  <c r="C25" i="27"/>
  <c r="Q25" i="27" s="1"/>
  <c r="B18" i="14"/>
  <c r="AB37" i="15"/>
  <c r="AA44" i="15"/>
  <c r="AB32" i="15"/>
  <c r="AA33" i="15"/>
  <c r="B41" i="14"/>
  <c r="Y38" i="15"/>
  <c r="I38" i="27"/>
  <c r="W38" i="27" s="1"/>
  <c r="H51" i="14"/>
  <c r="AB45" i="15"/>
  <c r="Y34" i="15"/>
  <c r="AB34" i="15"/>
  <c r="AC33" i="15"/>
  <c r="B42" i="15"/>
  <c r="B42" i="27" s="1"/>
  <c r="P42" i="27" s="1"/>
  <c r="C42" i="27"/>
  <c r="Q42" i="27" s="1"/>
  <c r="AB30" i="15"/>
  <c r="AA42" i="15"/>
  <c r="H40" i="15"/>
  <c r="AA46" i="15"/>
  <c r="AA36" i="15"/>
  <c r="AA52" i="15"/>
  <c r="AA34" i="15"/>
  <c r="B41" i="15"/>
  <c r="B41" i="27" s="1"/>
  <c r="P41" i="27" s="1"/>
  <c r="C41" i="27"/>
  <c r="Q41" i="27" s="1"/>
  <c r="H31" i="14"/>
  <c r="B37" i="14"/>
  <c r="AH192" i="13"/>
  <c r="AD192" i="13" s="1"/>
  <c r="K22" i="26" s="1"/>
  <c r="AH254" i="13"/>
  <c r="L31" i="24" s="1"/>
  <c r="U18" i="15"/>
  <c r="B11" i="14"/>
  <c r="H45" i="14"/>
  <c r="C21" i="24"/>
  <c r="AH289" i="11"/>
  <c r="G13" i="24" s="1"/>
  <c r="AI245" i="11"/>
  <c r="AD245" i="11" s="1"/>
  <c r="F22" i="26" s="1"/>
  <c r="B18" i="15"/>
  <c r="B18" i="27" s="1"/>
  <c r="P18" i="27" s="1"/>
  <c r="O49" i="14"/>
  <c r="O42" i="14"/>
  <c r="AH180" i="13"/>
  <c r="AB44" i="15"/>
  <c r="AB41" i="15"/>
  <c r="AI105" i="13"/>
  <c r="AH163" i="13"/>
  <c r="AD163" i="13" s="1"/>
  <c r="J45" i="26" s="1"/>
  <c r="J44" i="27" s="1"/>
  <c r="X44" i="27" s="1"/>
  <c r="AI153" i="13"/>
  <c r="AD153" i="13" s="1"/>
  <c r="J35" i="26" s="1"/>
  <c r="J34" i="27" s="1"/>
  <c r="X34" i="27" s="1"/>
  <c r="B46" i="15"/>
  <c r="B46" i="27" s="1"/>
  <c r="P46" i="27" s="1"/>
  <c r="B12" i="15"/>
  <c r="B12" i="27" s="1"/>
  <c r="P12" i="27" s="1"/>
  <c r="AH254" i="11"/>
  <c r="F31" i="24" s="1"/>
  <c r="B35" i="15"/>
  <c r="B35" i="27" s="1"/>
  <c r="P35" i="27" s="1"/>
  <c r="AI136" i="11"/>
  <c r="AD136" i="11" s="1"/>
  <c r="D18" i="26" s="1"/>
  <c r="AH244" i="11"/>
  <c r="AD244" i="11" s="1"/>
  <c r="F21" i="26" s="1"/>
  <c r="AI270" i="11"/>
  <c r="AD270" i="11" s="1"/>
  <c r="F47" i="26" s="1"/>
  <c r="AH149" i="11"/>
  <c r="AD149" i="11" s="1"/>
  <c r="D31" i="26" s="1"/>
  <c r="H36" i="14"/>
  <c r="B29" i="14"/>
  <c r="B9" i="15"/>
  <c r="B9" i="27" s="1"/>
  <c r="P9" i="27" s="1"/>
  <c r="H52" i="14"/>
  <c r="B17" i="14"/>
  <c r="AH257" i="13"/>
  <c r="L34" i="24" s="1"/>
  <c r="AH287" i="13"/>
  <c r="AD287" i="13" s="1"/>
  <c r="M11" i="26" s="1"/>
  <c r="B21" i="14"/>
  <c r="H42" i="14"/>
  <c r="H10" i="14"/>
  <c r="B30" i="14"/>
  <c r="AB35" i="15"/>
  <c r="AA50" i="15"/>
  <c r="T41" i="15"/>
  <c r="B43" i="14"/>
  <c r="AC52" i="15"/>
  <c r="AI316" i="13"/>
  <c r="O48" i="14"/>
  <c r="AH199" i="13"/>
  <c r="K29" i="24" s="1"/>
  <c r="AI201" i="13"/>
  <c r="AH292" i="13"/>
  <c r="M16" i="24" s="1"/>
  <c r="AI102" i="11"/>
  <c r="AD102" i="11" s="1"/>
  <c r="C36" i="26" s="1"/>
  <c r="AH253" i="11"/>
  <c r="AD253" i="11" s="1"/>
  <c r="F30" i="26" s="1"/>
  <c r="AH300" i="11"/>
  <c r="AD300" i="11" s="1"/>
  <c r="G24" i="26" s="1"/>
  <c r="H47" i="14"/>
  <c r="B20" i="15"/>
  <c r="B20" i="27" s="1"/>
  <c r="P20" i="27" s="1"/>
  <c r="B22" i="15"/>
  <c r="B22" i="27" s="1"/>
  <c r="P22" i="27" s="1"/>
  <c r="AH210" i="11"/>
  <c r="E40" i="24" s="1"/>
  <c r="AH153" i="11"/>
  <c r="AD153" i="11" s="1"/>
  <c r="D35" i="26" s="1"/>
  <c r="AH256" i="11"/>
  <c r="F33" i="24" s="1"/>
  <c r="H16" i="14"/>
  <c r="AI102" i="13"/>
  <c r="B39" i="14"/>
  <c r="B19" i="14"/>
  <c r="AH238" i="13"/>
  <c r="AD238" i="13" s="1"/>
  <c r="L15" i="26" s="1"/>
  <c r="AH182" i="13"/>
  <c r="AD182" i="13" s="1"/>
  <c r="K12" i="26" s="1"/>
  <c r="O30" i="14"/>
  <c r="AI167" i="13"/>
  <c r="AD167" i="13" s="1"/>
  <c r="J49" i="26" s="1"/>
  <c r="J48" i="27" s="1"/>
  <c r="X48" i="27" s="1"/>
  <c r="AH297" i="13"/>
  <c r="AD297" i="13" s="1"/>
  <c r="M21" i="26" s="1"/>
  <c r="E25" i="24"/>
  <c r="AI264" i="11"/>
  <c r="AD264" i="11" s="1"/>
  <c r="F41" i="26" s="1"/>
  <c r="AI296" i="11"/>
  <c r="AD296" i="11" s="1"/>
  <c r="G20" i="26" s="1"/>
  <c r="AH266" i="11"/>
  <c r="H35" i="14"/>
  <c r="B15" i="15"/>
  <c r="B15" i="27" s="1"/>
  <c r="P15" i="27" s="1"/>
  <c r="B32" i="14"/>
  <c r="B47" i="14"/>
  <c r="AC37" i="15"/>
  <c r="AI307" i="13"/>
  <c r="O24" i="14"/>
  <c r="B45" i="15"/>
  <c r="B45" i="27" s="1"/>
  <c r="P45" i="27" s="1"/>
  <c r="Y32" i="15"/>
  <c r="B48" i="14"/>
  <c r="H13" i="14"/>
  <c r="AA47" i="15"/>
  <c r="AB36" i="15"/>
  <c r="AH256" i="13"/>
  <c r="L33" i="24" s="1"/>
  <c r="O14" i="14"/>
  <c r="AE14" i="15" s="1"/>
  <c r="AH131" i="13"/>
  <c r="AD131" i="13" s="1"/>
  <c r="J13" i="26" s="1"/>
  <c r="O41" i="14"/>
  <c r="B50" i="15"/>
  <c r="B50" i="27" s="1"/>
  <c r="P50" i="27" s="1"/>
  <c r="AI103" i="11"/>
  <c r="AD103" i="11" s="1"/>
  <c r="C37" i="26" s="1"/>
  <c r="B38" i="15"/>
  <c r="B38" i="27" s="1"/>
  <c r="P38" i="27" s="1"/>
  <c r="B28" i="15"/>
  <c r="B28" i="27" s="1"/>
  <c r="P28" i="27" s="1"/>
  <c r="U32" i="15"/>
  <c r="B52" i="14"/>
  <c r="H26" i="14"/>
  <c r="H44" i="14"/>
  <c r="H14" i="14"/>
  <c r="B37" i="15"/>
  <c r="B37" i="27" s="1"/>
  <c r="P37" i="27" s="1"/>
  <c r="AH166" i="11"/>
  <c r="AD166" i="11" s="1"/>
  <c r="D48" i="26" s="1"/>
  <c r="D31" i="24"/>
  <c r="AI299" i="11"/>
  <c r="AD299" i="11" s="1"/>
  <c r="G23" i="26" s="1"/>
  <c r="H39" i="14"/>
  <c r="H24" i="14"/>
  <c r="Y37" i="15"/>
  <c r="AA48" i="15"/>
  <c r="AC48" i="15"/>
  <c r="O52" i="14"/>
  <c r="B39" i="15"/>
  <c r="B39" i="27" s="1"/>
  <c r="P39" i="27" s="1"/>
  <c r="AH287" i="11"/>
  <c r="AD287" i="11" s="1"/>
  <c r="G11" i="26" s="1"/>
  <c r="AI144" i="11"/>
  <c r="AD144" i="11" s="1"/>
  <c r="D26" i="26" s="1"/>
  <c r="B48" i="15"/>
  <c r="B48" i="27" s="1"/>
  <c r="P48" i="27" s="1"/>
  <c r="AH169" i="11"/>
  <c r="AD169" i="11" s="1"/>
  <c r="D51" i="26" s="1"/>
  <c r="Y49" i="15"/>
  <c r="AI186" i="13"/>
  <c r="AD186" i="13" s="1"/>
  <c r="K16" i="26" s="1"/>
  <c r="H49" i="14"/>
  <c r="H19" i="14"/>
  <c r="H23" i="14"/>
  <c r="AB46" i="15"/>
  <c r="O13" i="14"/>
  <c r="AE13" i="15" s="1"/>
  <c r="AI163" i="11"/>
  <c r="AD163" i="11" s="1"/>
  <c r="D45" i="26" s="1"/>
  <c r="B14" i="14"/>
  <c r="N14" i="14" s="1"/>
  <c r="H17" i="14"/>
  <c r="AA35" i="15"/>
  <c r="B42" i="14"/>
  <c r="O27" i="14"/>
  <c r="B17" i="15"/>
  <c r="B17" i="27" s="1"/>
  <c r="P17" i="27" s="1"/>
  <c r="B31" i="15"/>
  <c r="B31" i="27" s="1"/>
  <c r="P31" i="27" s="1"/>
  <c r="B36" i="15"/>
  <c r="B36" i="27" s="1"/>
  <c r="P36" i="27" s="1"/>
  <c r="AH89" i="11"/>
  <c r="AD89" i="11" s="1"/>
  <c r="C23" i="26" s="1"/>
  <c r="AI201" i="11"/>
  <c r="AD201" i="11" s="1"/>
  <c r="E31" i="26" s="1"/>
  <c r="AH299" i="13"/>
  <c r="AD299" i="13" s="1"/>
  <c r="M23" i="26" s="1"/>
  <c r="AI293" i="13"/>
  <c r="AD293" i="13" s="1"/>
  <c r="M17" i="26" s="1"/>
  <c r="AI140" i="13"/>
  <c r="AD140" i="13" s="1"/>
  <c r="J22" i="26" s="1"/>
  <c r="AH253" i="13"/>
  <c r="AD253" i="13" s="1"/>
  <c r="L30" i="26" s="1"/>
  <c r="L29" i="27" s="1"/>
  <c r="Z29" i="27" s="1"/>
  <c r="AH275" i="13"/>
  <c r="L52" i="24" s="1"/>
  <c r="AH205" i="13"/>
  <c r="AH76" i="13"/>
  <c r="I10" i="24" s="1"/>
  <c r="AH315" i="13"/>
  <c r="AI322" i="13"/>
  <c r="AH79" i="13"/>
  <c r="I13" i="24" s="1"/>
  <c r="AI269" i="13"/>
  <c r="AI117" i="13"/>
  <c r="AI113" i="13"/>
  <c r="AH298" i="13"/>
  <c r="AD298" i="13" s="1"/>
  <c r="M22" i="26" s="1"/>
  <c r="AH242" i="13"/>
  <c r="AD242" i="13" s="1"/>
  <c r="L19" i="26" s="1"/>
  <c r="AH104" i="13"/>
  <c r="I38" i="24" s="1"/>
  <c r="AH83" i="13"/>
  <c r="I17" i="24" s="1"/>
  <c r="AH138" i="13"/>
  <c r="AD138" i="13" s="1"/>
  <c r="J20" i="26" s="1"/>
  <c r="AH286" i="13"/>
  <c r="AD286" i="13" s="1"/>
  <c r="M10" i="26" s="1"/>
  <c r="AH302" i="13"/>
  <c r="AD302" i="13" s="1"/>
  <c r="M26" i="26" s="1"/>
  <c r="AH160" i="13"/>
  <c r="AD160" i="13" s="1"/>
  <c r="J42" i="26" s="1"/>
  <c r="J41" i="27" s="1"/>
  <c r="X41" i="27" s="1"/>
  <c r="AH162" i="13"/>
  <c r="AD162" i="13" s="1"/>
  <c r="J44" i="26" s="1"/>
  <c r="J43" i="27" s="1"/>
  <c r="X43" i="27" s="1"/>
  <c r="AI183" i="13"/>
  <c r="AD183" i="13" s="1"/>
  <c r="K13" i="26" s="1"/>
  <c r="AH273" i="13"/>
  <c r="L50" i="24" s="1"/>
  <c r="AI96" i="13"/>
  <c r="AH154" i="13"/>
  <c r="AD154" i="13" s="1"/>
  <c r="J36" i="26" s="1"/>
  <c r="J35" i="27" s="1"/>
  <c r="X35" i="27" s="1"/>
  <c r="AI204" i="13"/>
  <c r="AI209" i="11"/>
  <c r="AI110" i="11"/>
  <c r="AD110" i="11" s="1"/>
  <c r="C44" i="26" s="1"/>
  <c r="AH132" i="11"/>
  <c r="AD132" i="11" s="1"/>
  <c r="D14" i="26" s="1"/>
  <c r="AH221" i="11"/>
  <c r="E51" i="24" s="1"/>
  <c r="AI276" i="11"/>
  <c r="AH276" i="11"/>
  <c r="B9" i="14"/>
  <c r="H21" i="14"/>
  <c r="H22" i="14"/>
  <c r="O29" i="14"/>
  <c r="AI190" i="11"/>
  <c r="AD190" i="11" s="1"/>
  <c r="E20" i="26" s="1"/>
  <c r="AI76" i="11"/>
  <c r="AD76" i="11" s="1"/>
  <c r="C10" i="26" s="1"/>
  <c r="B27" i="14"/>
  <c r="B50" i="14"/>
  <c r="B38" i="14"/>
  <c r="H28" i="14"/>
  <c r="H20" i="14"/>
  <c r="AB38" i="15"/>
  <c r="AH267" i="13"/>
  <c r="L44" i="24" s="1"/>
  <c r="O39" i="14"/>
  <c r="O51" i="14"/>
  <c r="Z48" i="15"/>
  <c r="C43" i="24"/>
  <c r="AH327" i="11"/>
  <c r="AD327" i="11" s="1"/>
  <c r="G51" i="26" s="1"/>
  <c r="AH202" i="11"/>
  <c r="AH113" i="11"/>
  <c r="H25" i="14"/>
  <c r="H29" i="14"/>
  <c r="H48" i="14"/>
  <c r="O38" i="14"/>
  <c r="AH216" i="11"/>
  <c r="E46" i="24" s="1"/>
  <c r="H11" i="14"/>
  <c r="B45" i="14"/>
  <c r="AH260" i="13"/>
  <c r="L37" i="24" s="1"/>
  <c r="AH222" i="13"/>
  <c r="AH294" i="13"/>
  <c r="AD294" i="13" s="1"/>
  <c r="M18" i="26" s="1"/>
  <c r="O11" i="14"/>
  <c r="AE11" i="15" s="1"/>
  <c r="O32" i="14"/>
  <c r="O19" i="14"/>
  <c r="AE19" i="15" s="1"/>
  <c r="AI264" i="13"/>
  <c r="AH321" i="11"/>
  <c r="G45" i="24" s="1"/>
  <c r="AI156" i="11"/>
  <c r="AD156" i="11" s="1"/>
  <c r="D38" i="26" s="1"/>
  <c r="AI214" i="11"/>
  <c r="AH214" i="11"/>
  <c r="E44" i="24" s="1"/>
  <c r="H32" i="14"/>
  <c r="AI89" i="13"/>
  <c r="AH187" i="13"/>
  <c r="AD187" i="13" s="1"/>
  <c r="K17" i="26" s="1"/>
  <c r="H12" i="14"/>
  <c r="B51" i="14"/>
  <c r="AH314" i="13"/>
  <c r="AI87" i="13"/>
  <c r="O18" i="14"/>
  <c r="AE18" i="15" s="1"/>
  <c r="O45" i="14"/>
  <c r="AI321" i="13"/>
  <c r="AH212" i="13"/>
  <c r="AI143" i="13"/>
  <c r="AD143" i="13" s="1"/>
  <c r="J25" i="26" s="1"/>
  <c r="J24" i="27" s="1"/>
  <c r="X24" i="27" s="1"/>
  <c r="O28" i="14"/>
  <c r="B32" i="15"/>
  <c r="B32" i="27" s="1"/>
  <c r="P32" i="27" s="1"/>
  <c r="AI252" i="11"/>
  <c r="AD252" i="11" s="1"/>
  <c r="F29" i="26" s="1"/>
  <c r="AH182" i="11"/>
  <c r="AI182" i="11"/>
  <c r="AH136" i="13"/>
  <c r="AD136" i="13" s="1"/>
  <c r="J18" i="26" s="1"/>
  <c r="O21" i="14"/>
  <c r="AE21" i="15" s="1"/>
  <c r="AH190" i="13"/>
  <c r="AD190" i="13" s="1"/>
  <c r="K20" i="26" s="1"/>
  <c r="AH217" i="13"/>
  <c r="K47" i="24" s="1"/>
  <c r="AH191" i="13"/>
  <c r="K21" i="24" s="1"/>
  <c r="AI194" i="13"/>
  <c r="AH158" i="13"/>
  <c r="AD158" i="13" s="1"/>
  <c r="J40" i="26" s="1"/>
  <c r="J39" i="27" s="1"/>
  <c r="X39" i="27" s="1"/>
  <c r="AH85" i="13"/>
  <c r="I19" i="24" s="1"/>
  <c r="AI295" i="13"/>
  <c r="AD295" i="13" s="1"/>
  <c r="M19" i="26" s="1"/>
  <c r="AI148" i="13"/>
  <c r="AD148" i="13" s="1"/>
  <c r="J30" i="26" s="1"/>
  <c r="J29" i="27" s="1"/>
  <c r="X29" i="27" s="1"/>
  <c r="AH209" i="13"/>
  <c r="AI107" i="13"/>
  <c r="AH91" i="11"/>
  <c r="AD91" i="11" s="1"/>
  <c r="C25" i="26" s="1"/>
  <c r="O47" i="14"/>
  <c r="B29" i="15"/>
  <c r="B29" i="27" s="1"/>
  <c r="P29" i="27" s="1"/>
  <c r="AD250" i="11"/>
  <c r="F27" i="26" s="1"/>
  <c r="B26" i="15"/>
  <c r="B26" i="27" s="1"/>
  <c r="P26" i="27" s="1"/>
  <c r="B19" i="15"/>
  <c r="B19" i="27" s="1"/>
  <c r="P19" i="27" s="1"/>
  <c r="AH238" i="11"/>
  <c r="AI238" i="11"/>
  <c r="B12" i="14"/>
  <c r="B34" i="15"/>
  <c r="B34" i="27" s="1"/>
  <c r="P34" i="27" s="1"/>
  <c r="AI328" i="13"/>
  <c r="AH196" i="13"/>
  <c r="K26" i="24" s="1"/>
  <c r="AI144" i="13"/>
  <c r="AD144" i="13" s="1"/>
  <c r="J26" i="26" s="1"/>
  <c r="J25" i="27" s="1"/>
  <c r="X25" i="27" s="1"/>
  <c r="AI168" i="13"/>
  <c r="AD168" i="13" s="1"/>
  <c r="J50" i="26" s="1"/>
  <c r="J49" i="27" s="1"/>
  <c r="X49" i="27" s="1"/>
  <c r="AI137" i="13"/>
  <c r="AD137" i="13" s="1"/>
  <c r="J19" i="26" s="1"/>
  <c r="AI326" i="13"/>
  <c r="AH133" i="13"/>
  <c r="AD133" i="13" s="1"/>
  <c r="J15" i="26" s="1"/>
  <c r="AH313" i="11"/>
  <c r="AD313" i="11" s="1"/>
  <c r="G37" i="26" s="1"/>
  <c r="F14" i="24"/>
  <c r="AC40" i="15"/>
  <c r="B33" i="14"/>
  <c r="B30" i="15"/>
  <c r="B30" i="27" s="1"/>
  <c r="P30" i="27" s="1"/>
  <c r="AH304" i="11"/>
  <c r="AD304" i="11" s="1"/>
  <c r="G28" i="26" s="1"/>
  <c r="AI308" i="13"/>
  <c r="AI309" i="13"/>
  <c r="AH248" i="13"/>
  <c r="AD248" i="13" s="1"/>
  <c r="L25" i="26" s="1"/>
  <c r="L24" i="27" s="1"/>
  <c r="Z24" i="27" s="1"/>
  <c r="AI110" i="13"/>
  <c r="AH97" i="13"/>
  <c r="I31" i="24" s="1"/>
  <c r="AH98" i="13"/>
  <c r="I32" i="24" s="1"/>
  <c r="AH185" i="13"/>
  <c r="AD185" i="13" s="1"/>
  <c r="K15" i="26" s="1"/>
  <c r="AI149" i="13"/>
  <c r="AD149" i="13" s="1"/>
  <c r="J31" i="26" s="1"/>
  <c r="J30" i="27" s="1"/>
  <c r="X30" i="27" s="1"/>
  <c r="AH306" i="13"/>
  <c r="AI245" i="13"/>
  <c r="AD245" i="13" s="1"/>
  <c r="L22" i="26" s="1"/>
  <c r="AH324" i="13"/>
  <c r="AH199" i="11"/>
  <c r="AD199" i="11" s="1"/>
  <c r="E29" i="26" s="1"/>
  <c r="AH150" i="11"/>
  <c r="AD150" i="11" s="1"/>
  <c r="D32" i="26" s="1"/>
  <c r="AH323" i="11"/>
  <c r="AD323" i="11" s="1"/>
  <c r="G47" i="26" s="1"/>
  <c r="AH141" i="11"/>
  <c r="AD141" i="11" s="1"/>
  <c r="D23" i="26" s="1"/>
  <c r="B33" i="15"/>
  <c r="B33" i="27" s="1"/>
  <c r="P33" i="27" s="1"/>
  <c r="AH312" i="13"/>
  <c r="B23" i="15"/>
  <c r="B23" i="27" s="1"/>
  <c r="P23" i="27" s="1"/>
  <c r="AI221" i="13"/>
  <c r="AI261" i="13"/>
  <c r="B43" i="15"/>
  <c r="B43" i="27" s="1"/>
  <c r="P43" i="27" s="1"/>
  <c r="AI244" i="13"/>
  <c r="AD244" i="13" s="1"/>
  <c r="L21" i="26" s="1"/>
  <c r="B14" i="15"/>
  <c r="B14" i="27" s="1"/>
  <c r="P14" i="27" s="1"/>
  <c r="AI185" i="11"/>
  <c r="AD185" i="11" s="1"/>
  <c r="E15" i="26" s="1"/>
  <c r="B51" i="15"/>
  <c r="B51" i="27" s="1"/>
  <c r="P51" i="27" s="1"/>
  <c r="B44" i="15"/>
  <c r="B44" i="27" s="1"/>
  <c r="P44" i="27" s="1"/>
  <c r="AH147" i="13"/>
  <c r="AD147" i="13" s="1"/>
  <c r="J29" i="26" s="1"/>
  <c r="J28" i="27" s="1"/>
  <c r="X28" i="27" s="1"/>
  <c r="AH234" i="13"/>
  <c r="AD234" i="13" s="1"/>
  <c r="L11" i="26" s="1"/>
  <c r="AH151" i="13"/>
  <c r="AD151" i="13" s="1"/>
  <c r="J33" i="26" s="1"/>
  <c r="J32" i="27" s="1"/>
  <c r="X32" i="27" s="1"/>
  <c r="AI235" i="13"/>
  <c r="AD235" i="13" s="1"/>
  <c r="L12" i="26" s="1"/>
  <c r="AH155" i="13"/>
  <c r="J37" i="24" s="1"/>
  <c r="AI239" i="13"/>
  <c r="AD239" i="13" s="1"/>
  <c r="L16" i="26" s="1"/>
  <c r="AH114" i="13"/>
  <c r="I48" i="24" s="1"/>
  <c r="AI100" i="13"/>
  <c r="AH181" i="13"/>
  <c r="AD181" i="13" s="1"/>
  <c r="K11" i="26" s="1"/>
  <c r="AH170" i="13"/>
  <c r="AD170" i="13" s="1"/>
  <c r="J52" i="26" s="1"/>
  <c r="J51" i="27" s="1"/>
  <c r="X51" i="27" s="1"/>
  <c r="AH265" i="13"/>
  <c r="AH310" i="13"/>
  <c r="AH291" i="13"/>
  <c r="AI109" i="13"/>
  <c r="AH263" i="13"/>
  <c r="AH197" i="13"/>
  <c r="AI81" i="13"/>
  <c r="AH95" i="13"/>
  <c r="I29" i="24" s="1"/>
  <c r="AH165" i="13"/>
  <c r="AD165" i="13" s="1"/>
  <c r="J47" i="26" s="1"/>
  <c r="J46" i="27" s="1"/>
  <c r="X46" i="27" s="1"/>
  <c r="AH272" i="11"/>
  <c r="AD272" i="11" s="1"/>
  <c r="F49" i="26" s="1"/>
  <c r="AH151" i="11"/>
  <c r="D33" i="24" s="1"/>
  <c r="AH240" i="11"/>
  <c r="AD240" i="11" s="1"/>
  <c r="F17" i="26" s="1"/>
  <c r="AH218" i="11"/>
  <c r="E48" i="24" s="1"/>
  <c r="AI106" i="11"/>
  <c r="AD106" i="11" s="1"/>
  <c r="C40" i="26" s="1"/>
  <c r="AI159" i="11"/>
  <c r="AD159" i="11" s="1"/>
  <c r="D41" i="26" s="1"/>
  <c r="AI128" i="11"/>
  <c r="AD128" i="11" s="1"/>
  <c r="D10" i="26" s="1"/>
  <c r="B16" i="15"/>
  <c r="B16" i="27" s="1"/>
  <c r="P16" i="27" s="1"/>
  <c r="AH186" i="11"/>
  <c r="E16" i="24" s="1"/>
  <c r="AH211" i="13"/>
  <c r="AI188" i="11"/>
  <c r="AD188" i="11" s="1"/>
  <c r="E18" i="26" s="1"/>
  <c r="B52" i="15"/>
  <c r="B52" i="27" s="1"/>
  <c r="P52" i="27" s="1"/>
  <c r="AI318" i="11"/>
  <c r="AD318" i="11" s="1"/>
  <c r="G42" i="26" s="1"/>
  <c r="AH158" i="11"/>
  <c r="AD158" i="11" s="1"/>
  <c r="D40" i="26" s="1"/>
  <c r="AH200" i="11"/>
  <c r="E30" i="24" s="1"/>
  <c r="AH80" i="11"/>
  <c r="AI80" i="11"/>
  <c r="O43" i="14"/>
  <c r="B49" i="15"/>
  <c r="B49" i="27" s="1"/>
  <c r="P49" i="27" s="1"/>
  <c r="B21" i="15"/>
  <c r="B21" i="27" s="1"/>
  <c r="P21" i="27" s="1"/>
  <c r="G17" i="24"/>
  <c r="AI112" i="11"/>
  <c r="AD112" i="11" s="1"/>
  <c r="C46" i="26" s="1"/>
  <c r="AH86" i="11"/>
  <c r="AI86" i="11"/>
  <c r="O23" i="14"/>
  <c r="AI260" i="11"/>
  <c r="AD260" i="11" s="1"/>
  <c r="F37" i="26" s="1"/>
  <c r="AH205" i="11"/>
  <c r="AI205" i="11"/>
  <c r="B34" i="14"/>
  <c r="B23" i="14"/>
  <c r="O50" i="14"/>
  <c r="AI274" i="11"/>
  <c r="AH274" i="11"/>
  <c r="AH139" i="11"/>
  <c r="AI139" i="11"/>
  <c r="O34" i="14"/>
  <c r="O35" i="14"/>
  <c r="AI91" i="13"/>
  <c r="AI141" i="13"/>
  <c r="AD141" i="13" s="1"/>
  <c r="J23" i="26" s="1"/>
  <c r="J22" i="27" s="1"/>
  <c r="X22" i="27" s="1"/>
  <c r="AH156" i="13"/>
  <c r="AD156" i="13" s="1"/>
  <c r="J38" i="26" s="1"/>
  <c r="J37" i="27" s="1"/>
  <c r="X37" i="27" s="1"/>
  <c r="AH86" i="13"/>
  <c r="I20" i="24" s="1"/>
  <c r="AI219" i="13"/>
  <c r="AH271" i="13"/>
  <c r="AH142" i="13"/>
  <c r="AD142" i="13" s="1"/>
  <c r="J24" i="26" s="1"/>
  <c r="J23" i="27" s="1"/>
  <c r="X23" i="27" s="1"/>
  <c r="AI249" i="13"/>
  <c r="AD249" i="13" s="1"/>
  <c r="L26" i="26" s="1"/>
  <c r="L25" i="27" s="1"/>
  <c r="Z25" i="27" s="1"/>
  <c r="AI327" i="13"/>
  <c r="AH82" i="13"/>
  <c r="I16" i="24" s="1"/>
  <c r="AH171" i="13"/>
  <c r="AD171" i="13" s="1"/>
  <c r="J53" i="26" s="1"/>
  <c r="J52" i="27" s="1"/>
  <c r="X52" i="27" s="1"/>
  <c r="AI108" i="13"/>
  <c r="AH220" i="13"/>
  <c r="AI184" i="13"/>
  <c r="AD184" i="13" s="1"/>
  <c r="K14" i="26" s="1"/>
  <c r="AI255" i="13"/>
  <c r="AI150" i="13"/>
  <c r="AD150" i="13" s="1"/>
  <c r="J32" i="26" s="1"/>
  <c r="J31" i="27" s="1"/>
  <c r="X31" i="27" s="1"/>
  <c r="AI318" i="13"/>
  <c r="AH203" i="13"/>
  <c r="AI258" i="13"/>
  <c r="AH88" i="13"/>
  <c r="I22" i="24" s="1"/>
  <c r="AH92" i="13"/>
  <c r="I26" i="24" s="1"/>
  <c r="AH262" i="13"/>
  <c r="AH259" i="13"/>
  <c r="AH290" i="13"/>
  <c r="AD290" i="13" s="1"/>
  <c r="M14" i="26" s="1"/>
  <c r="AH319" i="13"/>
  <c r="AI116" i="11"/>
  <c r="AD116" i="11" s="1"/>
  <c r="C50" i="26" s="1"/>
  <c r="AI294" i="11"/>
  <c r="AD294" i="11" s="1"/>
  <c r="G18" i="26" s="1"/>
  <c r="AH268" i="11"/>
  <c r="AD268" i="11" s="1"/>
  <c r="F45" i="26" s="1"/>
  <c r="AH234" i="11"/>
  <c r="AD234" i="11" s="1"/>
  <c r="F11" i="26" s="1"/>
  <c r="AI117" i="11"/>
  <c r="AD117" i="11" s="1"/>
  <c r="C51" i="26" s="1"/>
  <c r="AH219" i="11"/>
  <c r="E49" i="24" s="1"/>
  <c r="AH105" i="11"/>
  <c r="AD105" i="11" s="1"/>
  <c r="C39" i="26" s="1"/>
  <c r="AI310" i="11"/>
  <c r="AD310" i="11" s="1"/>
  <c r="G34" i="26" s="1"/>
  <c r="J30" i="24"/>
  <c r="J32" i="24"/>
  <c r="AH262" i="11"/>
  <c r="AI262" i="11"/>
  <c r="D53" i="24"/>
  <c r="AD171" i="11"/>
  <c r="D53" i="26" s="1"/>
  <c r="F37" i="24"/>
  <c r="U28" i="15"/>
  <c r="B31" i="14"/>
  <c r="B25" i="14"/>
  <c r="AH164" i="13"/>
  <c r="AD164" i="13" s="1"/>
  <c r="J46" i="26" s="1"/>
  <c r="J45" i="27" s="1"/>
  <c r="X45" i="27" s="1"/>
  <c r="J23" i="24"/>
  <c r="AH167" i="11"/>
  <c r="L32" i="24"/>
  <c r="AH241" i="11"/>
  <c r="AI241" i="11"/>
  <c r="AI101" i="11"/>
  <c r="AH101" i="11"/>
  <c r="AH111" i="11"/>
  <c r="AI111" i="11"/>
  <c r="AI142" i="11"/>
  <c r="AH142" i="11"/>
  <c r="C50" i="24"/>
  <c r="AI259" i="11"/>
  <c r="AH259" i="11"/>
  <c r="AI138" i="11"/>
  <c r="AH138" i="11"/>
  <c r="AI152" i="11"/>
  <c r="AH152" i="11"/>
  <c r="C13" i="24"/>
  <c r="AD79" i="11"/>
  <c r="C13" i="26" s="1"/>
  <c r="C22" i="24"/>
  <c r="AD88" i="11"/>
  <c r="C22" i="26" s="1"/>
  <c r="B10" i="14"/>
  <c r="O40" i="14"/>
  <c r="AH111" i="13"/>
  <c r="I45" i="24" s="1"/>
  <c r="O36" i="14"/>
  <c r="AH94" i="11"/>
  <c r="AI94" i="11"/>
  <c r="AH246" i="11"/>
  <c r="AI246" i="11"/>
  <c r="AH298" i="11"/>
  <c r="AI298" i="11"/>
  <c r="G34" i="24"/>
  <c r="AH114" i="11"/>
  <c r="AI114" i="11"/>
  <c r="AH213" i="11"/>
  <c r="E43" i="24" s="1"/>
  <c r="AI213" i="11"/>
  <c r="E20" i="24"/>
  <c r="J11" i="24"/>
  <c r="J19" i="24"/>
  <c r="B40" i="14"/>
  <c r="B16" i="14"/>
  <c r="O10" i="14"/>
  <c r="AE10" i="15" s="1"/>
  <c r="O25" i="14"/>
  <c r="F19" i="24"/>
  <c r="AD242" i="11"/>
  <c r="F19" i="26" s="1"/>
  <c r="G44" i="24"/>
  <c r="AD320" i="11"/>
  <c r="G44" i="26" s="1"/>
  <c r="AH100" i="11"/>
  <c r="AI100" i="11"/>
  <c r="AI170" i="11"/>
  <c r="AH170" i="11"/>
  <c r="AI315" i="11"/>
  <c r="AH315" i="11"/>
  <c r="AH326" i="11"/>
  <c r="AI326" i="11"/>
  <c r="C40" i="24"/>
  <c r="AH84" i="11"/>
  <c r="AI84" i="11"/>
  <c r="K49" i="24"/>
  <c r="L43" i="24"/>
  <c r="B36" i="14"/>
  <c r="M32" i="24"/>
  <c r="AH119" i="13"/>
  <c r="I53" i="24" s="1"/>
  <c r="AI161" i="11"/>
  <c r="AH161" i="11"/>
  <c r="AI143" i="11"/>
  <c r="AH143" i="11"/>
  <c r="AH92" i="11"/>
  <c r="AI92" i="11"/>
  <c r="AH322" i="11"/>
  <c r="AI322" i="11"/>
  <c r="AI207" i="11"/>
  <c r="AH207" i="11"/>
  <c r="E37" i="24" s="1"/>
  <c r="C32" i="24"/>
  <c r="AD98" i="11"/>
  <c r="C32" i="26" s="1"/>
  <c r="F26" i="24"/>
  <c r="AD249" i="11"/>
  <c r="F26" i="26" s="1"/>
  <c r="M52" i="24"/>
  <c r="J17" i="24"/>
  <c r="AI181" i="11"/>
  <c r="AH181" i="11"/>
  <c r="G15" i="24"/>
  <c r="G53" i="24"/>
  <c r="AD329" i="11"/>
  <c r="G53" i="26" s="1"/>
  <c r="M33" i="24"/>
  <c r="L45" i="24"/>
  <c r="AH323" i="13"/>
  <c r="J50" i="24"/>
  <c r="AI328" i="11"/>
  <c r="AH328" i="11"/>
  <c r="AI194" i="11"/>
  <c r="AH194" i="11"/>
  <c r="AH311" i="11"/>
  <c r="AI311" i="11"/>
  <c r="AH193" i="11"/>
  <c r="AI193" i="11"/>
  <c r="M51" i="24"/>
  <c r="AI236" i="11"/>
  <c r="AH236" i="11"/>
  <c r="C51" i="24"/>
  <c r="AI316" i="11"/>
  <c r="AH316" i="11"/>
  <c r="E17" i="24"/>
  <c r="AD187" i="11"/>
  <c r="E17" i="26" s="1"/>
  <c r="AI162" i="11"/>
  <c r="AH162" i="11"/>
  <c r="F46" i="24"/>
  <c r="AH301" i="11"/>
  <c r="AI301" i="11"/>
  <c r="AI258" i="11"/>
  <c r="AH258" i="11"/>
  <c r="AD139" i="13"/>
  <c r="J21" i="26" s="1"/>
  <c r="L12" i="24"/>
  <c r="J35" i="24"/>
  <c r="L53" i="24"/>
  <c r="AH303" i="11"/>
  <c r="AI303" i="11"/>
  <c r="AH147" i="11"/>
  <c r="AI147" i="11"/>
  <c r="AH180" i="11"/>
  <c r="AI180" i="11"/>
  <c r="AH135" i="11"/>
  <c r="AI135" i="11"/>
  <c r="AH137" i="11"/>
  <c r="AI137" i="11"/>
  <c r="G18" i="24"/>
  <c r="AI208" i="11"/>
  <c r="AH208" i="11"/>
  <c r="E38" i="24" s="1"/>
  <c r="AH183" i="11"/>
  <c r="AI183" i="11"/>
  <c r="G42" i="24"/>
  <c r="D13" i="24"/>
  <c r="AH216" i="13"/>
  <c r="AI216" i="13"/>
  <c r="AH134" i="11"/>
  <c r="AI134" i="11"/>
  <c r="AI77" i="11"/>
  <c r="AH77" i="11"/>
  <c r="AH99" i="11"/>
  <c r="AI99" i="11"/>
  <c r="AI146" i="13"/>
  <c r="AH146" i="13"/>
  <c r="J28" i="24" s="1"/>
  <c r="AH295" i="11"/>
  <c r="AI295" i="11"/>
  <c r="AI198" i="11"/>
  <c r="AH198" i="11"/>
  <c r="AH189" i="11"/>
  <c r="AI189" i="11"/>
  <c r="AH307" i="11"/>
  <c r="AI307" i="11"/>
  <c r="O31" i="14"/>
  <c r="AI319" i="11"/>
  <c r="AH319" i="11"/>
  <c r="AI325" i="11"/>
  <c r="AH325" i="11"/>
  <c r="AI267" i="11"/>
  <c r="AH267" i="11"/>
  <c r="AH302" i="11"/>
  <c r="AI302" i="11"/>
  <c r="AI129" i="11"/>
  <c r="AH129" i="11"/>
  <c r="AH233" i="11"/>
  <c r="AI233" i="11"/>
  <c r="AH203" i="11"/>
  <c r="AI203" i="11"/>
  <c r="AH154" i="11"/>
  <c r="AI154" i="11"/>
  <c r="V36" i="15"/>
  <c r="AI95" i="11"/>
  <c r="AH95" i="11"/>
  <c r="AI271" i="11"/>
  <c r="AH271" i="11"/>
  <c r="AH300" i="13"/>
  <c r="AI300" i="13"/>
  <c r="AH165" i="11"/>
  <c r="AI165" i="11"/>
  <c r="M132" i="5"/>
  <c r="AI157" i="11"/>
  <c r="AH157" i="11"/>
  <c r="AI305" i="11"/>
  <c r="AH305" i="11"/>
  <c r="AI235" i="11"/>
  <c r="AH235" i="11"/>
  <c r="AI211" i="11"/>
  <c r="AH211" i="11"/>
  <c r="E41" i="24" s="1"/>
  <c r="B28" i="14"/>
  <c r="AI251" i="11"/>
  <c r="AH251" i="11"/>
  <c r="AI312" i="11"/>
  <c r="AH312" i="11"/>
  <c r="AH107" i="11"/>
  <c r="AI107" i="11"/>
  <c r="B11" i="15"/>
  <c r="B11" i="27" s="1"/>
  <c r="P11" i="27" s="1"/>
  <c r="AH97" i="11"/>
  <c r="AI97" i="11"/>
  <c r="E132" i="5"/>
  <c r="AI223" i="13"/>
  <c r="AH223" i="13"/>
  <c r="AI314" i="11"/>
  <c r="AH314" i="11"/>
  <c r="AH119" i="11"/>
  <c r="AI119" i="11"/>
  <c r="O16" i="14"/>
  <c r="AE16" i="15" s="1"/>
  <c r="O132" i="5"/>
  <c r="AI164" i="11"/>
  <c r="AH164" i="11"/>
  <c r="AI160" i="11"/>
  <c r="AH160" i="11"/>
  <c r="J31" i="24"/>
  <c r="J48" i="24"/>
  <c r="J21" i="24"/>
  <c r="O33" i="14"/>
  <c r="O20" i="14"/>
  <c r="AE20" i="15" s="1"/>
  <c r="B15" i="14"/>
  <c r="O12" i="14"/>
  <c r="AE12" i="15" s="1"/>
  <c r="O9" i="14"/>
  <c r="AE9" i="15" s="1"/>
  <c r="B44" i="14"/>
  <c r="O26" i="14"/>
  <c r="B26" i="14"/>
  <c r="B22" i="14"/>
  <c r="O22" i="14"/>
  <c r="O15" i="14"/>
  <c r="AE15" i="15" s="1"/>
  <c r="O44" i="14"/>
  <c r="U12" i="15"/>
  <c r="U44" i="15"/>
  <c r="B46" i="14"/>
  <c r="B20" i="14"/>
  <c r="O46" i="14"/>
  <c r="U13" i="15"/>
  <c r="B13" i="14"/>
  <c r="B35" i="14"/>
  <c r="L133" i="5"/>
  <c r="M133" i="5" s="1"/>
  <c r="B133" i="5"/>
  <c r="D133" i="5"/>
  <c r="N133" i="5"/>
  <c r="O133" i="5" s="1"/>
  <c r="Z28" i="15"/>
  <c r="H18" i="15"/>
  <c r="H22" i="15"/>
  <c r="H27" i="15"/>
  <c r="Z31" i="15"/>
  <c r="AC50" i="15"/>
  <c r="Z27" i="15"/>
  <c r="Z43" i="15"/>
  <c r="Z30" i="15"/>
  <c r="Z39" i="15"/>
  <c r="Z35" i="15"/>
  <c r="H16" i="15"/>
  <c r="H30" i="15"/>
  <c r="H48" i="15"/>
  <c r="H32" i="15"/>
  <c r="H51" i="15"/>
  <c r="H46" i="15"/>
  <c r="AB43" i="15"/>
  <c r="H9" i="15"/>
  <c r="H38" i="15"/>
  <c r="Z32" i="15"/>
  <c r="H14" i="15"/>
  <c r="H28" i="15"/>
  <c r="AU65" i="11"/>
  <c r="V66" i="11"/>
  <c r="AF66" i="11"/>
  <c r="K67" i="11"/>
  <c r="Q67" i="11" s="1"/>
  <c r="L56" i="11"/>
  <c r="H36" i="15"/>
  <c r="Z46" i="15"/>
  <c r="Z51" i="15"/>
  <c r="H41" i="15"/>
  <c r="H12" i="15"/>
  <c r="H50" i="15"/>
  <c r="H25" i="15"/>
  <c r="H17" i="15"/>
  <c r="H43" i="15"/>
  <c r="AB50" i="15"/>
  <c r="Z41" i="15"/>
  <c r="Z37" i="15"/>
  <c r="H49" i="15"/>
  <c r="Z49" i="15"/>
  <c r="H39" i="15"/>
  <c r="H24" i="15"/>
  <c r="H23" i="15"/>
  <c r="H11" i="15"/>
  <c r="Z47" i="15"/>
  <c r="H42" i="15"/>
  <c r="H20" i="15"/>
  <c r="Z44" i="15"/>
  <c r="H33" i="15"/>
  <c r="H37" i="15"/>
  <c r="H26" i="15"/>
  <c r="H45" i="15"/>
  <c r="H21" i="15"/>
  <c r="H10" i="15"/>
  <c r="H13" i="15"/>
  <c r="H52" i="15"/>
  <c r="Z34" i="15"/>
  <c r="H19" i="15"/>
  <c r="H34" i="15"/>
  <c r="H47" i="15"/>
  <c r="Z42" i="15"/>
  <c r="Z33" i="15"/>
  <c r="H29" i="15"/>
  <c r="H44" i="15"/>
  <c r="AB52" i="15"/>
  <c r="H15" i="15"/>
  <c r="H35" i="15"/>
  <c r="AB47" i="15"/>
  <c r="H31" i="15"/>
  <c r="Z29" i="15"/>
  <c r="AD55" i="1"/>
  <c r="AR53" i="11"/>
  <c r="AO53" i="11"/>
  <c r="AQ53" i="11"/>
  <c r="AN53" i="11"/>
  <c r="AP53" i="11"/>
  <c r="B54" i="11"/>
  <c r="V133" i="5"/>
  <c r="W133" i="5" s="1"/>
  <c r="A40" i="5"/>
  <c r="A41" i="5" s="1"/>
  <c r="A42" i="5" s="1"/>
  <c r="A43" i="5" s="1"/>
  <c r="X133" i="5"/>
  <c r="Y133" i="5" s="1"/>
  <c r="F70" i="5"/>
  <c r="H70" i="5"/>
  <c r="Z70" i="5"/>
  <c r="P70" i="5"/>
  <c r="A71" i="5"/>
  <c r="AB70" i="5"/>
  <c r="R70" i="5"/>
  <c r="U18" i="5"/>
  <c r="AA66" i="11"/>
  <c r="AB308" i="13" l="1" a="1"/>
  <c r="AB308" i="13" s="1"/>
  <c r="AB313" i="13" a="1"/>
  <c r="AB313" i="13" s="1"/>
  <c r="G33" i="24"/>
  <c r="H9" i="27"/>
  <c r="V9" i="27" s="1"/>
  <c r="H22" i="27"/>
  <c r="V22" i="27" s="1"/>
  <c r="H40" i="27"/>
  <c r="V40" i="27" s="1"/>
  <c r="H37" i="27"/>
  <c r="V37" i="27" s="1"/>
  <c r="H39" i="27"/>
  <c r="V39" i="27" s="1"/>
  <c r="H44" i="27"/>
  <c r="V44" i="27" s="1"/>
  <c r="H52" i="27"/>
  <c r="V52" i="27" s="1"/>
  <c r="H50" i="27"/>
  <c r="V50" i="27" s="1"/>
  <c r="H18" i="27"/>
  <c r="V18" i="27" s="1"/>
  <c r="H29" i="27"/>
  <c r="V29" i="27" s="1"/>
  <c r="H13" i="27"/>
  <c r="V13" i="27" s="1"/>
  <c r="H20" i="27"/>
  <c r="V20" i="27" s="1"/>
  <c r="H49" i="27"/>
  <c r="V49" i="27" s="1"/>
  <c r="H12" i="27"/>
  <c r="V12" i="27" s="1"/>
  <c r="H46" i="27"/>
  <c r="V46" i="27" s="1"/>
  <c r="H10" i="27"/>
  <c r="V10" i="27" s="1"/>
  <c r="H42" i="27"/>
  <c r="V42" i="27" s="1"/>
  <c r="H41" i="27"/>
  <c r="V41" i="27" s="1"/>
  <c r="H51" i="27"/>
  <c r="V51" i="27" s="1"/>
  <c r="H15" i="27"/>
  <c r="V15" i="27" s="1"/>
  <c r="H24" i="27"/>
  <c r="V24" i="27" s="1"/>
  <c r="H21" i="27"/>
  <c r="V21" i="27" s="1"/>
  <c r="H28" i="27"/>
  <c r="V28" i="27" s="1"/>
  <c r="H32" i="27"/>
  <c r="V32" i="27" s="1"/>
  <c r="H19" i="27"/>
  <c r="V19" i="27" s="1"/>
  <c r="H17" i="27"/>
  <c r="V17" i="27" s="1"/>
  <c r="H33" i="27"/>
  <c r="V33" i="27" s="1"/>
  <c r="H47" i="27"/>
  <c r="V47" i="27" s="1"/>
  <c r="H45" i="27"/>
  <c r="V45" i="27" s="1"/>
  <c r="H11" i="27"/>
  <c r="V11" i="27" s="1"/>
  <c r="H14" i="27"/>
  <c r="V14" i="27" s="1"/>
  <c r="H48" i="27"/>
  <c r="V48" i="27" s="1"/>
  <c r="H31" i="27"/>
  <c r="V31" i="27" s="1"/>
  <c r="H35" i="27"/>
  <c r="V35" i="27" s="1"/>
  <c r="H34" i="27"/>
  <c r="V34" i="27" s="1"/>
  <c r="H26" i="27"/>
  <c r="V26" i="27" s="1"/>
  <c r="H23" i="27"/>
  <c r="V23" i="27" s="1"/>
  <c r="H43" i="27"/>
  <c r="V43" i="27" s="1"/>
  <c r="H36" i="27"/>
  <c r="V36" i="27" s="1"/>
  <c r="H30" i="27"/>
  <c r="V30" i="27" s="1"/>
  <c r="H38" i="27"/>
  <c r="V38" i="27" s="1"/>
  <c r="H16" i="27"/>
  <c r="V16" i="27" s="1"/>
  <c r="H27" i="27"/>
  <c r="V27" i="27" s="1"/>
  <c r="J43" i="24"/>
  <c r="L10" i="24"/>
  <c r="F32" i="24"/>
  <c r="G14" i="24"/>
  <c r="D50" i="24"/>
  <c r="J39" i="24"/>
  <c r="M27" i="24"/>
  <c r="L24" i="24"/>
  <c r="J41" i="24"/>
  <c r="N40" i="14"/>
  <c r="N43" i="14"/>
  <c r="N37" i="14"/>
  <c r="M26" i="24"/>
  <c r="H26" i="24" s="1"/>
  <c r="N9" i="14"/>
  <c r="D22" i="24"/>
  <c r="C38" i="24"/>
  <c r="K18" i="24"/>
  <c r="N30" i="14"/>
  <c r="J34" i="24"/>
  <c r="R13" i="15"/>
  <c r="L25" i="24"/>
  <c r="N39" i="14"/>
  <c r="N50" i="14"/>
  <c r="N36" i="14"/>
  <c r="J52" i="24"/>
  <c r="F40" i="24"/>
  <c r="F20" i="24"/>
  <c r="J12" i="24"/>
  <c r="F52" i="24"/>
  <c r="C15" i="24"/>
  <c r="D30" i="24"/>
  <c r="L28" i="24"/>
  <c r="H28" i="24" s="1"/>
  <c r="N33" i="14"/>
  <c r="D12" i="24"/>
  <c r="R42" i="15"/>
  <c r="N18" i="14"/>
  <c r="AD308" i="11"/>
  <c r="G32" i="26" s="1"/>
  <c r="F30" i="24"/>
  <c r="L13" i="24"/>
  <c r="X40" i="15"/>
  <c r="M25" i="24"/>
  <c r="E21" i="24"/>
  <c r="M11" i="24"/>
  <c r="J14" i="24"/>
  <c r="E14" i="24"/>
  <c r="F25" i="24"/>
  <c r="M21" i="24"/>
  <c r="H21" i="24" s="1"/>
  <c r="E22" i="24"/>
  <c r="N27" i="14"/>
  <c r="M18" i="24"/>
  <c r="N41" i="14"/>
  <c r="M39" i="24"/>
  <c r="R27" i="15"/>
  <c r="D28" i="24"/>
  <c r="N31" i="14"/>
  <c r="M38" i="24"/>
  <c r="G16" i="24"/>
  <c r="R18" i="15"/>
  <c r="AD288" i="13"/>
  <c r="M12" i="26" s="1"/>
  <c r="D48" i="24"/>
  <c r="N24" i="14"/>
  <c r="N22" i="14"/>
  <c r="N11" i="14"/>
  <c r="R24" i="15"/>
  <c r="M49" i="24"/>
  <c r="H49" i="24" s="1"/>
  <c r="N46" i="14"/>
  <c r="K15" i="24"/>
  <c r="R10" i="15"/>
  <c r="N49" i="14"/>
  <c r="G24" i="24"/>
  <c r="M20" i="24"/>
  <c r="F11" i="24"/>
  <c r="L20" i="24"/>
  <c r="AD240" i="13"/>
  <c r="L17" i="26" s="1"/>
  <c r="R45" i="15"/>
  <c r="R17" i="15"/>
  <c r="L15" i="24"/>
  <c r="K22" i="24"/>
  <c r="L30" i="24"/>
  <c r="N38" i="14"/>
  <c r="N51" i="14"/>
  <c r="R25" i="15"/>
  <c r="J51" i="24"/>
  <c r="H51" i="24" s="1"/>
  <c r="M48" i="24"/>
  <c r="D37" i="24"/>
  <c r="R40" i="15"/>
  <c r="R31" i="15"/>
  <c r="D27" i="24"/>
  <c r="N12" i="14"/>
  <c r="N32" i="14"/>
  <c r="R12" i="15"/>
  <c r="R35" i="15"/>
  <c r="K12" i="24"/>
  <c r="R41" i="15"/>
  <c r="N52" i="14"/>
  <c r="L23" i="24"/>
  <c r="N21" i="14"/>
  <c r="R39" i="15"/>
  <c r="N47" i="14"/>
  <c r="N17" i="14"/>
  <c r="R47" i="15"/>
  <c r="AD292" i="13"/>
  <c r="M16" i="26" s="1"/>
  <c r="AD256" i="11"/>
  <c r="F33" i="26" s="1"/>
  <c r="AD254" i="11"/>
  <c r="F31" i="26" s="1"/>
  <c r="R21" i="15"/>
  <c r="J15" i="24"/>
  <c r="E29" i="24"/>
  <c r="K52" i="24"/>
  <c r="N42" i="14"/>
  <c r="H25" i="27"/>
  <c r="V25" i="27" s="1"/>
  <c r="R37" i="15"/>
  <c r="R26" i="15"/>
  <c r="G51" i="24"/>
  <c r="R19" i="15"/>
  <c r="N29" i="14"/>
  <c r="X16" i="15"/>
  <c r="R51" i="15"/>
  <c r="X9" i="15"/>
  <c r="X22" i="15"/>
  <c r="R15" i="15"/>
  <c r="J44" i="24"/>
  <c r="H44" i="24" s="1"/>
  <c r="K35" i="24"/>
  <c r="H35" i="24" s="1"/>
  <c r="R29" i="15"/>
  <c r="X13" i="15"/>
  <c r="X49" i="15"/>
  <c r="X12" i="15"/>
  <c r="X18" i="15"/>
  <c r="J42" i="24"/>
  <c r="R28" i="15"/>
  <c r="M22" i="24"/>
  <c r="D35" i="24"/>
  <c r="R33" i="15"/>
  <c r="AD266" i="11"/>
  <c r="F43" i="26" s="1"/>
  <c r="F43" i="24"/>
  <c r="J45" i="24"/>
  <c r="H45" i="24" s="1"/>
  <c r="R11" i="15"/>
  <c r="X45" i="15"/>
  <c r="G11" i="24"/>
  <c r="R49" i="15"/>
  <c r="D51" i="24"/>
  <c r="R43" i="15"/>
  <c r="R30" i="15"/>
  <c r="X33" i="15"/>
  <c r="X39" i="15"/>
  <c r="X27" i="15"/>
  <c r="H32" i="24"/>
  <c r="R32" i="15"/>
  <c r="N19" i="14"/>
  <c r="R38" i="15"/>
  <c r="R9" i="15"/>
  <c r="X34" i="15"/>
  <c r="X26" i="15"/>
  <c r="X43" i="15"/>
  <c r="N44" i="14"/>
  <c r="J18" i="24"/>
  <c r="D23" i="24"/>
  <c r="AD289" i="11"/>
  <c r="G13" i="26" s="1"/>
  <c r="AD180" i="13"/>
  <c r="K10" i="26" s="1"/>
  <c r="K10" i="24"/>
  <c r="X10" i="15"/>
  <c r="D14" i="24"/>
  <c r="H16" i="24"/>
  <c r="X36" i="15"/>
  <c r="H37" i="24"/>
  <c r="H31" i="24"/>
  <c r="J20" i="24"/>
  <c r="F21" i="24"/>
  <c r="N25" i="14"/>
  <c r="R50" i="15"/>
  <c r="R48" i="15"/>
  <c r="N48" i="14"/>
  <c r="J47" i="24"/>
  <c r="K50" i="24"/>
  <c r="H50" i="24" s="1"/>
  <c r="K17" i="24"/>
  <c r="H17" i="24" s="1"/>
  <c r="M10" i="24"/>
  <c r="R14" i="15"/>
  <c r="X25" i="15"/>
  <c r="K42" i="24"/>
  <c r="N28" i="14"/>
  <c r="J36" i="24"/>
  <c r="L11" i="24"/>
  <c r="R52" i="15"/>
  <c r="J33" i="24"/>
  <c r="R16" i="15"/>
  <c r="M23" i="24"/>
  <c r="X28" i="15"/>
  <c r="L19" i="24"/>
  <c r="H19" i="24" s="1"/>
  <c r="M30" i="24"/>
  <c r="J13" i="24"/>
  <c r="C23" i="24"/>
  <c r="AD191" i="13"/>
  <c r="K21" i="26" s="1"/>
  <c r="AD321" i="11"/>
  <c r="G45" i="26" s="1"/>
  <c r="K20" i="24"/>
  <c r="N10" i="14"/>
  <c r="J29" i="24"/>
  <c r="H29" i="24" s="1"/>
  <c r="K39" i="24"/>
  <c r="AD202" i="11"/>
  <c r="E32" i="26" s="1"/>
  <c r="E32" i="24"/>
  <c r="D32" i="24"/>
  <c r="N45" i="14"/>
  <c r="N20" i="14"/>
  <c r="R23" i="15"/>
  <c r="AD113" i="11"/>
  <c r="C47" i="26" s="1"/>
  <c r="C47" i="24"/>
  <c r="X32" i="15"/>
  <c r="C25" i="24"/>
  <c r="E12" i="24"/>
  <c r="AD182" i="11"/>
  <c r="E12" i="26" s="1"/>
  <c r="F53" i="24"/>
  <c r="AD276" i="11"/>
  <c r="F53" i="26" s="1"/>
  <c r="G37" i="24"/>
  <c r="M36" i="24"/>
  <c r="R34" i="15"/>
  <c r="G28" i="24"/>
  <c r="K11" i="24"/>
  <c r="N16" i="14"/>
  <c r="G47" i="24"/>
  <c r="J40" i="24"/>
  <c r="C39" i="24"/>
  <c r="F45" i="24"/>
  <c r="M14" i="24"/>
  <c r="L48" i="24"/>
  <c r="R22" i="15"/>
  <c r="N34" i="14"/>
  <c r="K41" i="24"/>
  <c r="D40" i="24"/>
  <c r="F15" i="24"/>
  <c r="AD238" i="11"/>
  <c r="F15" i="26" s="1"/>
  <c r="L40" i="24"/>
  <c r="L42" i="24"/>
  <c r="M34" i="24"/>
  <c r="F49" i="24"/>
  <c r="R36" i="15"/>
  <c r="K27" i="24"/>
  <c r="AD155" i="13"/>
  <c r="J37" i="26" s="1"/>
  <c r="J36" i="27" s="1"/>
  <c r="X36" i="27" s="1"/>
  <c r="AD200" i="11"/>
  <c r="E30" i="26" s="1"/>
  <c r="AD151" i="11"/>
  <c r="D33" i="26" s="1"/>
  <c r="AD291" i="13"/>
  <c r="M15" i="26" s="1"/>
  <c r="M15" i="24"/>
  <c r="N23" i="14"/>
  <c r="L36" i="24"/>
  <c r="F17" i="24"/>
  <c r="J24" i="24"/>
  <c r="AD186" i="11"/>
  <c r="E16" i="26" s="1"/>
  <c r="C20" i="24"/>
  <c r="AD86" i="11"/>
  <c r="C20" i="26" s="1"/>
  <c r="C14" i="24"/>
  <c r="AD80" i="11"/>
  <c r="C14" i="26" s="1"/>
  <c r="K33" i="24"/>
  <c r="J53" i="24"/>
  <c r="J38" i="24"/>
  <c r="M43" i="24"/>
  <c r="L39" i="24"/>
  <c r="D21" i="24"/>
  <c r="AD139" i="11"/>
  <c r="D21" i="26" s="1"/>
  <c r="E35" i="24"/>
  <c r="AD205" i="11"/>
  <c r="E35" i="26" s="1"/>
  <c r="J46" i="24"/>
  <c r="F51" i="24"/>
  <c r="AD274" i="11"/>
  <c r="F51" i="26" s="1"/>
  <c r="AD146" i="13"/>
  <c r="J28" i="26" s="1"/>
  <c r="J27" i="27" s="1"/>
  <c r="X27" i="27" s="1"/>
  <c r="E28" i="24"/>
  <c r="AD198" i="11"/>
  <c r="E28" i="26" s="1"/>
  <c r="D44" i="24"/>
  <c r="AD162" i="11"/>
  <c r="D44" i="26" s="1"/>
  <c r="C41" i="24"/>
  <c r="B41" i="24" s="1"/>
  <c r="AD107" i="11"/>
  <c r="C41" i="26" s="1"/>
  <c r="E13" i="24"/>
  <c r="AD183" i="11"/>
  <c r="E13" i="26" s="1"/>
  <c r="G27" i="24"/>
  <c r="AD303" i="11"/>
  <c r="G27" i="26" s="1"/>
  <c r="C26" i="24"/>
  <c r="AD92" i="11"/>
  <c r="C26" i="26" s="1"/>
  <c r="G39" i="24"/>
  <c r="AD315" i="11"/>
  <c r="G39" i="26" s="1"/>
  <c r="D24" i="24"/>
  <c r="AD142" i="11"/>
  <c r="D24" i="26" s="1"/>
  <c r="G36" i="24"/>
  <c r="AD312" i="11"/>
  <c r="G36" i="26" s="1"/>
  <c r="F12" i="24"/>
  <c r="AD235" i="11"/>
  <c r="F12" i="26" s="1"/>
  <c r="D47" i="24"/>
  <c r="AD165" i="11"/>
  <c r="D47" i="26" s="1"/>
  <c r="G52" i="24"/>
  <c r="AD328" i="11"/>
  <c r="G52" i="26" s="1"/>
  <c r="D25" i="24"/>
  <c r="AD143" i="11"/>
  <c r="D25" i="26" s="1"/>
  <c r="G22" i="24"/>
  <c r="AD298" i="11"/>
  <c r="G22" i="26" s="1"/>
  <c r="F18" i="24"/>
  <c r="AD241" i="11"/>
  <c r="F18" i="26" s="1"/>
  <c r="E24" i="24"/>
  <c r="AD194" i="11"/>
  <c r="E24" i="26" s="1"/>
  <c r="N15" i="14"/>
  <c r="K53" i="24"/>
  <c r="D19" i="24"/>
  <c r="AD137" i="11"/>
  <c r="D19" i="26" s="1"/>
  <c r="F35" i="24"/>
  <c r="AD258" i="11"/>
  <c r="F35" i="26" s="1"/>
  <c r="C18" i="24"/>
  <c r="AD84" i="11"/>
  <c r="C18" i="26" s="1"/>
  <c r="D34" i="24"/>
  <c r="AD152" i="11"/>
  <c r="D34" i="26" s="1"/>
  <c r="D49" i="24"/>
  <c r="AD167" i="11"/>
  <c r="D49" i="26" s="1"/>
  <c r="D36" i="24"/>
  <c r="AD154" i="11"/>
  <c r="D36" i="26" s="1"/>
  <c r="G26" i="24"/>
  <c r="AD302" i="11"/>
  <c r="G26" i="26" s="1"/>
  <c r="G19" i="24"/>
  <c r="AD295" i="11"/>
  <c r="G19" i="26" s="1"/>
  <c r="D16" i="24"/>
  <c r="AD134" i="11"/>
  <c r="D16" i="26" s="1"/>
  <c r="D17" i="24"/>
  <c r="B17" i="24" s="1"/>
  <c r="AD135" i="11"/>
  <c r="D17" i="26" s="1"/>
  <c r="M47" i="24"/>
  <c r="D52" i="24"/>
  <c r="AD170" i="11"/>
  <c r="D52" i="26" s="1"/>
  <c r="D20" i="24"/>
  <c r="AD138" i="11"/>
  <c r="D20" i="26" s="1"/>
  <c r="D46" i="24"/>
  <c r="AD164" i="11"/>
  <c r="D46" i="26" s="1"/>
  <c r="M24" i="24"/>
  <c r="AD300" i="13"/>
  <c r="M24" i="26" s="1"/>
  <c r="F44" i="24"/>
  <c r="AD267" i="11"/>
  <c r="F44" i="26" s="1"/>
  <c r="G25" i="24"/>
  <c r="AD301" i="11"/>
  <c r="G25" i="26" s="1"/>
  <c r="E11" i="24"/>
  <c r="AD181" i="11"/>
  <c r="E11" i="26" s="1"/>
  <c r="D43" i="24"/>
  <c r="AD161" i="11"/>
  <c r="D43" i="26" s="1"/>
  <c r="F23" i="24"/>
  <c r="AD246" i="11"/>
  <c r="F23" i="26" s="1"/>
  <c r="G43" i="24"/>
  <c r="AD319" i="11"/>
  <c r="G43" i="26" s="1"/>
  <c r="C11" i="24"/>
  <c r="AD77" i="11"/>
  <c r="C11" i="26" s="1"/>
  <c r="F28" i="24"/>
  <c r="AD251" i="11"/>
  <c r="F28" i="26" s="1"/>
  <c r="F48" i="24"/>
  <c r="AD271" i="11"/>
  <c r="F48" i="26" s="1"/>
  <c r="G31" i="24"/>
  <c r="AD307" i="11"/>
  <c r="G31" i="26" s="1"/>
  <c r="K46" i="24"/>
  <c r="E23" i="24"/>
  <c r="AD193" i="11"/>
  <c r="E23" i="26" s="1"/>
  <c r="F36" i="24"/>
  <c r="AD259" i="11"/>
  <c r="F36" i="26" s="1"/>
  <c r="F39" i="24"/>
  <c r="AD262" i="11"/>
  <c r="F39" i="26" s="1"/>
  <c r="D11" i="24"/>
  <c r="AD129" i="11"/>
  <c r="D11" i="26" s="1"/>
  <c r="G50" i="24"/>
  <c r="AD326" i="11"/>
  <c r="G50" i="26" s="1"/>
  <c r="G29" i="24"/>
  <c r="AD305" i="11"/>
  <c r="G29" i="26" s="1"/>
  <c r="G40" i="24"/>
  <c r="AD316" i="11"/>
  <c r="G40" i="26" s="1"/>
  <c r="E33" i="24"/>
  <c r="AD203" i="11"/>
  <c r="E33" i="26" s="1"/>
  <c r="E10" i="24"/>
  <c r="AD180" i="11"/>
  <c r="E10" i="26" s="1"/>
  <c r="D42" i="24"/>
  <c r="B42" i="24" s="1"/>
  <c r="AD160" i="11"/>
  <c r="D42" i="26" s="1"/>
  <c r="C53" i="24"/>
  <c r="AD119" i="11"/>
  <c r="C53" i="26" s="1"/>
  <c r="C31" i="24"/>
  <c r="AD97" i="11"/>
  <c r="C31" i="26" s="1"/>
  <c r="D39" i="24"/>
  <c r="AD157" i="11"/>
  <c r="D39" i="26" s="1"/>
  <c r="G49" i="24"/>
  <c r="AD325" i="11"/>
  <c r="G49" i="26" s="1"/>
  <c r="C34" i="24"/>
  <c r="AD100" i="11"/>
  <c r="C34" i="26" s="1"/>
  <c r="C48" i="24"/>
  <c r="AD114" i="11"/>
  <c r="C48" i="26" s="1"/>
  <c r="C28" i="24"/>
  <c r="AD94" i="11"/>
  <c r="C28" i="26" s="1"/>
  <c r="C45" i="24"/>
  <c r="AD111" i="11"/>
  <c r="C45" i="26" s="1"/>
  <c r="F13" i="24"/>
  <c r="AD236" i="11"/>
  <c r="F13" i="26" s="1"/>
  <c r="G38" i="24"/>
  <c r="AD314" i="11"/>
  <c r="G38" i="26" s="1"/>
  <c r="C29" i="24"/>
  <c r="AD95" i="11"/>
  <c r="C29" i="26" s="1"/>
  <c r="F10" i="24"/>
  <c r="AD233" i="11"/>
  <c r="F10" i="26" s="1"/>
  <c r="E19" i="24"/>
  <c r="AD189" i="11"/>
  <c r="E19" i="26" s="1"/>
  <c r="C33" i="24"/>
  <c r="B33" i="24" s="1"/>
  <c r="AD99" i="11"/>
  <c r="C33" i="26" s="1"/>
  <c r="D29" i="24"/>
  <c r="AD147" i="11"/>
  <c r="D29" i="26" s="1"/>
  <c r="G35" i="24"/>
  <c r="AD311" i="11"/>
  <c r="G35" i="26" s="1"/>
  <c r="G46" i="24"/>
  <c r="AD322" i="11"/>
  <c r="G46" i="26" s="1"/>
  <c r="C35" i="24"/>
  <c r="AD101" i="11"/>
  <c r="C35" i="26" s="1"/>
  <c r="C133" i="5"/>
  <c r="E133" i="5"/>
  <c r="R20" i="15"/>
  <c r="R46" i="15"/>
  <c r="N26" i="14"/>
  <c r="N13" i="14"/>
  <c r="R44" i="15"/>
  <c r="N35" i="14"/>
  <c r="V134" i="5"/>
  <c r="W134" i="5" s="1"/>
  <c r="B135" i="5"/>
  <c r="D135" i="5"/>
  <c r="N134" i="5"/>
  <c r="B134" i="5"/>
  <c r="C134" i="5" s="1"/>
  <c r="D134" i="5"/>
  <c r="X30" i="15"/>
  <c r="X11" i="15"/>
  <c r="X51" i="15"/>
  <c r="X14" i="15"/>
  <c r="X48" i="15"/>
  <c r="X46" i="15"/>
  <c r="X41" i="15"/>
  <c r="X38" i="15"/>
  <c r="X50" i="15"/>
  <c r="AU66" i="11"/>
  <c r="L57" i="11"/>
  <c r="V67" i="11"/>
  <c r="AF67" i="11"/>
  <c r="X17" i="15"/>
  <c r="X19" i="15"/>
  <c r="X20" i="15"/>
  <c r="X15" i="15"/>
  <c r="X42" i="15"/>
  <c r="X37" i="15"/>
  <c r="X21" i="15"/>
  <c r="X24" i="15"/>
  <c r="X31" i="15"/>
  <c r="X44" i="15"/>
  <c r="X47" i="15"/>
  <c r="X29" i="15"/>
  <c r="X35" i="15"/>
  <c r="X23" i="15"/>
  <c r="X52" i="15"/>
  <c r="AD56" i="1"/>
  <c r="AR54" i="11"/>
  <c r="AO54" i="11"/>
  <c r="AP54" i="11"/>
  <c r="AQ54" i="11"/>
  <c r="AN54" i="11"/>
  <c r="B55" i="11"/>
  <c r="A44" i="5"/>
  <c r="N135" i="5"/>
  <c r="O135" i="5" s="1"/>
  <c r="V135" i="5"/>
  <c r="W135" i="5" s="1"/>
  <c r="X135" i="5"/>
  <c r="Y135" i="5" s="1"/>
  <c r="L134" i="5"/>
  <c r="M134" i="5" s="1"/>
  <c r="AB110" i="13" s="1" a="1"/>
  <c r="AB110" i="13" s="1"/>
  <c r="X134" i="5"/>
  <c r="Y134" i="5" s="1"/>
  <c r="U19" i="5"/>
  <c r="R71" i="5"/>
  <c r="R72" i="5" s="1"/>
  <c r="AB71" i="5"/>
  <c r="AB72" i="5" s="1"/>
  <c r="A74" i="5"/>
  <c r="P71" i="5"/>
  <c r="P72" i="5" s="1"/>
  <c r="H71" i="5"/>
  <c r="H72" i="5" s="1"/>
  <c r="Z71" i="5"/>
  <c r="Z72" i="5" s="1"/>
  <c r="F71" i="5"/>
  <c r="F72" i="5" s="1"/>
  <c r="AA67" i="11"/>
  <c r="AB324" i="13" l="1" a="1"/>
  <c r="AB324" i="13" s="1"/>
  <c r="AB311" i="13" a="1"/>
  <c r="AB311" i="13" s="1"/>
  <c r="AB310" i="13" a="1"/>
  <c r="AB310" i="13" s="1"/>
  <c r="AB307" i="13" a="1"/>
  <c r="AB307" i="13" s="1"/>
  <c r="AB329" i="13" a="1"/>
  <c r="AB329" i="13" s="1"/>
  <c r="AB322" i="13" a="1"/>
  <c r="AB322" i="13" s="1"/>
  <c r="AB315" i="13" a="1"/>
  <c r="AB315" i="13" s="1"/>
  <c r="AB327" i="13" a="1"/>
  <c r="AB327" i="13" s="1"/>
  <c r="AB312" i="13" a="1"/>
  <c r="AB312" i="13" s="1"/>
  <c r="AB309" i="13" a="1"/>
  <c r="AB309" i="13" s="1"/>
  <c r="AB305" i="13" a="1"/>
  <c r="AB305" i="13" s="1"/>
  <c r="AB328" i="13" a="1"/>
  <c r="AB328" i="13" s="1"/>
  <c r="AB306" i="13" a="1"/>
  <c r="AB306" i="13" s="1"/>
  <c r="AB316" i="13" a="1"/>
  <c r="AB316" i="13" s="1"/>
  <c r="AB326" i="13" a="1"/>
  <c r="AB326" i="13" s="1"/>
  <c r="AB317" i="13" a="1"/>
  <c r="AB317" i="13" s="1"/>
  <c r="AB319" i="13" a="1"/>
  <c r="AB319" i="13" s="1"/>
  <c r="AB320" i="13" a="1"/>
  <c r="AB320" i="13" s="1"/>
  <c r="AB323" i="13" a="1"/>
  <c r="AB323" i="13" s="1"/>
  <c r="AB318" i="13" a="1"/>
  <c r="AB318" i="13" s="1"/>
  <c r="AB314" i="13" a="1"/>
  <c r="AB314" i="13" s="1"/>
  <c r="AB325" i="13" a="1"/>
  <c r="AB325" i="13" s="1"/>
  <c r="AB321" i="13" a="1"/>
  <c r="AB321" i="13" s="1"/>
  <c r="H43" i="24"/>
  <c r="AC10" i="27" a="1"/>
  <c r="AC10" i="27" s="1"/>
  <c r="AD10" i="27" s="1"/>
  <c r="AC14" i="27" a="1"/>
  <c r="AC14" i="27" s="1"/>
  <c r="AD14" i="27" s="1"/>
  <c r="AC11" i="27" a="1"/>
  <c r="AC11" i="27" s="1"/>
  <c r="AD11" i="27" s="1"/>
  <c r="AC21" i="27" a="1"/>
  <c r="AC21" i="27" s="1"/>
  <c r="AD21" i="27" s="1"/>
  <c r="AC12" i="27" a="1"/>
  <c r="AC12" i="27" s="1"/>
  <c r="AD12" i="27" s="1"/>
  <c r="AC15" i="27" a="1"/>
  <c r="AC15" i="27" s="1"/>
  <c r="AD15" i="27" s="1"/>
  <c r="AC20" i="27" a="1"/>
  <c r="AC20" i="27" s="1"/>
  <c r="AD20" i="27" s="1"/>
  <c r="AC13" i="27" a="1"/>
  <c r="AC13" i="27" s="1"/>
  <c r="AD13" i="27" s="1"/>
  <c r="AC16" i="27" a="1"/>
  <c r="AC16" i="27" s="1"/>
  <c r="AD16" i="27" s="1"/>
  <c r="AC17" i="27" a="1"/>
  <c r="AC17" i="27" s="1"/>
  <c r="AD17" i="27" s="1"/>
  <c r="AC19" i="27" a="1"/>
  <c r="AC19" i="27" s="1"/>
  <c r="AD19" i="27" s="1"/>
  <c r="AC18" i="27" a="1"/>
  <c r="AC18" i="27" s="1"/>
  <c r="AD18" i="27" s="1"/>
  <c r="AC9" i="27" a="1"/>
  <c r="AC9" i="27" s="1"/>
  <c r="AD9" i="27" s="1"/>
  <c r="B50" i="24"/>
  <c r="B38" i="24"/>
  <c r="H41" i="24"/>
  <c r="H27" i="24"/>
  <c r="H47" i="24"/>
  <c r="H34" i="24"/>
  <c r="H13" i="24"/>
  <c r="H25" i="24"/>
  <c r="B16" i="24"/>
  <c r="B45" i="24"/>
  <c r="H38" i="24"/>
  <c r="H52" i="24"/>
  <c r="B30" i="24"/>
  <c r="B15" i="24"/>
  <c r="H12" i="24"/>
  <c r="B21" i="24"/>
  <c r="H14" i="24"/>
  <c r="B22" i="24"/>
  <c r="D7" i="13"/>
  <c r="H18" i="24"/>
  <c r="H22" i="24"/>
  <c r="H30" i="24"/>
  <c r="B51" i="24"/>
  <c r="B37" i="24"/>
  <c r="AB206" i="13" a="1"/>
  <c r="AB206" i="13" s="1"/>
  <c r="B34" i="24"/>
  <c r="H48" i="24"/>
  <c r="AB204" i="13" a="1"/>
  <c r="AB204" i="13" s="1"/>
  <c r="B35" i="24"/>
  <c r="B48" i="24"/>
  <c r="H23" i="24"/>
  <c r="B14" i="24"/>
  <c r="H15" i="24"/>
  <c r="AB212" i="13" a="1"/>
  <c r="AB212" i="13" s="1"/>
  <c r="B52" i="24"/>
  <c r="B27" i="24"/>
  <c r="H42" i="24"/>
  <c r="AB196" i="13" a="1"/>
  <c r="AB196" i="13" s="1"/>
  <c r="AB202" i="13" a="1"/>
  <c r="AB202" i="13" s="1"/>
  <c r="AB215" i="13" a="1"/>
  <c r="AB215" i="13" s="1"/>
  <c r="AB90" i="13" a="1"/>
  <c r="AB90" i="13" s="1"/>
  <c r="AB89" i="13" a="1"/>
  <c r="AB89" i="13" s="1"/>
  <c r="AB213" i="13" a="1"/>
  <c r="AB213" i="13" s="1"/>
  <c r="AB193" i="13" a="1"/>
  <c r="AB193" i="13" s="1"/>
  <c r="AB195" i="13" a="1"/>
  <c r="AB195" i="13" s="1"/>
  <c r="AB208" i="13" a="1"/>
  <c r="AB208" i="13" s="1"/>
  <c r="AB218" i="13" a="1"/>
  <c r="AB218" i="13" s="1"/>
  <c r="AB207" i="13" a="1"/>
  <c r="AB207" i="13" s="1"/>
  <c r="AB222" i="13" a="1"/>
  <c r="AB222" i="13" s="1"/>
  <c r="AB220" i="13" a="1"/>
  <c r="AB220" i="13" s="1"/>
  <c r="AB221" i="13" a="1"/>
  <c r="AB221" i="13" s="1"/>
  <c r="AB214" i="13" a="1"/>
  <c r="AB214" i="13" s="1"/>
  <c r="AB199" i="13" a="1"/>
  <c r="AB199" i="13" s="1"/>
  <c r="AB200" i="13" a="1"/>
  <c r="AB200" i="13" s="1"/>
  <c r="AB205" i="13" a="1"/>
  <c r="AB205" i="13" s="1"/>
  <c r="H20" i="24"/>
  <c r="AB216" i="13" a="1"/>
  <c r="AB216" i="13" s="1"/>
  <c r="AB197" i="13" a="1"/>
  <c r="AB197" i="13" s="1"/>
  <c r="AB203" i="13" a="1"/>
  <c r="AB203" i="13" s="1"/>
  <c r="AB211" i="13" a="1"/>
  <c r="AB211" i="13" s="1"/>
  <c r="AB194" i="13" a="1"/>
  <c r="AB194" i="13" s="1"/>
  <c r="AB210" i="13" a="1"/>
  <c r="AB210" i="13" s="1"/>
  <c r="AB217" i="13" a="1"/>
  <c r="AB217" i="13" s="1"/>
  <c r="AB219" i="13" a="1"/>
  <c r="AB219" i="13" s="1"/>
  <c r="H11" i="24"/>
  <c r="AB198" i="13" a="1"/>
  <c r="AB198" i="13" s="1"/>
  <c r="AB223" i="13" a="1"/>
  <c r="AB223" i="13" s="1"/>
  <c r="AB209" i="13" a="1"/>
  <c r="AB209" i="13" s="1"/>
  <c r="AB201" i="13" a="1"/>
  <c r="AB201" i="13" s="1"/>
  <c r="B18" i="24"/>
  <c r="B12" i="24"/>
  <c r="B36" i="24"/>
  <c r="H46" i="24"/>
  <c r="H53" i="24"/>
  <c r="B40" i="24"/>
  <c r="B43" i="24"/>
  <c r="B49" i="24"/>
  <c r="B10" i="24"/>
  <c r="B24" i="24"/>
  <c r="B13" i="24"/>
  <c r="B47" i="24"/>
  <c r="H36" i="24"/>
  <c r="H40" i="24"/>
  <c r="AB105" i="13" a="1"/>
  <c r="AB105" i="13" s="1"/>
  <c r="AB255" i="13" a="1"/>
  <c r="AB255" i="13" s="1"/>
  <c r="AB275" i="13" a="1"/>
  <c r="AB275" i="13" s="1"/>
  <c r="AB262" i="13" a="1"/>
  <c r="AB262" i="13" s="1"/>
  <c r="H39" i="24"/>
  <c r="AB100" i="13" a="1"/>
  <c r="AB100" i="13" s="1"/>
  <c r="AB258" i="13" a="1"/>
  <c r="AB258" i="13" s="1"/>
  <c r="AB271" i="13" a="1"/>
  <c r="AB271" i="13" s="1"/>
  <c r="AB107" i="13" a="1"/>
  <c r="AB107" i="13" s="1"/>
  <c r="AB273" i="13" a="1"/>
  <c r="AB273" i="13" s="1"/>
  <c r="H33" i="24"/>
  <c r="H10" i="24"/>
  <c r="B29" i="24"/>
  <c r="B44" i="24"/>
  <c r="AB274" i="13" a="1"/>
  <c r="AB274" i="13" s="1"/>
  <c r="AB94" i="13" a="1"/>
  <c r="AB94" i="13" s="1"/>
  <c r="AB113" i="13" a="1"/>
  <c r="AB113" i="13" s="1"/>
  <c r="AB265" i="13" a="1"/>
  <c r="AB265" i="13" s="1"/>
  <c r="AB260" i="13" a="1"/>
  <c r="AB260" i="13" s="1"/>
  <c r="B32" i="24"/>
  <c r="B23" i="24"/>
  <c r="B19" i="24"/>
  <c r="B20" i="24"/>
  <c r="B31" i="24"/>
  <c r="B11" i="24"/>
  <c r="B46" i="24"/>
  <c r="H24" i="24"/>
  <c r="B39" i="24"/>
  <c r="AB103" i="13" a="1"/>
  <c r="AB103" i="13" s="1"/>
  <c r="AB111" i="13" a="1"/>
  <c r="AB111" i="13" s="1"/>
  <c r="AB116" i="13" a="1"/>
  <c r="AB116" i="13" s="1"/>
  <c r="AB92" i="13" a="1"/>
  <c r="AB92" i="13" s="1"/>
  <c r="B53" i="24"/>
  <c r="AB118" i="13" a="1"/>
  <c r="AB118" i="13" s="1"/>
  <c r="AB91" i="13" a="1"/>
  <c r="AB91" i="13" s="1"/>
  <c r="AB119" i="13" a="1"/>
  <c r="AB119" i="13" s="1"/>
  <c r="AB269" i="13" a="1"/>
  <c r="AB269" i="13" s="1"/>
  <c r="AB109" i="13" a="1"/>
  <c r="AB109" i="13" s="1"/>
  <c r="B28" i="24"/>
  <c r="AB267" i="13" a="1"/>
  <c r="AB267" i="13" s="1"/>
  <c r="AB93" i="13" a="1"/>
  <c r="AB93" i="13" s="1"/>
  <c r="AB102" i="13" a="1"/>
  <c r="AB102" i="13" s="1"/>
  <c r="AB256" i="13" a="1"/>
  <c r="AB256" i="13" s="1"/>
  <c r="B26" i="24"/>
  <c r="AB114" i="13" a="1"/>
  <c r="AB114" i="13" s="1"/>
  <c r="AB266" i="13" a="1"/>
  <c r="AB266" i="13" s="1"/>
  <c r="AB96" i="13" a="1"/>
  <c r="AB96" i="13" s="1"/>
  <c r="AB101" i="13" a="1"/>
  <c r="AB101" i="13" s="1"/>
  <c r="B25" i="24"/>
  <c r="O179" i="11" a="1"/>
  <c r="S179" i="11" s="1"/>
  <c r="AB99" i="13" a="1"/>
  <c r="AB99" i="13" s="1"/>
  <c r="AB104" i="13" a="1"/>
  <c r="AB104" i="13" s="1"/>
  <c r="AB264" i="13" a="1"/>
  <c r="AB264" i="13" s="1"/>
  <c r="AB97" i="13" a="1"/>
  <c r="AB97" i="13" s="1"/>
  <c r="AB112" i="13" a="1"/>
  <c r="AB112" i="13" s="1"/>
  <c r="AB259" i="13" a="1"/>
  <c r="AB259" i="13" s="1"/>
  <c r="AB98" i="13" a="1"/>
  <c r="AB98" i="13" s="1"/>
  <c r="AB261" i="13" a="1"/>
  <c r="AB261" i="13" s="1"/>
  <c r="AB263" i="13" a="1"/>
  <c r="AB263" i="13" s="1"/>
  <c r="AB117" i="13" a="1"/>
  <c r="AB117" i="13" s="1"/>
  <c r="AB115" i="13" a="1"/>
  <c r="AB115" i="13" s="1"/>
  <c r="AB270" i="13" a="1"/>
  <c r="AB270" i="13" s="1"/>
  <c r="AB108" i="13" a="1"/>
  <c r="AB108" i="13" s="1"/>
  <c r="AB257" i="13" a="1"/>
  <c r="AB257" i="13" s="1"/>
  <c r="AB276" i="13" a="1"/>
  <c r="AB276" i="13" s="1"/>
  <c r="AB106" i="13" a="1"/>
  <c r="AB106" i="13" s="1"/>
  <c r="AB272" i="13" a="1"/>
  <c r="AB272" i="13" s="1"/>
  <c r="AB268" i="13" a="1"/>
  <c r="AB268" i="13" s="1"/>
  <c r="AB254" i="13" a="1"/>
  <c r="AB254" i="13" s="1"/>
  <c r="AB95" i="13" a="1"/>
  <c r="AB95" i="13" s="1"/>
  <c r="B127" i="11" a="1"/>
  <c r="G127" i="11" s="1"/>
  <c r="B232" i="13" a="1"/>
  <c r="B232" i="13" s="1"/>
  <c r="B232" i="11" a="1"/>
  <c r="H232" i="11" s="1"/>
  <c r="O232" i="13" a="1"/>
  <c r="O285" i="11" a="1"/>
  <c r="B127" i="13" a="1"/>
  <c r="O285" i="13" a="1"/>
  <c r="O134" i="5"/>
  <c r="O127" i="13" a="1"/>
  <c r="O75" i="13" a="1"/>
  <c r="B75" i="13" a="1"/>
  <c r="E135" i="5"/>
  <c r="O232" i="11" a="1"/>
  <c r="O127" i="11" a="1"/>
  <c r="O179" i="13" a="1"/>
  <c r="C135" i="5"/>
  <c r="B179" i="11" a="1"/>
  <c r="B179" i="13" a="1"/>
  <c r="B285" i="13" a="1"/>
  <c r="B285" i="11" a="1"/>
  <c r="E134" i="5"/>
  <c r="D137" i="5"/>
  <c r="AC214" i="11" a="1"/>
  <c r="AC214" i="11" s="1"/>
  <c r="AB222" i="11" a="1"/>
  <c r="AB222" i="11" s="1"/>
  <c r="AB212" i="11" a="1"/>
  <c r="AB212" i="11" s="1"/>
  <c r="AB218" i="11" a="1"/>
  <c r="AB218" i="11" s="1"/>
  <c r="AB216" i="11" a="1"/>
  <c r="AB216" i="11" s="1"/>
  <c r="AB213" i="11" a="1"/>
  <c r="AB213" i="11" s="1"/>
  <c r="AB215" i="11" a="1"/>
  <c r="AB215" i="11" s="1"/>
  <c r="AB210" i="11" a="1"/>
  <c r="AB210" i="11" s="1"/>
  <c r="AB208" i="11" a="1"/>
  <c r="AB208" i="11" s="1"/>
  <c r="AB207" i="11" a="1"/>
  <c r="AB207" i="11" s="1"/>
  <c r="AB217" i="11" a="1"/>
  <c r="AB217" i="11" s="1"/>
  <c r="AB220" i="11" a="1"/>
  <c r="AB220" i="11" s="1"/>
  <c r="AB219" i="11" a="1"/>
  <c r="AB219" i="11" s="1"/>
  <c r="AB206" i="11" a="1"/>
  <c r="AB206" i="11" s="1"/>
  <c r="AB211" i="11" a="1"/>
  <c r="AB211" i="11" s="1"/>
  <c r="AB209" i="11" a="1"/>
  <c r="AB209" i="11" s="1"/>
  <c r="AB214" i="11" a="1"/>
  <c r="AB214" i="11" s="1"/>
  <c r="AL181" i="11" a="1"/>
  <c r="AB221" i="11" a="1"/>
  <c r="AB221" i="11" s="1"/>
  <c r="AB223" i="11" a="1"/>
  <c r="AB223" i="11" s="1"/>
  <c r="AC209" i="11" a="1"/>
  <c r="AC209" i="11" s="1"/>
  <c r="AC207" i="11" a="1"/>
  <c r="AC207" i="11" s="1"/>
  <c r="AC221" i="11" a="1"/>
  <c r="AC221" i="11" s="1"/>
  <c r="B75" i="11" a="1"/>
  <c r="AC211" i="11" a="1"/>
  <c r="AC211" i="11" s="1"/>
  <c r="AC208" i="11" a="1"/>
  <c r="AC208" i="11" s="1"/>
  <c r="AC206" i="11" a="1"/>
  <c r="AC206" i="11" s="1"/>
  <c r="O75" i="11" a="1"/>
  <c r="B137" i="5"/>
  <c r="AC216" i="11" a="1"/>
  <c r="AC216" i="11" s="1"/>
  <c r="AC218" i="11" a="1"/>
  <c r="AC218" i="11" s="1"/>
  <c r="V137" i="5"/>
  <c r="L137" i="5"/>
  <c r="N137" i="5"/>
  <c r="AU67" i="11"/>
  <c r="L58" i="11"/>
  <c r="AD57" i="1"/>
  <c r="AP55" i="11"/>
  <c r="AQ55" i="11"/>
  <c r="AR55" i="11"/>
  <c r="AO55" i="11"/>
  <c r="AN55" i="11"/>
  <c r="B56" i="11"/>
  <c r="X137" i="5"/>
  <c r="U20" i="5"/>
  <c r="AB74" i="5"/>
  <c r="P74" i="5"/>
  <c r="H74" i="5"/>
  <c r="A75" i="5"/>
  <c r="Z74" i="5"/>
  <c r="F74" i="5"/>
  <c r="R74" i="5"/>
  <c r="AC329" i="13" l="1" a="1"/>
  <c r="AC329" i="13" s="1"/>
  <c r="AD329" i="13" s="1"/>
  <c r="M53" i="26" s="1"/>
  <c r="AC307" i="13" a="1"/>
  <c r="AC307" i="13" s="1"/>
  <c r="AC317" i="13" a="1"/>
  <c r="AC317" i="13" s="1"/>
  <c r="AC310" i="13" a="1"/>
  <c r="AC310" i="13" s="1"/>
  <c r="AC319" i="13" a="1"/>
  <c r="AC319" i="13" s="1"/>
  <c r="AC322" i="13" a="1"/>
  <c r="AC322" i="13" s="1"/>
  <c r="AD322" i="13" s="1"/>
  <c r="M46" i="26" s="1"/>
  <c r="AC327" i="13" a="1"/>
  <c r="AC327" i="13" s="1"/>
  <c r="AD327" i="13" s="1"/>
  <c r="M51" i="26" s="1"/>
  <c r="AC313" i="13" a="1"/>
  <c r="AC313" i="13" s="1"/>
  <c r="AD313" i="13" s="1"/>
  <c r="M37" i="26" s="1"/>
  <c r="AC305" i="13" a="1"/>
  <c r="AC305" i="13" s="1"/>
  <c r="AC315" i="13" a="1"/>
  <c r="AC315" i="13" s="1"/>
  <c r="AC321" i="13" a="1"/>
  <c r="AC321" i="13" s="1"/>
  <c r="AC314" i="13" a="1"/>
  <c r="AC314" i="13" s="1"/>
  <c r="AD314" i="13" s="1"/>
  <c r="M38" i="26" s="1"/>
  <c r="AC309" i="13" a="1"/>
  <c r="AC309" i="13" s="1"/>
  <c r="AC311" i="13" a="1"/>
  <c r="AC311" i="13" s="1"/>
  <c r="AC308" i="13" a="1"/>
  <c r="AC308" i="13" s="1"/>
  <c r="AD308" i="13" s="1"/>
  <c r="M32" i="26" s="1"/>
  <c r="M31" i="27" s="1"/>
  <c r="AA31" i="27" s="1"/>
  <c r="AC316" i="13" a="1"/>
  <c r="AC316" i="13" s="1"/>
  <c r="AD316" i="13" s="1"/>
  <c r="M40" i="26" s="1"/>
  <c r="AC328" i="13" a="1"/>
  <c r="AC328" i="13" s="1"/>
  <c r="AD328" i="13" s="1"/>
  <c r="M52" i="26" s="1"/>
  <c r="AC312" i="13" a="1"/>
  <c r="AC312" i="13" s="1"/>
  <c r="AC324" i="13" a="1"/>
  <c r="AC324" i="13" s="1"/>
  <c r="AD324" i="13" s="1"/>
  <c r="M48" i="26" s="1"/>
  <c r="AC326" i="13" a="1"/>
  <c r="AC326" i="13" s="1"/>
  <c r="AD326" i="13" s="1"/>
  <c r="M50" i="26" s="1"/>
  <c r="AC325" i="13" a="1"/>
  <c r="AC325" i="13" s="1"/>
  <c r="AD325" i="13" s="1"/>
  <c r="M49" i="26" s="1"/>
  <c r="AC306" i="13" a="1"/>
  <c r="AC306" i="13" s="1"/>
  <c r="AD306" i="13" s="1"/>
  <c r="M30" i="26" s="1"/>
  <c r="M29" i="27" s="1"/>
  <c r="AA29" i="27" s="1"/>
  <c r="AC318" i="13" a="1"/>
  <c r="AC318" i="13" s="1"/>
  <c r="AD318" i="13" s="1"/>
  <c r="M42" i="26" s="1"/>
  <c r="AC323" i="13" a="1"/>
  <c r="AC323" i="13" s="1"/>
  <c r="AD323" i="13" s="1"/>
  <c r="M47" i="26" s="1"/>
  <c r="AC320" i="13" a="1"/>
  <c r="AC320" i="13" s="1"/>
  <c r="AD320" i="13" s="1"/>
  <c r="M44" i="26" s="1"/>
  <c r="AD305" i="13"/>
  <c r="M29" i="26" s="1"/>
  <c r="M28" i="27" s="1"/>
  <c r="AA28" i="27" s="1"/>
  <c r="AD307" i="13"/>
  <c r="M31" i="26" s="1"/>
  <c r="M30" i="27" s="1"/>
  <c r="AA30" i="27" s="1"/>
  <c r="AD309" i="13"/>
  <c r="M33" i="26" s="1"/>
  <c r="AD310" i="13"/>
  <c r="M34" i="26" s="1"/>
  <c r="AD319" i="13"/>
  <c r="M43" i="26" s="1"/>
  <c r="AD312" i="13"/>
  <c r="M36" i="26" s="1"/>
  <c r="AD311" i="13"/>
  <c r="M35" i="26" s="1"/>
  <c r="AD317" i="13"/>
  <c r="M41" i="26" s="1"/>
  <c r="AD321" i="13"/>
  <c r="M45" i="26" s="1"/>
  <c r="AD315" i="13"/>
  <c r="M39" i="26" s="1"/>
  <c r="AD214" i="11"/>
  <c r="E44" i="26" s="1"/>
  <c r="Y179" i="11"/>
  <c r="W179" i="11"/>
  <c r="U179" i="11"/>
  <c r="X179" i="11"/>
  <c r="T179" i="11"/>
  <c r="P179" i="11"/>
  <c r="Q179" i="11"/>
  <c r="V179" i="11"/>
  <c r="O179" i="11"/>
  <c r="R179" i="11"/>
  <c r="AC202" i="13" a="1"/>
  <c r="AC202" i="13" s="1"/>
  <c r="AD202" i="13" s="1"/>
  <c r="K32" i="26" s="1"/>
  <c r="K31" i="27" s="1"/>
  <c r="Y31" i="27" s="1"/>
  <c r="AC217" i="13" a="1"/>
  <c r="AC217" i="13" s="1"/>
  <c r="AD217" i="13" s="1"/>
  <c r="K47" i="26" s="1"/>
  <c r="K46" i="27" s="1"/>
  <c r="Y46" i="27" s="1"/>
  <c r="AC199" i="13" a="1"/>
  <c r="AC199" i="13" s="1"/>
  <c r="AD199" i="13" s="1"/>
  <c r="K29" i="26" s="1"/>
  <c r="K28" i="27" s="1"/>
  <c r="Y28" i="27" s="1"/>
  <c r="AC197" i="13" a="1"/>
  <c r="AC197" i="13" s="1"/>
  <c r="AD197" i="13" s="1"/>
  <c r="K27" i="26" s="1"/>
  <c r="K26" i="27" s="1"/>
  <c r="Y26" i="27" s="1"/>
  <c r="AC222" i="13" a="1"/>
  <c r="AC222" i="13" s="1"/>
  <c r="AD222" i="13" s="1"/>
  <c r="K52" i="26" s="1"/>
  <c r="K51" i="27" s="1"/>
  <c r="Y51" i="27" s="1"/>
  <c r="AC196" i="13" a="1"/>
  <c r="AC196" i="13" s="1"/>
  <c r="AD196" i="13" s="1"/>
  <c r="K26" i="26" s="1"/>
  <c r="K25" i="27" s="1"/>
  <c r="Y25" i="27" s="1"/>
  <c r="AC212" i="13" a="1"/>
  <c r="AC212" i="13" s="1"/>
  <c r="AD212" i="13" s="1"/>
  <c r="K42" i="26" s="1"/>
  <c r="K41" i="27" s="1"/>
  <c r="Y41" i="27" s="1"/>
  <c r="AC215" i="13" a="1"/>
  <c r="AC215" i="13" s="1"/>
  <c r="AD215" i="13" s="1"/>
  <c r="K45" i="26" s="1"/>
  <c r="K44" i="27" s="1"/>
  <c r="Y44" i="27" s="1"/>
  <c r="AC206" i="13" a="1"/>
  <c r="AC206" i="13" s="1"/>
  <c r="AD206" i="13" s="1"/>
  <c r="K36" i="26" s="1"/>
  <c r="K35" i="27" s="1"/>
  <c r="Y35" i="27" s="1"/>
  <c r="AC193" i="13" a="1"/>
  <c r="AC193" i="13" s="1"/>
  <c r="AD193" i="13" s="1"/>
  <c r="K23" i="26" s="1"/>
  <c r="K22" i="27" s="1"/>
  <c r="Y22" i="27" s="1"/>
  <c r="AC195" i="13" a="1"/>
  <c r="AC195" i="13" s="1"/>
  <c r="AD195" i="13" s="1"/>
  <c r="K25" i="26" s="1"/>
  <c r="K24" i="27" s="1"/>
  <c r="Y24" i="27" s="1"/>
  <c r="AC201" i="13" a="1"/>
  <c r="AC201" i="13" s="1"/>
  <c r="AD201" i="13" s="1"/>
  <c r="K31" i="26" s="1"/>
  <c r="K30" i="27" s="1"/>
  <c r="Y30" i="27" s="1"/>
  <c r="AC223" i="13" a="1"/>
  <c r="AC223" i="13" s="1"/>
  <c r="AD223" i="13" s="1"/>
  <c r="K53" i="26" s="1"/>
  <c r="K52" i="27" s="1"/>
  <c r="Y52" i="27" s="1"/>
  <c r="AC200" i="13" a="1"/>
  <c r="AC200" i="13" s="1"/>
  <c r="AD200" i="13" s="1"/>
  <c r="K30" i="26" s="1"/>
  <c r="K29" i="27" s="1"/>
  <c r="Y29" i="27" s="1"/>
  <c r="AC216" i="13" a="1"/>
  <c r="AC216" i="13" s="1"/>
  <c r="AD216" i="13" s="1"/>
  <c r="K46" i="26" s="1"/>
  <c r="K45" i="27" s="1"/>
  <c r="Y45" i="27" s="1"/>
  <c r="AC194" i="13" a="1"/>
  <c r="AC194" i="13" s="1"/>
  <c r="AD194" i="13" s="1"/>
  <c r="K24" i="26" s="1"/>
  <c r="K23" i="27" s="1"/>
  <c r="Y23" i="27" s="1"/>
  <c r="AC220" i="13" a="1"/>
  <c r="AC220" i="13" s="1"/>
  <c r="AD220" i="13" s="1"/>
  <c r="K50" i="26" s="1"/>
  <c r="K49" i="27" s="1"/>
  <c r="Y49" i="27" s="1"/>
  <c r="AC219" i="13" a="1"/>
  <c r="AC219" i="13" s="1"/>
  <c r="AD219" i="13" s="1"/>
  <c r="K49" i="26" s="1"/>
  <c r="K48" i="27" s="1"/>
  <c r="Y48" i="27" s="1"/>
  <c r="AC214" i="13" a="1"/>
  <c r="AC214" i="13" s="1"/>
  <c r="AD214" i="13" s="1"/>
  <c r="K44" i="26" s="1"/>
  <c r="K43" i="27" s="1"/>
  <c r="Y43" i="27" s="1"/>
  <c r="AC198" i="13" a="1"/>
  <c r="AC198" i="13" s="1"/>
  <c r="AD198" i="13" s="1"/>
  <c r="K28" i="26" s="1"/>
  <c r="K27" i="27" s="1"/>
  <c r="Y27" i="27" s="1"/>
  <c r="AC205" i="13" a="1"/>
  <c r="AC205" i="13" s="1"/>
  <c r="AD205" i="13" s="1"/>
  <c r="K35" i="26" s="1"/>
  <c r="K34" i="27" s="1"/>
  <c r="Y34" i="27" s="1"/>
  <c r="AC210" i="13" a="1"/>
  <c r="AC210" i="13" s="1"/>
  <c r="AD210" i="13" s="1"/>
  <c r="K40" i="26" s="1"/>
  <c r="K39" i="27" s="1"/>
  <c r="Y39" i="27" s="1"/>
  <c r="AC203" i="13" a="1"/>
  <c r="AC203" i="13" s="1"/>
  <c r="AD203" i="13" s="1"/>
  <c r="K33" i="26" s="1"/>
  <c r="K32" i="27" s="1"/>
  <c r="Y32" i="27" s="1"/>
  <c r="AC209" i="13" a="1"/>
  <c r="AC209" i="13" s="1"/>
  <c r="AD209" i="13" s="1"/>
  <c r="K39" i="26" s="1"/>
  <c r="K38" i="27" s="1"/>
  <c r="Y38" i="27" s="1"/>
  <c r="AC211" i="13" a="1"/>
  <c r="AC211" i="13" s="1"/>
  <c r="AD211" i="13" s="1"/>
  <c r="K41" i="26" s="1"/>
  <c r="K40" i="27" s="1"/>
  <c r="Y40" i="27" s="1"/>
  <c r="AC204" i="13" a="1"/>
  <c r="AC204" i="13" s="1"/>
  <c r="AD204" i="13" s="1"/>
  <c r="K34" i="26" s="1"/>
  <c r="K33" i="27" s="1"/>
  <c r="Y33" i="27" s="1"/>
  <c r="AC221" i="13" a="1"/>
  <c r="AC221" i="13" s="1"/>
  <c r="AD221" i="13" s="1"/>
  <c r="K51" i="26" s="1"/>
  <c r="K50" i="27" s="1"/>
  <c r="Y50" i="27" s="1"/>
  <c r="AC218" i="13" a="1"/>
  <c r="AC218" i="13" s="1"/>
  <c r="AD218" i="13" s="1"/>
  <c r="K48" i="26" s="1"/>
  <c r="K47" i="27" s="1"/>
  <c r="Y47" i="27" s="1"/>
  <c r="AC207" i="13" a="1"/>
  <c r="AC207" i="13" s="1"/>
  <c r="AD207" i="13" s="1"/>
  <c r="K37" i="26" s="1"/>
  <c r="K36" i="27" s="1"/>
  <c r="Y36" i="27" s="1"/>
  <c r="AC213" i="13" a="1"/>
  <c r="AC213" i="13" s="1"/>
  <c r="AD213" i="13" s="1"/>
  <c r="K43" i="26" s="1"/>
  <c r="K42" i="27" s="1"/>
  <c r="Y42" i="27" s="1"/>
  <c r="AC208" i="13" a="1"/>
  <c r="AC208" i="13" s="1"/>
  <c r="AD208" i="13" s="1"/>
  <c r="K38" i="26" s="1"/>
  <c r="K37" i="27" s="1"/>
  <c r="Y37" i="27" s="1"/>
  <c r="B232" i="11"/>
  <c r="E232" i="11"/>
  <c r="I232" i="11"/>
  <c r="K232" i="11"/>
  <c r="G232" i="13"/>
  <c r="F127" i="11"/>
  <c r="AC274" i="13" a="1"/>
  <c r="AC274" i="13" s="1"/>
  <c r="AD274" i="13" s="1"/>
  <c r="L51" i="26" s="1"/>
  <c r="L50" i="27" s="1"/>
  <c r="Z50" i="27" s="1"/>
  <c r="AC266" i="13" a="1"/>
  <c r="AC266" i="13" s="1"/>
  <c r="AD266" i="13" s="1"/>
  <c r="L43" i="26" s="1"/>
  <c r="L42" i="27" s="1"/>
  <c r="Z42" i="27" s="1"/>
  <c r="AC276" i="13" a="1"/>
  <c r="AC276" i="13" s="1"/>
  <c r="AD276" i="13" s="1"/>
  <c r="L53" i="26" s="1"/>
  <c r="L52" i="27" s="1"/>
  <c r="Z52" i="27" s="1"/>
  <c r="AC268" i="13" a="1"/>
  <c r="AC268" i="13" s="1"/>
  <c r="AD268" i="13" s="1"/>
  <c r="L45" i="26" s="1"/>
  <c r="L44" i="27" s="1"/>
  <c r="Z44" i="27" s="1"/>
  <c r="AC260" i="13" a="1"/>
  <c r="AC260" i="13" s="1"/>
  <c r="AD260" i="13" s="1"/>
  <c r="L37" i="26" s="1"/>
  <c r="L36" i="27" s="1"/>
  <c r="Z36" i="27" s="1"/>
  <c r="AC258" i="13" a="1"/>
  <c r="AC258" i="13" s="1"/>
  <c r="AD258" i="13" s="1"/>
  <c r="L35" i="26" s="1"/>
  <c r="L34" i="27" s="1"/>
  <c r="Z34" i="27" s="1"/>
  <c r="AC265" i="13" a="1"/>
  <c r="AC265" i="13" s="1"/>
  <c r="AD265" i="13" s="1"/>
  <c r="L42" i="26" s="1"/>
  <c r="L41" i="27" s="1"/>
  <c r="Z41" i="27" s="1"/>
  <c r="AC272" i="13" a="1"/>
  <c r="AC272" i="13" s="1"/>
  <c r="AD272" i="13" s="1"/>
  <c r="L49" i="26" s="1"/>
  <c r="L48" i="27" s="1"/>
  <c r="Z48" i="27" s="1"/>
  <c r="AC269" i="13" a="1"/>
  <c r="AC269" i="13" s="1"/>
  <c r="AD269" i="13" s="1"/>
  <c r="L46" i="26" s="1"/>
  <c r="L45" i="27" s="1"/>
  <c r="Z45" i="27" s="1"/>
  <c r="AC264" i="13" a="1"/>
  <c r="AC264" i="13" s="1"/>
  <c r="AD264" i="13" s="1"/>
  <c r="L41" i="26" s="1"/>
  <c r="L40" i="27" s="1"/>
  <c r="Z40" i="27" s="1"/>
  <c r="AC261" i="13" a="1"/>
  <c r="AC261" i="13" s="1"/>
  <c r="AD261" i="13" s="1"/>
  <c r="L38" i="26" s="1"/>
  <c r="L37" i="27" s="1"/>
  <c r="Z37" i="27" s="1"/>
  <c r="AC270" i="13" a="1"/>
  <c r="AC270" i="13" s="1"/>
  <c r="AD270" i="13" s="1"/>
  <c r="L47" i="26" s="1"/>
  <c r="L46" i="27" s="1"/>
  <c r="Z46" i="27" s="1"/>
  <c r="AC267" i="13" a="1"/>
  <c r="AC267" i="13" s="1"/>
  <c r="AD267" i="13" s="1"/>
  <c r="L44" i="26" s="1"/>
  <c r="L43" i="27" s="1"/>
  <c r="Z43" i="27" s="1"/>
  <c r="AC256" i="13" a="1"/>
  <c r="AC256" i="13" s="1"/>
  <c r="AD256" i="13" s="1"/>
  <c r="L33" i="26" s="1"/>
  <c r="L32" i="27" s="1"/>
  <c r="Z32" i="27" s="1"/>
  <c r="AC262" i="13" a="1"/>
  <c r="AC262" i="13" s="1"/>
  <c r="AD262" i="13" s="1"/>
  <c r="L39" i="26" s="1"/>
  <c r="L38" i="27" s="1"/>
  <c r="Z38" i="27" s="1"/>
  <c r="AC263" i="13" a="1"/>
  <c r="AC263" i="13" s="1"/>
  <c r="AD263" i="13" s="1"/>
  <c r="L40" i="26" s="1"/>
  <c r="L39" i="27" s="1"/>
  <c r="Z39" i="27" s="1"/>
  <c r="AC275" i="13" a="1"/>
  <c r="AC275" i="13" s="1"/>
  <c r="AD275" i="13" s="1"/>
  <c r="L52" i="26" s="1"/>
  <c r="L51" i="27" s="1"/>
  <c r="Z51" i="27" s="1"/>
  <c r="AC259" i="13" a="1"/>
  <c r="AC259" i="13" s="1"/>
  <c r="AD259" i="13" s="1"/>
  <c r="L36" i="26" s="1"/>
  <c r="L35" i="27" s="1"/>
  <c r="Z35" i="27" s="1"/>
  <c r="AC273" i="13" a="1"/>
  <c r="AC273" i="13" s="1"/>
  <c r="AD273" i="13" s="1"/>
  <c r="L50" i="26" s="1"/>
  <c r="L49" i="27" s="1"/>
  <c r="Z49" i="27" s="1"/>
  <c r="AC271" i="13" a="1"/>
  <c r="AC271" i="13" s="1"/>
  <c r="AD271" i="13" s="1"/>
  <c r="L48" i="26" s="1"/>
  <c r="L47" i="27" s="1"/>
  <c r="Z47" i="27" s="1"/>
  <c r="AC254" i="13" a="1"/>
  <c r="AC254" i="13" s="1"/>
  <c r="AD254" i="13" s="1"/>
  <c r="L31" i="26" s="1"/>
  <c r="L30" i="27" s="1"/>
  <c r="Z30" i="27" s="1"/>
  <c r="AC257" i="13" a="1"/>
  <c r="AC257" i="13" s="1"/>
  <c r="AD257" i="13" s="1"/>
  <c r="L34" i="26" s="1"/>
  <c r="L33" i="27" s="1"/>
  <c r="Z33" i="27" s="1"/>
  <c r="AC255" i="13" a="1"/>
  <c r="AC255" i="13" s="1"/>
  <c r="AD255" i="13" s="1"/>
  <c r="L32" i="26" s="1"/>
  <c r="L31" i="27" s="1"/>
  <c r="Z31" i="27" s="1"/>
  <c r="C232" i="13"/>
  <c r="K232" i="13"/>
  <c r="J232" i="11"/>
  <c r="D232" i="13"/>
  <c r="J232" i="13"/>
  <c r="H232" i="13"/>
  <c r="L232" i="11"/>
  <c r="AD221" i="11"/>
  <c r="E51" i="26" s="1"/>
  <c r="AD218" i="11"/>
  <c r="E48" i="26" s="1"/>
  <c r="AD208" i="11"/>
  <c r="E38" i="26" s="1"/>
  <c r="K127" i="11"/>
  <c r="D127" i="11"/>
  <c r="I232" i="13"/>
  <c r="G232" i="11"/>
  <c r="B127" i="11"/>
  <c r="AD207" i="11"/>
  <c r="E37" i="26" s="1"/>
  <c r="L127" i="11"/>
  <c r="AD209" i="11"/>
  <c r="E39" i="26" s="1"/>
  <c r="I127" i="11"/>
  <c r="E127" i="11"/>
  <c r="E232" i="13"/>
  <c r="AD211" i="11"/>
  <c r="E41" i="26" s="1"/>
  <c r="C127" i="11"/>
  <c r="H127" i="11"/>
  <c r="F232" i="13"/>
  <c r="C232" i="11"/>
  <c r="D232" i="11"/>
  <c r="AD206" i="11"/>
  <c r="E36" i="26" s="1"/>
  <c r="J127" i="11"/>
  <c r="AD216" i="11"/>
  <c r="E46" i="26" s="1"/>
  <c r="L232" i="13"/>
  <c r="F232" i="11"/>
  <c r="Y285" i="11"/>
  <c r="W285" i="11"/>
  <c r="Q285" i="11"/>
  <c r="U285" i="11"/>
  <c r="P285" i="11"/>
  <c r="X285" i="11"/>
  <c r="O285" i="11"/>
  <c r="T285" i="11"/>
  <c r="R285" i="11"/>
  <c r="V285" i="11"/>
  <c r="S285" i="11"/>
  <c r="Y127" i="13"/>
  <c r="P127" i="13"/>
  <c r="O127" i="13"/>
  <c r="R127" i="13"/>
  <c r="W127" i="13"/>
  <c r="U127" i="13"/>
  <c r="S127" i="13"/>
  <c r="X127" i="13"/>
  <c r="V127" i="13"/>
  <c r="T127" i="13"/>
  <c r="Q127" i="13"/>
  <c r="Y232" i="13"/>
  <c r="S232" i="13"/>
  <c r="O232" i="13"/>
  <c r="R232" i="13"/>
  <c r="Q232" i="13"/>
  <c r="T232" i="13"/>
  <c r="P232" i="13"/>
  <c r="V232" i="13"/>
  <c r="X232" i="13"/>
  <c r="U232" i="13"/>
  <c r="W232" i="13"/>
  <c r="V75" i="13"/>
  <c r="Y75" i="13"/>
  <c r="W75" i="13"/>
  <c r="X75" i="13"/>
  <c r="Q75" i="13"/>
  <c r="P75" i="13"/>
  <c r="O75" i="13"/>
  <c r="R75" i="13"/>
  <c r="S75" i="13"/>
  <c r="U75" i="13"/>
  <c r="T75" i="13"/>
  <c r="H285" i="11"/>
  <c r="B285" i="11"/>
  <c r="C285" i="11"/>
  <c r="G285" i="11"/>
  <c r="E285" i="11"/>
  <c r="F285" i="11"/>
  <c r="K285" i="11"/>
  <c r="L285" i="11"/>
  <c r="I285" i="11"/>
  <c r="D285" i="11"/>
  <c r="J285" i="11"/>
  <c r="Y179" i="13"/>
  <c r="O179" i="13"/>
  <c r="X179" i="13"/>
  <c r="W179" i="13"/>
  <c r="P179" i="13"/>
  <c r="U179" i="13"/>
  <c r="R179" i="13"/>
  <c r="V179" i="13"/>
  <c r="Q179" i="13"/>
  <c r="S179" i="13"/>
  <c r="T179" i="13"/>
  <c r="H285" i="13"/>
  <c r="K285" i="13"/>
  <c r="G285" i="13"/>
  <c r="D285" i="13"/>
  <c r="J285" i="13"/>
  <c r="E285" i="13"/>
  <c r="F285" i="13"/>
  <c r="I285" i="13"/>
  <c r="B285" i="13"/>
  <c r="C285" i="13"/>
  <c r="L285" i="13"/>
  <c r="Y127" i="11"/>
  <c r="T127" i="11"/>
  <c r="V127" i="11"/>
  <c r="R127" i="11"/>
  <c r="O127" i="11"/>
  <c r="P127" i="11"/>
  <c r="X127" i="11"/>
  <c r="Q127" i="11"/>
  <c r="S127" i="11"/>
  <c r="W127" i="11"/>
  <c r="U127" i="11"/>
  <c r="H179" i="13"/>
  <c r="E179" i="13"/>
  <c r="G179" i="13"/>
  <c r="D179" i="13"/>
  <c r="B179" i="13"/>
  <c r="J179" i="13"/>
  <c r="C179" i="13"/>
  <c r="I179" i="13"/>
  <c r="F179" i="13"/>
  <c r="L179" i="13"/>
  <c r="K179" i="13"/>
  <c r="Y232" i="11"/>
  <c r="S232" i="11"/>
  <c r="O232" i="11"/>
  <c r="T232" i="11"/>
  <c r="W232" i="11"/>
  <c r="P232" i="11"/>
  <c r="Q232" i="11"/>
  <c r="R232" i="11"/>
  <c r="U232" i="11"/>
  <c r="V232" i="11"/>
  <c r="X232" i="11"/>
  <c r="H179" i="11"/>
  <c r="K179" i="11"/>
  <c r="D179" i="11"/>
  <c r="E179" i="11"/>
  <c r="L179" i="11"/>
  <c r="I179" i="11"/>
  <c r="B179" i="11"/>
  <c r="C179" i="11"/>
  <c r="G179" i="11"/>
  <c r="J179" i="11"/>
  <c r="F179" i="11"/>
  <c r="Y285" i="13"/>
  <c r="O285" i="13"/>
  <c r="R285" i="13"/>
  <c r="T285" i="13"/>
  <c r="W285" i="13"/>
  <c r="U285" i="13"/>
  <c r="X285" i="13"/>
  <c r="S285" i="13"/>
  <c r="V285" i="13"/>
  <c r="Q285" i="13"/>
  <c r="P285" i="13"/>
  <c r="E75" i="13"/>
  <c r="G75" i="13"/>
  <c r="H75" i="13"/>
  <c r="F75" i="13"/>
  <c r="J75" i="13"/>
  <c r="I75" i="13"/>
  <c r="B75" i="13"/>
  <c r="C75" i="13"/>
  <c r="D75" i="13"/>
  <c r="K75" i="13"/>
  <c r="L75" i="13"/>
  <c r="H127" i="13"/>
  <c r="I127" i="13"/>
  <c r="F127" i="13"/>
  <c r="E127" i="13"/>
  <c r="G127" i="13"/>
  <c r="B127" i="13"/>
  <c r="D127" i="13"/>
  <c r="C127" i="13"/>
  <c r="J127" i="13"/>
  <c r="L127" i="13"/>
  <c r="K127" i="13"/>
  <c r="Y75" i="11"/>
  <c r="U75" i="11"/>
  <c r="V75" i="11"/>
  <c r="S75" i="11"/>
  <c r="W75" i="11"/>
  <c r="T75" i="11"/>
  <c r="P75" i="11"/>
  <c r="X75" i="11"/>
  <c r="O75" i="11"/>
  <c r="Q75" i="11"/>
  <c r="R75" i="11"/>
  <c r="AC217" i="11" a="1"/>
  <c r="AC217" i="11" s="1"/>
  <c r="AD217" i="11" s="1"/>
  <c r="E47" i="26" s="1"/>
  <c r="D75" i="11"/>
  <c r="C75" i="11"/>
  <c r="L75" i="11"/>
  <c r="E75" i="11"/>
  <c r="I75" i="11"/>
  <c r="F75" i="11"/>
  <c r="B75" i="11"/>
  <c r="H75" i="11"/>
  <c r="G75" i="11"/>
  <c r="K75" i="11"/>
  <c r="J75" i="11"/>
  <c r="AC215" i="11" a="1"/>
  <c r="AC215" i="11" s="1"/>
  <c r="AD215" i="11" s="1"/>
  <c r="E45" i="26" s="1"/>
  <c r="AC222" i="11" a="1"/>
  <c r="AC222" i="11" s="1"/>
  <c r="AD222" i="11" s="1"/>
  <c r="E52" i="26" s="1"/>
  <c r="AC213" i="11" a="1"/>
  <c r="AC213" i="11" s="1"/>
  <c r="AD213" i="11" s="1"/>
  <c r="E43" i="26" s="1"/>
  <c r="AC223" i="11" a="1"/>
  <c r="AC223" i="11" s="1"/>
  <c r="AD223" i="11" s="1"/>
  <c r="E53" i="26" s="1"/>
  <c r="AC212" i="11" a="1"/>
  <c r="AC212" i="11" s="1"/>
  <c r="AD212" i="11" s="1"/>
  <c r="E42" i="26" s="1"/>
  <c r="AC219" i="11" a="1"/>
  <c r="AC219" i="11" s="1"/>
  <c r="AD219" i="11" s="1"/>
  <c r="E49" i="26" s="1"/>
  <c r="AC220" i="11" a="1"/>
  <c r="AC220" i="11" s="1"/>
  <c r="AD220" i="11" s="1"/>
  <c r="E50" i="26" s="1"/>
  <c r="AS181" i="11"/>
  <c r="AR181" i="11"/>
  <c r="AV181" i="11"/>
  <c r="AM181" i="11"/>
  <c r="AN181" i="11"/>
  <c r="AT181" i="11"/>
  <c r="AO181" i="11"/>
  <c r="AU181" i="11"/>
  <c r="AP181" i="11"/>
  <c r="AL181" i="11"/>
  <c r="AQ181" i="11"/>
  <c r="AC210" i="11" a="1"/>
  <c r="AC210" i="11" s="1"/>
  <c r="AD210" i="11" s="1"/>
  <c r="E40" i="26" s="1"/>
  <c r="L59" i="11"/>
  <c r="AD58" i="1"/>
  <c r="AN56" i="11"/>
  <c r="AO56" i="11"/>
  <c r="AQ56" i="11"/>
  <c r="AP56" i="11"/>
  <c r="AR56" i="11"/>
  <c r="B57" i="11"/>
  <c r="F75" i="5"/>
  <c r="AB75" i="5"/>
  <c r="Z75" i="5"/>
  <c r="H75" i="5"/>
  <c r="A76" i="5"/>
  <c r="R75" i="5"/>
  <c r="P75" i="5"/>
  <c r="U21" i="5"/>
  <c r="AA25" i="13"/>
  <c r="AA32" i="13"/>
  <c r="AA30" i="13"/>
  <c r="AA31" i="13"/>
  <c r="AA24" i="13"/>
  <c r="AA27" i="13"/>
  <c r="AA28" i="13"/>
  <c r="AA29" i="13"/>
  <c r="AA34" i="13"/>
  <c r="AA36" i="13"/>
  <c r="AA33" i="13"/>
  <c r="AA26" i="13"/>
  <c r="AA35" i="13"/>
  <c r="Z57" i="13"/>
  <c r="Y37" i="13"/>
  <c r="Z36" i="13"/>
  <c r="Z38" i="13"/>
  <c r="Y24" i="13"/>
  <c r="Z28" i="13"/>
  <c r="AB26" i="13"/>
  <c r="Y53" i="13"/>
  <c r="Y41" i="13"/>
  <c r="Z66" i="13"/>
  <c r="Y29" i="13"/>
  <c r="Z48" i="13"/>
  <c r="Y59" i="13"/>
  <c r="AB33" i="13"/>
  <c r="Z56" i="13"/>
  <c r="Z55" i="13"/>
  <c r="Z47" i="13"/>
  <c r="Z62" i="13"/>
  <c r="Z67" i="13"/>
  <c r="Z27" i="13"/>
  <c r="Z30" i="13"/>
  <c r="Z31" i="13"/>
  <c r="Y34" i="13"/>
  <c r="Z35" i="13"/>
  <c r="Y28" i="13"/>
  <c r="Y33" i="13"/>
  <c r="Y63" i="13"/>
  <c r="Z58" i="13"/>
  <c r="Z49" i="13"/>
  <c r="Y31" i="13"/>
  <c r="Z24" i="13"/>
  <c r="AB30" i="13"/>
  <c r="Y64" i="13"/>
  <c r="AB36" i="13"/>
  <c r="Y54" i="13"/>
  <c r="Y32" i="13"/>
  <c r="Y43" i="13"/>
  <c r="Z50" i="13"/>
  <c r="Y49" i="13"/>
  <c r="AB28" i="13"/>
  <c r="Y39" i="13"/>
  <c r="Y61" i="13"/>
  <c r="Z63" i="13"/>
  <c r="Y27" i="13"/>
  <c r="AB29" i="13"/>
  <c r="Z39" i="13"/>
  <c r="Z45" i="13"/>
  <c r="Z64" i="13"/>
  <c r="Z65" i="13"/>
  <c r="Y26" i="13"/>
  <c r="AB27" i="13"/>
  <c r="Y45" i="13"/>
  <c r="AB34" i="13"/>
  <c r="AB35" i="13"/>
  <c r="Z51" i="13"/>
  <c r="Y25" i="13"/>
  <c r="Y55" i="13"/>
  <c r="Y51" i="13"/>
  <c r="Z52" i="13"/>
  <c r="Y47" i="13"/>
  <c r="Y35" i="13"/>
  <c r="Z40" i="13"/>
  <c r="Z54" i="13"/>
  <c r="AB32" i="13"/>
  <c r="Y66" i="13"/>
  <c r="Y58" i="13"/>
  <c r="Z41" i="13"/>
  <c r="Z29" i="13"/>
  <c r="Y62" i="13"/>
  <c r="Z46" i="13"/>
  <c r="Y67" i="13"/>
  <c r="Z53" i="13"/>
  <c r="Y60" i="13"/>
  <c r="Y38" i="13"/>
  <c r="Z61" i="13"/>
  <c r="Y56" i="13"/>
  <c r="AB25" i="13"/>
  <c r="Y44" i="13"/>
  <c r="Z44" i="13"/>
  <c r="Z42" i="13"/>
  <c r="Y57" i="13"/>
  <c r="Z34" i="13"/>
  <c r="Z26" i="13"/>
  <c r="Z25" i="13"/>
  <c r="Y40" i="13"/>
  <c r="Y50" i="13"/>
  <c r="Y42" i="13"/>
  <c r="Z43" i="13"/>
  <c r="Z60" i="13"/>
  <c r="Z32" i="13"/>
  <c r="Y46" i="13"/>
  <c r="AB24" i="13"/>
  <c r="AB31" i="13"/>
  <c r="Y48" i="13"/>
  <c r="Z37" i="13"/>
  <c r="Z59" i="13"/>
  <c r="Z33" i="13"/>
  <c r="Y52" i="13"/>
  <c r="Y30" i="13"/>
  <c r="Y36" i="13"/>
  <c r="Y65" i="13"/>
  <c r="AV28" i="13" l="1"/>
  <c r="AV32" i="13"/>
  <c r="AV30" i="13"/>
  <c r="AV24" i="13"/>
  <c r="AV26" i="13"/>
  <c r="AV33" i="13"/>
  <c r="AV27" i="13"/>
  <c r="AV29" i="13"/>
  <c r="AV34" i="13"/>
  <c r="AV31" i="13"/>
  <c r="AV35" i="13"/>
  <c r="AV25" i="13"/>
  <c r="AV36" i="13"/>
  <c r="AC23" i="27" a="1"/>
  <c r="AC23" i="27" s="1"/>
  <c r="AD23" i="27" s="1"/>
  <c r="AC29" i="27" a="1"/>
  <c r="AC29" i="27" s="1"/>
  <c r="AD29" i="27" s="1"/>
  <c r="AC25" i="27" a="1"/>
  <c r="AC25" i="27" s="1"/>
  <c r="AD25" i="27" s="1"/>
  <c r="AC27" i="27" a="1"/>
  <c r="AC27" i="27" s="1"/>
  <c r="AD27" i="27" s="1"/>
  <c r="AC30" i="27" a="1"/>
  <c r="AC30" i="27" s="1"/>
  <c r="AD30" i="27" s="1"/>
  <c r="AC26" i="27" a="1"/>
  <c r="AC26" i="27" s="1"/>
  <c r="AD26" i="27" s="1"/>
  <c r="AC24" i="27" a="1"/>
  <c r="AC24" i="27" s="1"/>
  <c r="AD24" i="27" s="1"/>
  <c r="AC28" i="27" a="1"/>
  <c r="AC28" i="27" s="1"/>
  <c r="AD28" i="27" s="1"/>
  <c r="AC22" i="27" a="1"/>
  <c r="AC22" i="27" s="1"/>
  <c r="AD22" i="27" s="1"/>
  <c r="AC31" i="27" a="1"/>
  <c r="AC31" i="27" s="1"/>
  <c r="AD31" i="27" s="1"/>
  <c r="AS42" i="13"/>
  <c r="AS46" i="13"/>
  <c r="AT45" i="13"/>
  <c r="AT41" i="13"/>
  <c r="AU32" i="13"/>
  <c r="AS50" i="13"/>
  <c r="AS31" i="13"/>
  <c r="AS24" i="13"/>
  <c r="AS27" i="13"/>
  <c r="AT47" i="13"/>
  <c r="AS55" i="13"/>
  <c r="AT65" i="13"/>
  <c r="AS33" i="13"/>
  <c r="AT62" i="13"/>
  <c r="AT53" i="13"/>
  <c r="AT26" i="13"/>
  <c r="AS40" i="13"/>
  <c r="AS62" i="13"/>
  <c r="AT33" i="13"/>
  <c r="AT56" i="13"/>
  <c r="AT40" i="13"/>
  <c r="AT39" i="13"/>
  <c r="AS52" i="13"/>
  <c r="AT52" i="13"/>
  <c r="AU26" i="13"/>
  <c r="AS39" i="13"/>
  <c r="AS44" i="13"/>
  <c r="AS58" i="13"/>
  <c r="AT35" i="13"/>
  <c r="AT34" i="13"/>
  <c r="AT27" i="13"/>
  <c r="AS35" i="13"/>
  <c r="AT63" i="13"/>
  <c r="AU35" i="13"/>
  <c r="AS36" i="13"/>
  <c r="AT28" i="13"/>
  <c r="AS38" i="13"/>
  <c r="AT50" i="13"/>
  <c r="AU34" i="13"/>
  <c r="AT64" i="13"/>
  <c r="AT48" i="13"/>
  <c r="AU31" i="13"/>
  <c r="AS65" i="13"/>
  <c r="AS48" i="13"/>
  <c r="AT58" i="13"/>
  <c r="AS43" i="13"/>
  <c r="AS37" i="13"/>
  <c r="AS34" i="13"/>
  <c r="AS63" i="13"/>
  <c r="AT54" i="13"/>
  <c r="AS54" i="13"/>
  <c r="AT25" i="13"/>
  <c r="AT30" i="13"/>
  <c r="AS26" i="13"/>
  <c r="AS56" i="13"/>
  <c r="AT43" i="13"/>
  <c r="AS32" i="13"/>
  <c r="AU25" i="13"/>
  <c r="AS60" i="13"/>
  <c r="AT29" i="13"/>
  <c r="AS59" i="13"/>
  <c r="AT36" i="13"/>
  <c r="AT37" i="13"/>
  <c r="AT51" i="13"/>
  <c r="AS51" i="13"/>
  <c r="AU36" i="13"/>
  <c r="AT24" i="13"/>
  <c r="AU29" i="13"/>
  <c r="AT32" i="13"/>
  <c r="AU28" i="13"/>
  <c r="AS64" i="13"/>
  <c r="AS57" i="13"/>
  <c r="AU24" i="13"/>
  <c r="AU27" i="13"/>
  <c r="AS66" i="13"/>
  <c r="AS67" i="13"/>
  <c r="AT31" i="13"/>
  <c r="AT66" i="13"/>
  <c r="AS45" i="13"/>
  <c r="AT59" i="13"/>
  <c r="AT44" i="13"/>
  <c r="AT42" i="13"/>
  <c r="AS41" i="13"/>
  <c r="AS28" i="13"/>
  <c r="AS47" i="13"/>
  <c r="AT61" i="13"/>
  <c r="AS25" i="13"/>
  <c r="AT38" i="13"/>
  <c r="AS53" i="13"/>
  <c r="AT57" i="13"/>
  <c r="AU33" i="13"/>
  <c r="AS61" i="13"/>
  <c r="AT60" i="13"/>
  <c r="AS29" i="13"/>
  <c r="AT49" i="13"/>
  <c r="AS30" i="13"/>
  <c r="AU30" i="13"/>
  <c r="AT46" i="13"/>
  <c r="AS49" i="13"/>
  <c r="AT55" i="13"/>
  <c r="AT67" i="13"/>
  <c r="AL180" i="11" a="1"/>
  <c r="L60" i="11"/>
  <c r="AD59" i="1"/>
  <c r="AO57" i="11"/>
  <c r="AQ57" i="11"/>
  <c r="AN57" i="11"/>
  <c r="AP57" i="11"/>
  <c r="AR57" i="11"/>
  <c r="B58" i="11"/>
  <c r="U22" i="5"/>
  <c r="H76" i="5"/>
  <c r="Z76" i="5"/>
  <c r="R76" i="5"/>
  <c r="P76" i="5"/>
  <c r="A77" i="5"/>
  <c r="F76" i="5"/>
  <c r="AB76" i="5"/>
  <c r="AM180" i="11" l="1"/>
  <c r="AM182" i="11" s="1"/>
  <c r="AN180" i="11"/>
  <c r="AN182" i="11" s="1"/>
  <c r="AO180" i="11"/>
  <c r="AO182" i="11" s="1"/>
  <c r="AR180" i="11"/>
  <c r="AR182" i="11" s="1"/>
  <c r="AV180" i="11"/>
  <c r="AV182" i="11" s="1"/>
  <c r="AU180" i="11"/>
  <c r="AU182" i="11" s="1"/>
  <c r="AL180" i="11"/>
  <c r="AL182" i="11" s="1"/>
  <c r="AQ180" i="11"/>
  <c r="AQ182" i="11" s="1"/>
  <c r="AS180" i="11"/>
  <c r="AS182" i="11" s="1"/>
  <c r="AT180" i="11"/>
  <c r="AT182" i="11" s="1"/>
  <c r="AP180" i="11"/>
  <c r="AP182" i="11" s="1"/>
  <c r="L61" i="11"/>
  <c r="AD60" i="1"/>
  <c r="AP58" i="11"/>
  <c r="AR58" i="11"/>
  <c r="AN58" i="11"/>
  <c r="AQ58" i="11"/>
  <c r="AO58" i="11"/>
  <c r="B59" i="11"/>
  <c r="U23" i="5"/>
  <c r="Z77" i="5"/>
  <c r="Z78" i="5" s="1"/>
  <c r="A80" i="5"/>
  <c r="H77" i="5"/>
  <c r="H78" i="5" s="1"/>
  <c r="F77" i="5"/>
  <c r="F78" i="5" s="1"/>
  <c r="R77" i="5"/>
  <c r="R78" i="5" s="1"/>
  <c r="P77" i="5"/>
  <c r="P78" i="5" s="1"/>
  <c r="AB77" i="5"/>
  <c r="AB78" i="5" s="1"/>
  <c r="AL185" i="11" l="1"/>
  <c r="L62" i="11"/>
  <c r="AD61" i="1"/>
  <c r="AP59" i="11"/>
  <c r="AR59" i="11"/>
  <c r="AO59" i="11"/>
  <c r="AQ59" i="11"/>
  <c r="AN59" i="11"/>
  <c r="B60" i="11"/>
  <c r="R80" i="5"/>
  <c r="Z80" i="5"/>
  <c r="H80" i="5"/>
  <c r="AB80" i="5"/>
  <c r="F80" i="5"/>
  <c r="P80" i="5"/>
  <c r="A81" i="5"/>
  <c r="U24" i="5"/>
  <c r="L63" i="11" l="1"/>
  <c r="AD62" i="1"/>
  <c r="AP60" i="11"/>
  <c r="AR60" i="11"/>
  <c r="AN60" i="11"/>
  <c r="AO60" i="11"/>
  <c r="AQ60" i="11"/>
  <c r="B61" i="11"/>
  <c r="Z81" i="5"/>
  <c r="P81" i="5"/>
  <c r="A82" i="5"/>
  <c r="H81" i="5"/>
  <c r="AB81" i="5"/>
  <c r="F81" i="5"/>
  <c r="R81" i="5"/>
  <c r="U25" i="5"/>
  <c r="L64" i="11" l="1"/>
  <c r="AD63" i="1"/>
  <c r="AQ61" i="11"/>
  <c r="AN61" i="11"/>
  <c r="AP61" i="11"/>
  <c r="AR61" i="11"/>
  <c r="AO61" i="11"/>
  <c r="B62" i="11"/>
  <c r="P82" i="5"/>
  <c r="A83" i="5"/>
  <c r="AB82" i="5"/>
  <c r="H82" i="5"/>
  <c r="Z82" i="5"/>
  <c r="F82" i="5"/>
  <c r="R82" i="5"/>
  <c r="U26" i="5"/>
  <c r="L65" i="11" l="1"/>
  <c r="AD64" i="1"/>
  <c r="AQ62" i="11"/>
  <c r="AN62" i="11"/>
  <c r="AO62" i="11"/>
  <c r="AP62" i="11"/>
  <c r="AR62" i="11"/>
  <c r="B63" i="11"/>
  <c r="R83" i="5"/>
  <c r="R84" i="5" s="1"/>
  <c r="A86" i="5"/>
  <c r="AB83" i="5"/>
  <c r="AB84" i="5" s="1"/>
  <c r="H83" i="5"/>
  <c r="H84" i="5" s="1"/>
  <c r="Z83" i="5"/>
  <c r="Z84" i="5" s="1"/>
  <c r="F83" i="5"/>
  <c r="F84" i="5" s="1"/>
  <c r="P83" i="5"/>
  <c r="P84" i="5" s="1"/>
  <c r="U27" i="5"/>
  <c r="L66" i="11" l="1"/>
  <c r="AD65" i="1"/>
  <c r="AR63" i="11"/>
  <c r="AO63" i="11"/>
  <c r="AN63" i="11"/>
  <c r="AP63" i="11"/>
  <c r="AQ63" i="11"/>
  <c r="B64" i="11"/>
  <c r="AB86" i="5"/>
  <c r="F86" i="5"/>
  <c r="H86" i="5"/>
  <c r="P86" i="5"/>
  <c r="Z86" i="5"/>
  <c r="R86" i="5"/>
  <c r="A87" i="5"/>
  <c r="U28" i="5"/>
  <c r="L67" i="11" l="1"/>
  <c r="AR64" i="11"/>
  <c r="AP64" i="11"/>
  <c r="AO64" i="11"/>
  <c r="AQ64" i="11"/>
  <c r="AN64" i="11"/>
  <c r="B65" i="11"/>
  <c r="U29" i="5"/>
  <c r="A88" i="5"/>
  <c r="H87" i="5"/>
  <c r="R87" i="5"/>
  <c r="F87" i="5"/>
  <c r="P87" i="5"/>
  <c r="Z87" i="5"/>
  <c r="AB87" i="5"/>
  <c r="AP65" i="11" l="1"/>
  <c r="AO65" i="11"/>
  <c r="AN65" i="11"/>
  <c r="AR65" i="11"/>
  <c r="AQ65" i="11"/>
  <c r="B66" i="11"/>
  <c r="U30" i="5"/>
  <c r="H88" i="5"/>
  <c r="F88" i="5"/>
  <c r="R88" i="5"/>
  <c r="AB88" i="5"/>
  <c r="A89" i="5"/>
  <c r="Z88" i="5"/>
  <c r="P88" i="5"/>
  <c r="AQ66" i="11" l="1"/>
  <c r="AN66" i="11"/>
  <c r="AP66" i="11"/>
  <c r="AR66" i="11"/>
  <c r="AO66" i="11"/>
  <c r="B67" i="11"/>
  <c r="U31" i="5"/>
  <c r="R89" i="5"/>
  <c r="R90" i="5" s="1"/>
  <c r="H89" i="5"/>
  <c r="H90" i="5" s="1"/>
  <c r="Z89" i="5"/>
  <c r="Z90" i="5" s="1"/>
  <c r="AB89" i="5"/>
  <c r="AB90" i="5" s="1"/>
  <c r="F89" i="5"/>
  <c r="F90" i="5" s="1"/>
  <c r="P89" i="5"/>
  <c r="P90" i="5" s="1"/>
  <c r="A92" i="5"/>
  <c r="AQ67" i="11" l="1"/>
  <c r="AO67" i="11"/>
  <c r="AN67" i="11"/>
  <c r="AP67" i="11"/>
  <c r="AR67" i="11"/>
  <c r="A93" i="5"/>
  <c r="F92" i="5"/>
  <c r="R92" i="5"/>
  <c r="AB92" i="5"/>
  <c r="H92" i="5"/>
  <c r="P92" i="5"/>
  <c r="Z92" i="5"/>
  <c r="U32" i="5"/>
  <c r="U33" i="5" l="1"/>
  <c r="Z93" i="5"/>
  <c r="H93" i="5"/>
  <c r="F93" i="5"/>
  <c r="AB93" i="5"/>
  <c r="A94" i="5"/>
  <c r="P93" i="5"/>
  <c r="R93" i="5"/>
  <c r="P94" i="5" l="1"/>
  <c r="A95" i="5"/>
  <c r="AB94" i="5"/>
  <c r="Z94" i="5"/>
  <c r="F94" i="5"/>
  <c r="R94" i="5"/>
  <c r="H94" i="5"/>
  <c r="U34" i="5"/>
  <c r="U35" i="5" l="1"/>
  <c r="Z95" i="5"/>
  <c r="Z96" i="5" s="1"/>
  <c r="P95" i="5"/>
  <c r="P96" i="5" s="1"/>
  <c r="R95" i="5"/>
  <c r="R96" i="5" s="1"/>
  <c r="A98" i="5"/>
  <c r="H95" i="5"/>
  <c r="H96" i="5" s="1"/>
  <c r="AB95" i="5"/>
  <c r="AB96" i="5" s="1"/>
  <c r="F95" i="5"/>
  <c r="F96" i="5" s="1"/>
  <c r="R98" i="5" l="1"/>
  <c r="P98" i="5"/>
  <c r="AB98" i="5"/>
  <c r="F98" i="5"/>
  <c r="A99" i="5"/>
  <c r="Z98" i="5"/>
  <c r="H98" i="5"/>
  <c r="U36" i="5"/>
  <c r="U37" i="5" l="1"/>
  <c r="AB99" i="5"/>
  <c r="F99" i="5"/>
  <c r="A100" i="5"/>
  <c r="R99" i="5"/>
  <c r="Z99" i="5"/>
  <c r="P99" i="5"/>
  <c r="H99" i="5"/>
  <c r="P100" i="5" l="1"/>
  <c r="F100" i="5"/>
  <c r="Z100" i="5"/>
  <c r="R100" i="5"/>
  <c r="A101" i="5"/>
  <c r="H100" i="5"/>
  <c r="AB100" i="5"/>
  <c r="U38" i="5"/>
  <c r="A104" i="5" l="1"/>
  <c r="H101" i="5"/>
  <c r="H102" i="5" s="1"/>
  <c r="R101" i="5"/>
  <c r="R102" i="5" s="1"/>
  <c r="P101" i="5"/>
  <c r="P102" i="5" s="1"/>
  <c r="AB101" i="5"/>
  <c r="AB102" i="5" s="1"/>
  <c r="Z101" i="5"/>
  <c r="Z102" i="5" s="1"/>
  <c r="F101" i="5"/>
  <c r="F102" i="5" s="1"/>
  <c r="U39" i="5"/>
  <c r="U40" i="5" l="1"/>
  <c r="P104" i="5"/>
  <c r="R104" i="5"/>
  <c r="Z104" i="5"/>
  <c r="F104" i="5"/>
  <c r="A105" i="5"/>
  <c r="H104" i="5"/>
  <c r="AB104" i="5"/>
  <c r="H105" i="5" l="1"/>
  <c r="A106" i="5"/>
  <c r="R105" i="5"/>
  <c r="AB105" i="5"/>
  <c r="Z105" i="5"/>
  <c r="P105" i="5"/>
  <c r="F105" i="5"/>
  <c r="U41" i="5"/>
  <c r="U42" i="5" l="1"/>
  <c r="Z106" i="5"/>
  <c r="P106" i="5"/>
  <c r="R106" i="5"/>
  <c r="AB106" i="5"/>
  <c r="H106" i="5"/>
  <c r="A107" i="5"/>
  <c r="F106" i="5"/>
  <c r="U43" i="5" l="1"/>
  <c r="R107" i="5"/>
  <c r="R108" i="5" s="1"/>
  <c r="H107" i="5"/>
  <c r="H108" i="5" s="1"/>
  <c r="F107" i="5"/>
  <c r="F108" i="5" s="1"/>
  <c r="A110" i="5"/>
  <c r="Z107" i="5"/>
  <c r="Z108" i="5" s="1"/>
  <c r="AB107" i="5"/>
  <c r="AB108" i="5" s="1"/>
  <c r="P107" i="5"/>
  <c r="P108" i="5" s="1"/>
  <c r="AB110" i="5" l="1"/>
  <c r="F110" i="5"/>
  <c r="A111" i="5"/>
  <c r="R110" i="5"/>
  <c r="H110" i="5"/>
  <c r="Z110" i="5"/>
  <c r="P110" i="5"/>
  <c r="U44" i="5"/>
  <c r="W49" i="5" l="1"/>
  <c r="Y49" i="5"/>
  <c r="F150" i="5" s="1"/>
  <c r="G150" i="5" s="1"/>
  <c r="Z111" i="5"/>
  <c r="Z114" i="5" s="1"/>
  <c r="P111" i="5"/>
  <c r="P114" i="5" s="1"/>
  <c r="AB111" i="5"/>
  <c r="AB114" i="5" s="1"/>
  <c r="H111" i="5"/>
  <c r="H114" i="5" s="1"/>
  <c r="R111" i="5"/>
  <c r="R114" i="5" s="1"/>
  <c r="F111" i="5"/>
  <c r="F114" i="5" s="1"/>
  <c r="Y51" i="5" l="1"/>
  <c r="F149" i="5"/>
  <c r="G149" i="5" l="1"/>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B51"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O51" i="15" l="1"/>
  <c r="AE51" i="15" s="1"/>
  <c r="O31" i="15"/>
  <c r="AE31" i="15" s="1"/>
  <c r="O19" i="15"/>
  <c r="O13" i="15"/>
  <c r="O20" i="15"/>
  <c r="O9" i="15"/>
  <c r="O34" i="15"/>
  <c r="AE34" i="15" s="1"/>
  <c r="O33" i="15"/>
  <c r="AE33" i="15" s="1"/>
  <c r="O17" i="15"/>
  <c r="O35" i="15"/>
  <c r="AE35" i="15" s="1"/>
  <c r="O44" i="15"/>
  <c r="AE44" i="15" s="1"/>
  <c r="O27" i="15"/>
  <c r="AE27" i="15" s="1"/>
  <c r="O26" i="15"/>
  <c r="AE26" i="15" s="1"/>
  <c r="O39" i="15"/>
  <c r="AE39" i="15" s="1"/>
  <c r="O11" i="15"/>
  <c r="O40" i="15"/>
  <c r="AE40" i="15" s="1"/>
  <c r="O12" i="15"/>
  <c r="O42" i="15"/>
  <c r="O50" i="15"/>
  <c r="AE50" i="15" s="1"/>
  <c r="O15" i="15"/>
  <c r="O37" i="15"/>
  <c r="AE37" i="15" s="1"/>
  <c r="O47" i="15"/>
  <c r="AE47" i="15" s="1"/>
  <c r="O29" i="15"/>
  <c r="AE29" i="15" s="1"/>
  <c r="O36" i="15"/>
  <c r="AE36" i="15" s="1"/>
  <c r="O52" i="15"/>
  <c r="AE52" i="15" s="1"/>
  <c r="O10" i="15"/>
  <c r="O14" i="15"/>
  <c r="O25" i="15"/>
  <c r="AE25" i="15" s="1"/>
  <c r="O32" i="15"/>
  <c r="AE32" i="15" s="1"/>
  <c r="N18" i="15"/>
  <c r="AD18" i="15" s="1"/>
  <c r="O18" i="15"/>
  <c r="O41" i="15"/>
  <c r="AE41" i="15" s="1"/>
  <c r="O24" i="15"/>
  <c r="AE24" i="15" s="1"/>
  <c r="O16" i="15"/>
  <c r="O45" i="15"/>
  <c r="AE45" i="15" s="1"/>
  <c r="O46" i="15"/>
  <c r="AE46" i="15" s="1"/>
  <c r="O43" i="15"/>
  <c r="AE43" i="15" s="1"/>
  <c r="N40" i="15"/>
  <c r="AD40" i="15" s="1"/>
  <c r="O48" i="15"/>
  <c r="AE48" i="15" s="1"/>
  <c r="O30" i="15"/>
  <c r="AE30" i="15" s="1"/>
  <c r="O21" i="15"/>
  <c r="O22" i="15"/>
  <c r="AE22" i="15" s="1"/>
  <c r="O49" i="15"/>
  <c r="AE49" i="15" s="1"/>
  <c r="O28" i="15"/>
  <c r="AE28" i="15" s="1"/>
  <c r="O38" i="15"/>
  <c r="AE38" i="15" s="1"/>
  <c r="O23" i="15"/>
  <c r="AE23" i="15" s="1"/>
  <c r="N42" i="15"/>
  <c r="AD42" i="15" s="1"/>
  <c r="N52" i="15"/>
  <c r="AD52" i="15" s="1"/>
  <c r="N15" i="15"/>
  <c r="N28" i="15"/>
  <c r="N13" i="15"/>
  <c r="N41" i="15"/>
  <c r="AD41" i="15" s="1"/>
  <c r="N20" i="15"/>
  <c r="AD20" i="15" s="1"/>
  <c r="N19" i="15"/>
  <c r="AD19" i="15" s="1"/>
  <c r="N34" i="15"/>
  <c r="AD34" i="15" s="1"/>
  <c r="N12" i="15"/>
  <c r="N32" i="15"/>
  <c r="AD32" i="15" s="1"/>
  <c r="N33" i="15"/>
  <c r="AD33" i="15" s="1"/>
  <c r="N46" i="15"/>
  <c r="AD46" i="15" s="1"/>
  <c r="N44" i="15"/>
  <c r="AD44" i="15" s="1"/>
  <c r="N47" i="15"/>
  <c r="AD47" i="15" s="1"/>
  <c r="N37" i="15"/>
  <c r="AD37" i="15" s="1"/>
  <c r="N39" i="15"/>
  <c r="AD39" i="15" s="1"/>
  <c r="N45" i="15"/>
  <c r="AD45" i="15" s="1"/>
  <c r="N16" i="15"/>
  <c r="N26" i="15"/>
  <c r="AD26" i="15" s="1"/>
  <c r="N38" i="15"/>
  <c r="AD38" i="15" s="1"/>
  <c r="N51" i="15"/>
  <c r="AD51" i="15" s="1"/>
  <c r="N24" i="15"/>
  <c r="AD24" i="15" s="1"/>
  <c r="N25" i="15"/>
  <c r="AD25" i="15" s="1"/>
  <c r="N27" i="15"/>
  <c r="AD27" i="15" s="1"/>
  <c r="N10" i="15"/>
  <c r="N29" i="15"/>
  <c r="AD29" i="15" s="1"/>
  <c r="N35" i="15"/>
  <c r="AD35" i="15" s="1"/>
  <c r="N17" i="15"/>
  <c r="AD17" i="15" s="1"/>
  <c r="N22" i="15"/>
  <c r="AD22" i="15" s="1"/>
  <c r="N30" i="15"/>
  <c r="AD30" i="15" s="1"/>
  <c r="N9" i="15"/>
  <c r="N49" i="15"/>
  <c r="AD49" i="15" s="1"/>
  <c r="N31" i="15"/>
  <c r="AD31" i="15" s="1"/>
  <c r="N23" i="15"/>
  <c r="AD23" i="15" s="1"/>
  <c r="N14" i="15"/>
  <c r="N43" i="15"/>
  <c r="AD43" i="15" s="1"/>
  <c r="N11" i="15"/>
  <c r="N48" i="15"/>
  <c r="AD48" i="15" s="1"/>
  <c r="N50" i="15"/>
  <c r="AD50" i="15" s="1"/>
  <c r="N36" i="15"/>
  <c r="AD36" i="15" s="1"/>
  <c r="N21" i="15"/>
  <c r="AD21" i="15" s="1"/>
  <c r="AE42" i="15"/>
  <c r="AD28" i="15"/>
  <c r="M42" i="20"/>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N24" i="20" s="1"/>
  <c r="B42" i="20"/>
  <c r="C31" i="20"/>
  <c r="C39" i="20"/>
  <c r="C29" i="20"/>
  <c r="C48" i="20"/>
  <c r="C46" i="20"/>
  <c r="E13" i="20"/>
  <c r="D25" i="20"/>
  <c r="E48" i="20"/>
  <c r="E31" i="20"/>
  <c r="E33" i="20"/>
  <c r="D51" i="20"/>
  <c r="D22" i="20"/>
  <c r="D46" i="20"/>
  <c r="D43" i="20"/>
  <c r="D47" i="20"/>
  <c r="E17" i="20"/>
  <c r="D31" i="20"/>
  <c r="E9" i="20"/>
  <c r="E27" i="20"/>
  <c r="E35" i="20"/>
  <c r="B22" i="20"/>
  <c r="E32" i="20"/>
  <c r="B49" i="20"/>
  <c r="N49" i="20" s="1"/>
  <c r="B35" i="20"/>
  <c r="B50" i="20"/>
  <c r="C32" i="20"/>
  <c r="C49" i="20"/>
  <c r="C17" i="20"/>
  <c r="C44" i="20"/>
  <c r="C20" i="20"/>
  <c r="E20" i="20"/>
  <c r="D10" i="20"/>
  <c r="D40" i="20"/>
  <c r="E30" i="20"/>
  <c r="D23" i="20"/>
  <c r="E22" i="20"/>
  <c r="E51" i="20"/>
  <c r="B39" i="20"/>
  <c r="N39" i="20" s="1"/>
  <c r="D24" i="20"/>
  <c r="D11" i="20"/>
  <c r="E16" i="20"/>
  <c r="B17" i="20"/>
  <c r="N17" i="20" s="1"/>
  <c r="D36" i="20"/>
  <c r="B21" i="20"/>
  <c r="B11" i="20"/>
  <c r="B46" i="20"/>
  <c r="B12" i="20"/>
  <c r="B44" i="20"/>
  <c r="N44" i="20" s="1"/>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N31" i="20" s="1"/>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N47" i="20" l="1"/>
  <c r="N51" i="20"/>
  <c r="N45" i="20"/>
  <c r="N16" i="20"/>
  <c r="N30" i="20"/>
  <c r="N35" i="20"/>
  <c r="N27" i="20"/>
  <c r="N23" i="20"/>
  <c r="N25" i="20"/>
  <c r="N22" i="20"/>
  <c r="N46" i="20"/>
  <c r="N21" i="20"/>
  <c r="N19" i="20"/>
  <c r="N26" i="20"/>
  <c r="N33" i="20"/>
  <c r="N18" i="20"/>
  <c r="N52" i="20"/>
  <c r="N32" i="20"/>
  <c r="N36" i="20"/>
  <c r="N38" i="20"/>
  <c r="N50" i="20"/>
  <c r="N34" i="20"/>
  <c r="N9" i="20"/>
  <c r="N28" i="20"/>
  <c r="N11" i="20"/>
  <c r="N40" i="20"/>
  <c r="N37" i="20"/>
  <c r="O21" i="20"/>
  <c r="O41" i="20"/>
  <c r="O47" i="20"/>
  <c r="N15" i="20"/>
  <c r="N48" i="20"/>
  <c r="O30" i="20"/>
  <c r="O36" i="20"/>
  <c r="O28" i="20"/>
  <c r="O40" i="20"/>
  <c r="N12" i="20"/>
  <c r="O52" i="20"/>
  <c r="O9" i="20"/>
  <c r="O45" i="20"/>
  <c r="N20" i="20"/>
  <c r="N10" i="20"/>
  <c r="O29" i="20"/>
  <c r="O15" i="20"/>
  <c r="N13" i="20"/>
  <c r="N14" i="20"/>
  <c r="N41" i="20"/>
  <c r="N29" i="20"/>
  <c r="O51" i="20"/>
  <c r="N43" i="20"/>
  <c r="N42" i="20"/>
  <c r="O18" i="20"/>
  <c r="O27" i="20"/>
  <c r="O33" i="20"/>
  <c r="O50" i="20"/>
  <c r="O35" i="20"/>
  <c r="O43" i="20"/>
  <c r="O24" i="20"/>
  <c r="O20" i="20"/>
  <c r="O10" i="20"/>
  <c r="O38" i="20"/>
  <c r="O44" i="20"/>
  <c r="O46" i="20"/>
  <c r="O16" i="20"/>
  <c r="O14" i="20"/>
  <c r="O17" i="20"/>
  <c r="O48" i="20"/>
  <c r="O37" i="20"/>
  <c r="O13" i="20"/>
  <c r="O19" i="20"/>
  <c r="O49" i="20"/>
  <c r="O25" i="20"/>
  <c r="O32" i="20"/>
  <c r="O39" i="20"/>
  <c r="O12" i="20"/>
  <c r="O34" i="20"/>
  <c r="O42" i="20"/>
  <c r="O31" i="20"/>
  <c r="O23" i="20"/>
  <c r="O22" i="20"/>
  <c r="O26" i="20"/>
  <c r="O11" i="20"/>
  <c r="AD15" i="15"/>
  <c r="AD11" i="15"/>
  <c r="AD16" i="15"/>
  <c r="AD12" i="15"/>
  <c r="AD14" i="15"/>
  <c r="AD10" i="15"/>
  <c r="AD13" i="15"/>
  <c r="AD9" i="15"/>
  <c r="AA137" i="5"/>
  <c r="AC137" i="5"/>
  <c r="G153" i="5"/>
  <c r="H143" i="5"/>
  <c r="H147" i="5"/>
  <c r="H151" i="5"/>
  <c r="H153" i="5" l="1"/>
  <c r="BA34" i="11" l="1"/>
  <c r="BA29" i="11"/>
  <c r="BA31" i="11"/>
  <c r="BA32" i="11"/>
  <c r="BA33" i="11"/>
  <c r="BA36" i="11"/>
  <c r="BA30" i="11"/>
  <c r="BA28" i="11"/>
  <c r="AZ40" i="11"/>
  <c r="AZ29" i="11"/>
  <c r="AZ34" i="11"/>
  <c r="AZ38" i="11"/>
  <c r="AZ32" i="11"/>
  <c r="AZ28" i="11"/>
  <c r="AZ37" i="11"/>
  <c r="AZ33" i="11"/>
  <c r="AZ41" i="11"/>
  <c r="AZ39" i="11"/>
  <c r="AZ30" i="11"/>
  <c r="AZ31" i="11"/>
  <c r="AZ36" i="11"/>
  <c r="BA35" i="11" l="1"/>
  <c r="BA27"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BA26" i="11" l="1"/>
  <c r="AY26" i="13"/>
  <c r="AZ26" i="11"/>
  <c r="AY26" i="11"/>
  <c r="AY24" i="13" l="1"/>
  <c r="AZ26" i="13"/>
  <c r="BA26" i="13"/>
  <c r="AX26" i="13"/>
  <c r="M142" i="5"/>
  <c r="BA25" i="11"/>
  <c r="AX26" i="11"/>
  <c r="AY25" i="13"/>
  <c r="AY24" i="11"/>
  <c r="AZ25" i="11"/>
  <c r="AY25" i="11"/>
  <c r="AX24" i="11" l="1"/>
  <c r="BA24" i="11"/>
  <c r="AZ24" i="13"/>
  <c r="BA24" i="13"/>
  <c r="BA25" i="13"/>
  <c r="AZ25" i="13"/>
  <c r="AX24" i="13"/>
  <c r="M143" i="5"/>
  <c r="M145" i="5" s="1"/>
  <c r="N143" i="5" s="1"/>
  <c r="AX25" i="13"/>
  <c r="AX25" i="11"/>
  <c r="AZ24" i="11"/>
  <c r="N142" i="5" l="1"/>
  <c r="N145" i="5" s="1"/>
  <c r="AY30" i="13" l="1"/>
  <c r="AY40" i="13"/>
  <c r="AY32" i="13"/>
  <c r="AY34" i="13"/>
  <c r="AY28" i="13"/>
  <c r="BA28" i="13"/>
  <c r="BA32"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27" i="13"/>
  <c r="AZ36" i="13"/>
  <c r="BA30" i="13"/>
  <c r="AZ31" i="13"/>
  <c r="BA33" i="13"/>
  <c r="BA27" i="13"/>
  <c r="BA35" i="13"/>
  <c r="BA31" i="13"/>
  <c r="BA29" i="13"/>
  <c r="AZ29" i="13"/>
  <c r="AZ35" i="13"/>
  <c r="AZ28" i="13"/>
  <c r="AX27" i="13"/>
  <c r="AX29" i="13"/>
  <c r="AX33" i="11"/>
  <c r="AX35" i="11"/>
  <c r="AX32" i="13"/>
  <c r="AX30" i="13"/>
  <c r="AX33" i="13"/>
  <c r="AX32" i="11"/>
  <c r="AX28" i="13"/>
  <c r="AX34" i="13"/>
  <c r="AX35" i="13"/>
  <c r="AX31" i="11"/>
  <c r="AX31" i="13"/>
  <c r="AX34" i="11"/>
  <c r="O143" i="5"/>
  <c r="O142" i="5"/>
  <c r="Q143" i="5"/>
  <c r="Q142" i="5"/>
  <c r="AX27" i="11"/>
  <c r="AX28" i="11"/>
  <c r="AX30" i="11"/>
  <c r="AX29" i="11"/>
  <c r="AZ30" i="13" l="1"/>
  <c r="O145" i="5"/>
  <c r="P143" i="5" s="1"/>
  <c r="Q145" i="5"/>
  <c r="R143" i="5" s="1"/>
  <c r="R142" i="5" l="1"/>
  <c r="R145" i="5" s="1"/>
  <c r="P142" i="5"/>
  <c r="P145" i="5" s="1"/>
  <c r="AY57" i="13" l="1"/>
  <c r="AY57" i="11"/>
  <c r="AY52" i="11" l="1"/>
  <c r="BA36" i="13" l="1"/>
  <c r="AX37" i="13"/>
  <c r="AX36" i="13"/>
  <c r="AX36" i="11"/>
  <c r="AY42" i="11"/>
  <c r="AY43" i="11"/>
  <c r="AY58" i="13"/>
  <c r="S143" i="5"/>
  <c r="AY53" i="11"/>
  <c r="AY44" i="11"/>
  <c r="S142" i="5"/>
  <c r="AY58" i="11"/>
  <c r="AX38" i="13" l="1"/>
  <c r="AY59" i="11"/>
  <c r="AY54" i="11"/>
  <c r="M147" i="5"/>
  <c r="AY59" i="13"/>
  <c r="S147" i="5"/>
  <c r="S145" i="5"/>
  <c r="T143" i="5" s="1"/>
  <c r="AY45" i="11" l="1"/>
  <c r="T142" i="5"/>
  <c r="T145" i="5" s="1"/>
  <c r="AY56" i="11"/>
  <c r="AY60" i="11"/>
  <c r="AY55" i="11"/>
  <c r="AY60" i="13"/>
  <c r="AY61" i="13" l="1"/>
  <c r="AY61" i="11"/>
  <c r="AY46" i="11"/>
  <c r="AY62" i="13" l="1"/>
  <c r="AY47" i="11"/>
  <c r="AY62" i="11"/>
  <c r="AY49" i="11" l="1"/>
  <c r="AY63" i="11"/>
  <c r="AY48" i="11"/>
  <c r="M152" i="5"/>
  <c r="O147" i="5"/>
  <c r="AY63" i="13"/>
  <c r="AY64" i="13" l="1"/>
  <c r="AY64" i="11"/>
  <c r="AY65" i="13" l="1"/>
  <c r="AY50" i="11"/>
  <c r="AY51" i="11"/>
  <c r="AY65" i="11"/>
  <c r="AX57" i="13" l="1"/>
  <c r="AY66" i="13"/>
  <c r="AY66" i="11"/>
  <c r="AY67" i="11"/>
  <c r="AY42" i="13"/>
  <c r="AY67" i="13"/>
  <c r="AX39" i="13" l="1"/>
  <c r="AX42" i="13"/>
  <c r="O152" i="5"/>
  <c r="AX44" i="13" l="1"/>
  <c r="AX43" i="13"/>
  <c r="S148" i="5"/>
  <c r="AX58" i="13"/>
  <c r="Q147" i="5"/>
  <c r="AX59" i="13" l="1"/>
  <c r="AX40" i="13"/>
  <c r="AX41" i="13"/>
  <c r="S150" i="5"/>
  <c r="AX60" i="13" l="1"/>
  <c r="T147" i="5"/>
  <c r="T150" i="5"/>
  <c r="AX45" i="13"/>
  <c r="T148" i="5"/>
  <c r="AX46" i="13" l="1"/>
  <c r="AX61" i="13"/>
  <c r="AX47" i="13" l="1"/>
  <c r="AX62" i="13"/>
  <c r="AX48" i="13" l="1"/>
  <c r="AX49" i="13"/>
  <c r="AX63" i="13"/>
  <c r="AX64" i="13" l="1"/>
  <c r="M153" i="5"/>
  <c r="AY52" i="13"/>
  <c r="AY44" i="13" l="1"/>
  <c r="AY43" i="13"/>
  <c r="AX50" i="13"/>
  <c r="AX65" i="13"/>
  <c r="AY53" i="13"/>
  <c r="M155" i="5"/>
  <c r="AY54" i="13" l="1"/>
  <c r="AX66" i="13"/>
  <c r="AX67" i="13"/>
  <c r="AX51" i="13"/>
  <c r="N152" i="5"/>
  <c r="N155" i="5"/>
  <c r="N153" i="5"/>
  <c r="AY45" i="13" l="1"/>
  <c r="AY55" i="13"/>
  <c r="AX52" i="13"/>
  <c r="Q148" i="5"/>
  <c r="AY56" i="13"/>
  <c r="AY46" i="13" l="1"/>
  <c r="AX53" i="13"/>
  <c r="M148" i="5"/>
  <c r="O153" i="5"/>
  <c r="Q150" i="5"/>
  <c r="R148" i="5" s="1"/>
  <c r="AY47" i="13" l="1"/>
  <c r="O155" i="5"/>
  <c r="P153" i="5" s="1"/>
  <c r="M150" i="5"/>
  <c r="N147" i="5" s="1"/>
  <c r="R147" i="5"/>
  <c r="R150" i="5"/>
  <c r="AX54" i="13"/>
  <c r="AY48" i="13" l="1"/>
  <c r="AX56" i="13"/>
  <c r="AY49" i="13"/>
  <c r="N148" i="5"/>
  <c r="N150" i="5" s="1"/>
  <c r="P152" i="5"/>
  <c r="P155" i="5"/>
  <c r="AX55" i="13"/>
  <c r="AY51" i="13" l="1"/>
  <c r="AY50" i="13"/>
  <c r="O148" i="5" l="1"/>
  <c r="O150" i="5" l="1"/>
  <c r="P148" i="5" s="1"/>
  <c r="P147" i="5" l="1"/>
  <c r="P150" i="5"/>
  <c r="M32" i="27" l="1"/>
  <c r="AA32" i="27" s="1"/>
  <c r="AC32" i="27" l="1" a="1"/>
  <c r="AC32" i="27" s="1"/>
  <c r="AD32" i="27" s="1"/>
  <c r="M33" i="27"/>
  <c r="AA33" i="27" s="1"/>
  <c r="AC33" i="27" l="1" a="1"/>
  <c r="AC33" i="27" s="1"/>
  <c r="AD33" i="27" s="1"/>
  <c r="M34" i="27"/>
  <c r="AA34" i="27" s="1"/>
  <c r="AC34" i="27" l="1" a="1"/>
  <c r="AC34" i="27" s="1"/>
  <c r="AD34" i="27" s="1"/>
  <c r="M35" i="27"/>
  <c r="AA35" i="27" s="1"/>
  <c r="AC35" i="27" l="1" a="1"/>
  <c r="AC35" i="27" s="1"/>
  <c r="AD35" i="27" s="1"/>
  <c r="M36" i="27"/>
  <c r="AA36" i="27" s="1"/>
  <c r="AC36" i="27" l="1" a="1"/>
  <c r="AC36" i="27" s="1"/>
  <c r="AD36" i="27" s="1"/>
  <c r="M37" i="27"/>
  <c r="AA37" i="27" s="1"/>
  <c r="AC37" i="27" l="1" a="1"/>
  <c r="AC37" i="27" s="1"/>
  <c r="AD37" i="27" s="1"/>
  <c r="M38" i="27"/>
  <c r="AA38" i="27" s="1"/>
  <c r="AC38" i="27" l="1" a="1"/>
  <c r="AC38" i="27" s="1"/>
  <c r="AD38" i="27" s="1"/>
  <c r="M39" i="27"/>
  <c r="AA39" i="27" s="1"/>
  <c r="AC39" i="27" l="1" a="1"/>
  <c r="AC39" i="27" s="1"/>
  <c r="AD39" i="27" s="1"/>
  <c r="M40" i="27"/>
  <c r="AA40" i="27" s="1"/>
  <c r="AC40" i="27" l="1" a="1"/>
  <c r="AC40" i="27" s="1"/>
  <c r="AD40" i="27" s="1"/>
  <c r="M41" i="27"/>
  <c r="AA41" i="27" s="1"/>
  <c r="AC41" i="27" l="1" a="1"/>
  <c r="AC41" i="27" s="1"/>
  <c r="AD41" i="27" s="1"/>
  <c r="M42" i="27"/>
  <c r="AA42" i="27" s="1"/>
  <c r="AC42" i="27" l="1" a="1"/>
  <c r="AC42" i="27" s="1"/>
  <c r="AD42" i="27" s="1"/>
  <c r="M43" i="27"/>
  <c r="AA43" i="27" s="1"/>
  <c r="AC43" i="27" l="1" a="1"/>
  <c r="AC43" i="27" s="1"/>
  <c r="AD43" i="27" s="1"/>
  <c r="M44" i="27"/>
  <c r="AA44" i="27" s="1"/>
  <c r="AC44" i="27" l="1" a="1"/>
  <c r="AC44" i="27" s="1"/>
  <c r="AD44" i="27" s="1"/>
  <c r="M45" i="27"/>
  <c r="AA45" i="27" s="1"/>
  <c r="AC45" i="27" l="1" a="1"/>
  <c r="AC45" i="27" s="1"/>
  <c r="AD45" i="27" s="1"/>
  <c r="M46" i="27"/>
  <c r="AA46" i="27" s="1"/>
  <c r="AC46" i="27" l="1" a="1"/>
  <c r="AC46" i="27" s="1"/>
  <c r="AD46" i="27" s="1"/>
  <c r="M47" i="27"/>
  <c r="AA47" i="27" s="1"/>
  <c r="AC47" i="27" l="1" a="1"/>
  <c r="AC47" i="27" s="1"/>
  <c r="AD47" i="27" s="1"/>
  <c r="M48" i="27"/>
  <c r="AA48" i="27" s="1"/>
  <c r="AC48" i="27" l="1" a="1"/>
  <c r="AC48" i="27" s="1"/>
  <c r="AD48" i="27" s="1"/>
  <c r="M49" i="27"/>
  <c r="AA49" i="27" s="1"/>
  <c r="AC49" i="27" l="1" a="1"/>
  <c r="AC49" i="27" s="1"/>
  <c r="AD49" i="27" s="1"/>
  <c r="M50" i="27"/>
  <c r="AA50" i="27" s="1"/>
  <c r="AC50" i="27" l="1" a="1"/>
  <c r="AC50" i="27" s="1"/>
  <c r="AD50" i="27" s="1"/>
  <c r="M51" i="27"/>
  <c r="AA51" i="27" s="1"/>
  <c r="AC51" i="27" l="1" a="1"/>
  <c r="AC51" i="27" s="1"/>
  <c r="AD51" i="27" s="1"/>
  <c r="M52" i="27"/>
  <c r="AA52" i="27" s="1"/>
  <c r="AC52" i="27" l="1" a="1"/>
  <c r="AC52" i="27" s="1"/>
  <c r="AD52" i="27" s="1"/>
  <c r="S24" i="11"/>
  <c r="AH24" i="11" s="1"/>
  <c r="X24" i="11" l="1"/>
  <c r="AC24" i="11"/>
  <c r="AW24" i="11" l="1"/>
  <c r="BB24" i="11" s="1"/>
  <c r="BF24" i="11" l="1"/>
  <c r="BE24" i="11"/>
  <c r="BH24" i="11"/>
  <c r="BD24" i="11"/>
  <c r="BG24" i="11"/>
  <c r="BC24" i="11" l="1"/>
  <c r="S24" i="13"/>
  <c r="X24" i="13" s="1"/>
  <c r="AC24" i="13"/>
  <c r="AH24" i="13" l="1"/>
  <c r="AW24" i="13" s="1"/>
  <c r="BB24" i="13" s="1"/>
  <c r="BG24" i="13" l="1"/>
  <c r="BH24" i="13"/>
  <c r="BD24" i="13"/>
  <c r="BE24" i="13"/>
  <c r="BF24" i="13"/>
  <c r="BC24" i="13" l="1"/>
  <c r="S26" i="11"/>
  <c r="AH26" i="11" s="1"/>
  <c r="X26" i="11" l="1"/>
  <c r="S25" i="11"/>
  <c r="AH25" i="11" s="1"/>
  <c r="AC26" i="11"/>
  <c r="AW26" i="11" l="1"/>
  <c r="BB26" i="11" s="1"/>
  <c r="X25" i="11"/>
  <c r="S35" i="11"/>
  <c r="AH35" i="11" s="1"/>
  <c r="AC25" i="11"/>
  <c r="AW25" i="11" l="1"/>
  <c r="BB25" i="11" s="1"/>
  <c r="X35" i="11"/>
  <c r="BH26" i="11"/>
  <c r="BD26" i="11"/>
  <c r="BE26" i="11"/>
  <c r="BG26" i="11"/>
  <c r="BF26" i="11"/>
  <c r="S29" i="11"/>
  <c r="AH29" i="11" s="1"/>
  <c r="AC35" i="11"/>
  <c r="AW35" i="11" l="1"/>
  <c r="BB35" i="11" s="1"/>
  <c r="BC26" i="11"/>
  <c r="X29" i="11"/>
  <c r="BE25" i="11"/>
  <c r="BH25" i="11"/>
  <c r="BF25" i="11"/>
  <c r="BG25" i="11"/>
  <c r="BD25" i="11"/>
  <c r="S31" i="11"/>
  <c r="AH31" i="11" s="1"/>
  <c r="AC29" i="11"/>
  <c r="BC25" i="11" l="1"/>
  <c r="AW29" i="11"/>
  <c r="BB29" i="11" s="1"/>
  <c r="X31" i="11"/>
  <c r="BG35" i="11"/>
  <c r="BF35" i="11"/>
  <c r="BD35" i="11"/>
  <c r="BE35" i="11"/>
  <c r="BH35" i="11"/>
  <c r="S32" i="11"/>
  <c r="AH32" i="11" s="1"/>
  <c r="AC31" i="11"/>
  <c r="AW31" i="11" l="1"/>
  <c r="BB31" i="11" s="1"/>
  <c r="X32" i="11"/>
  <c r="BC35" i="11"/>
  <c r="BH29" i="11"/>
  <c r="BE29" i="11"/>
  <c r="BF29" i="11"/>
  <c r="BG29" i="11"/>
  <c r="BD29" i="11"/>
  <c r="S34" i="11"/>
  <c r="AH34" i="11" s="1"/>
  <c r="AC32" i="11"/>
  <c r="BC29" i="11" l="1"/>
  <c r="AW32" i="11"/>
  <c r="BB32" i="11" s="1"/>
  <c r="X34" i="11"/>
  <c r="BF31" i="11"/>
  <c r="BG31" i="11"/>
  <c r="BH31" i="11"/>
  <c r="BE31" i="11"/>
  <c r="BD31" i="11"/>
  <c r="S33" i="11"/>
  <c r="AH33" i="11" s="1"/>
  <c r="AC34" i="11"/>
  <c r="AW34" i="11" l="1"/>
  <c r="BB34" i="11" s="1"/>
  <c r="BC31" i="11"/>
  <c r="X33" i="11"/>
  <c r="BH32" i="11"/>
  <c r="BG32" i="11"/>
  <c r="BF32" i="11"/>
  <c r="BE32" i="11"/>
  <c r="BD32" i="11"/>
  <c r="S30" i="11"/>
  <c r="AH30" i="11" s="1"/>
  <c r="AC33" i="11"/>
  <c r="BC32" i="11" l="1"/>
  <c r="AW33" i="11"/>
  <c r="BB33" i="11" s="1"/>
  <c r="X30" i="11"/>
  <c r="BG34" i="11"/>
  <c r="BH34" i="11"/>
  <c r="BE34" i="11"/>
  <c r="BF34" i="11"/>
  <c r="BD34" i="11"/>
  <c r="S28" i="11"/>
  <c r="AH28" i="11" s="1"/>
  <c r="AC30" i="11"/>
  <c r="AW30" i="11" l="1"/>
  <c r="BB30" i="11" s="1"/>
  <c r="BC34" i="11"/>
  <c r="X28" i="11"/>
  <c r="BG33" i="11"/>
  <c r="BH33" i="11"/>
  <c r="BF33" i="11"/>
  <c r="BE33" i="11"/>
  <c r="BD33" i="11"/>
  <c r="S27" i="11"/>
  <c r="AH27" i="11" s="1"/>
  <c r="AC28" i="11"/>
  <c r="BC33" i="11" l="1"/>
  <c r="AW28" i="11"/>
  <c r="BB28" i="11" s="1"/>
  <c r="X27" i="11"/>
  <c r="BF30" i="11"/>
  <c r="BH30" i="11"/>
  <c r="BG30" i="11"/>
  <c r="BE30" i="11"/>
  <c r="BD30" i="11"/>
  <c r="S36" i="11"/>
  <c r="AH36" i="11" s="1"/>
  <c r="AC27" i="11"/>
  <c r="BC30" i="11" l="1"/>
  <c r="AW27" i="11"/>
  <c r="BB27" i="11" s="1"/>
  <c r="X36" i="11"/>
  <c r="BH28" i="11"/>
  <c r="BF28" i="11"/>
  <c r="BG28" i="11"/>
  <c r="BE28" i="11"/>
  <c r="BD28" i="11"/>
  <c r="S42" i="11"/>
  <c r="AH42" i="11" s="1"/>
  <c r="AC36" i="11"/>
  <c r="BC28" i="11" l="1"/>
  <c r="AW36" i="11"/>
  <c r="BB36" i="11" s="1"/>
  <c r="X42" i="11"/>
  <c r="BE27" i="11"/>
  <c r="BF27" i="11"/>
  <c r="BG27" i="11"/>
  <c r="BH27" i="11"/>
  <c r="BD27" i="11"/>
  <c r="S37" i="11"/>
  <c r="AH37" i="11" s="1"/>
  <c r="AC42" i="11"/>
  <c r="BC27" i="11" l="1"/>
  <c r="AW42" i="11"/>
  <c r="BB42" i="11" s="1"/>
  <c r="X37" i="11"/>
  <c r="BF36" i="11"/>
  <c r="BE36" i="11"/>
  <c r="BH36" i="11"/>
  <c r="BG36" i="11"/>
  <c r="BD36" i="11"/>
  <c r="S43" i="11"/>
  <c r="AH43" i="11" s="1"/>
  <c r="AC37" i="11"/>
  <c r="AW37" i="11" l="1"/>
  <c r="BB37" i="11" s="1"/>
  <c r="BC36" i="11"/>
  <c r="X43" i="11"/>
  <c r="S58" i="11"/>
  <c r="AH58" i="11" s="1"/>
  <c r="AC43" i="11"/>
  <c r="AW43" i="11" l="1"/>
  <c r="BB43" i="11" s="1"/>
  <c r="X58" i="11"/>
  <c r="S39" i="11"/>
  <c r="AH39" i="11" s="1"/>
  <c r="AC58" i="11"/>
  <c r="AW58" i="11" l="1"/>
  <c r="BB58" i="11" s="1"/>
  <c r="X39" i="11"/>
  <c r="S44" i="11"/>
  <c r="AH44" i="11" s="1"/>
  <c r="AC39" i="11"/>
  <c r="AW39" i="11" l="1"/>
  <c r="BB39" i="11" s="1"/>
  <c r="X44" i="11"/>
  <c r="S38" i="11"/>
  <c r="AH38" i="11" s="1"/>
  <c r="AC44" i="11"/>
  <c r="AW44" i="11" l="1"/>
  <c r="BB44" i="11" s="1"/>
  <c r="X38" i="11"/>
  <c r="S57" i="11"/>
  <c r="AH57" i="11" s="1"/>
  <c r="AC38" i="11"/>
  <c r="AW38" i="11" l="1"/>
  <c r="BB38" i="11" s="1"/>
  <c r="X57" i="11"/>
  <c r="S59" i="11"/>
  <c r="AH59" i="11" s="1"/>
  <c r="AC57" i="11"/>
  <c r="AW57" i="11" l="1"/>
  <c r="BB57" i="11" s="1"/>
  <c r="X59" i="11"/>
  <c r="S60" i="11"/>
  <c r="AH60" i="11" s="1"/>
  <c r="AC59" i="11"/>
  <c r="AW59" i="11" l="1"/>
  <c r="BB59" i="11" s="1"/>
  <c r="X60" i="11"/>
  <c r="S45" i="11"/>
  <c r="AH45" i="11" s="1"/>
  <c r="AC60" i="11"/>
  <c r="AW60" i="11" l="1"/>
  <c r="BB60" i="11" s="1"/>
  <c r="X45" i="11"/>
  <c r="S40" i="11"/>
  <c r="AH40" i="11" s="1"/>
  <c r="AC45" i="11"/>
  <c r="AW45" i="11" l="1"/>
  <c r="BB45" i="11" s="1"/>
  <c r="X40" i="11"/>
  <c r="S41" i="11"/>
  <c r="AH41" i="11" s="1"/>
  <c r="AC40" i="11"/>
  <c r="AW40" i="11" l="1"/>
  <c r="BB40" i="11" s="1"/>
  <c r="X41" i="11"/>
  <c r="S61" i="11"/>
  <c r="AH61" i="11" s="1"/>
  <c r="AC41" i="11"/>
  <c r="AW41" i="11" l="1"/>
  <c r="BB41" i="11" s="1"/>
  <c r="X61" i="11"/>
  <c r="S46" i="11"/>
  <c r="AH46" i="11" s="1"/>
  <c r="AC61" i="11"/>
  <c r="AW61" i="11" l="1"/>
  <c r="BB61" i="11" s="1"/>
  <c r="X46" i="11"/>
  <c r="S47" i="11"/>
  <c r="AH47" i="11" s="1"/>
  <c r="AC46" i="11"/>
  <c r="AW46" i="11" l="1"/>
  <c r="BB46" i="11" s="1"/>
  <c r="X47" i="11"/>
  <c r="S62" i="11"/>
  <c r="AH62" i="11" s="1"/>
  <c r="AC47" i="11"/>
  <c r="AW47" i="11" l="1"/>
  <c r="BB47" i="11" s="1"/>
  <c r="X62" i="11"/>
  <c r="S48" i="11"/>
  <c r="AH48" i="11" s="1"/>
  <c r="AC62" i="11"/>
  <c r="AW62" i="11" l="1"/>
  <c r="BB62" i="11" s="1"/>
  <c r="X48" i="11"/>
  <c r="S63" i="11"/>
  <c r="AH63" i="11" s="1"/>
  <c r="AC48" i="11"/>
  <c r="AW48" i="11" l="1"/>
  <c r="BB48" i="11" s="1"/>
  <c r="X63" i="11"/>
  <c r="S49" i="11"/>
  <c r="AH49" i="11" s="1"/>
  <c r="AC63" i="11"/>
  <c r="AW63" i="11" l="1"/>
  <c r="BB63" i="11" s="1"/>
  <c r="X49" i="11"/>
  <c r="S64" i="11"/>
  <c r="AH64" i="11" s="1"/>
  <c r="AC49" i="11"/>
  <c r="AW49" i="11" l="1"/>
  <c r="BB49" i="11" s="1"/>
  <c r="X64" i="11"/>
  <c r="S50" i="11"/>
  <c r="AH50" i="11" s="1"/>
  <c r="AC64" i="11"/>
  <c r="AW64" i="11" l="1"/>
  <c r="BB64" i="11" s="1"/>
  <c r="X50" i="11"/>
  <c r="S65" i="11"/>
  <c r="AH65" i="11" s="1"/>
  <c r="AC50" i="11"/>
  <c r="AW50" i="11" l="1"/>
  <c r="BB50" i="11" s="1"/>
  <c r="X65" i="11"/>
  <c r="S51" i="11"/>
  <c r="AH51" i="11" s="1"/>
  <c r="AC65" i="11"/>
  <c r="AW65" i="11" l="1"/>
  <c r="BB65" i="11" s="1"/>
  <c r="X51" i="11"/>
  <c r="S66" i="11"/>
  <c r="AH66" i="11" s="1"/>
  <c r="AC51" i="11"/>
  <c r="AW51" i="11" l="1"/>
  <c r="BB51" i="11" s="1"/>
  <c r="X66" i="11"/>
  <c r="S67" i="11"/>
  <c r="AH67" i="11" s="1"/>
  <c r="AC66" i="11"/>
  <c r="AW66" i="11" l="1"/>
  <c r="BB66" i="11" s="1"/>
  <c r="X67" i="11"/>
  <c r="S52" i="11"/>
  <c r="AH52" i="11" s="1"/>
  <c r="AC67" i="11"/>
  <c r="AW67" i="11" l="1"/>
  <c r="BB67" i="11" s="1"/>
  <c r="X52" i="11"/>
  <c r="S33" i="13"/>
  <c r="X33" i="13" s="1"/>
  <c r="S26" i="13"/>
  <c r="X26" i="13" s="1"/>
  <c r="S28" i="13"/>
  <c r="X28" i="13" s="1"/>
  <c r="S25" i="13"/>
  <c r="X25" i="13" s="1"/>
  <c r="S32" i="13"/>
  <c r="X32" i="13" s="1"/>
  <c r="S36" i="13"/>
  <c r="X36" i="13" s="1"/>
  <c r="S30" i="13"/>
  <c r="AH30" i="13" s="1"/>
  <c r="S29" i="13"/>
  <c r="X29" i="13" s="1"/>
  <c r="S35" i="13"/>
  <c r="X35" i="13" s="1"/>
  <c r="S53" i="11"/>
  <c r="AH53" i="11" s="1"/>
  <c r="AC29" i="13"/>
  <c r="AC25" i="13"/>
  <c r="AC36" i="13"/>
  <c r="AC32" i="13"/>
  <c r="AC33" i="13"/>
  <c r="AC28" i="13"/>
  <c r="AC26" i="13"/>
  <c r="AC35" i="13"/>
  <c r="AC52" i="11"/>
  <c r="AH25" i="13" l="1"/>
  <c r="AW25" i="13" s="1"/>
  <c r="BB25" i="13" s="1"/>
  <c r="BH25" i="13" s="1"/>
  <c r="AH28" i="13"/>
  <c r="AW28" i="13" s="1"/>
  <c r="BB28" i="13" s="1"/>
  <c r="BG28" i="13" s="1"/>
  <c r="AH29" i="13"/>
  <c r="AW29" i="13" s="1"/>
  <c r="BB29" i="13" s="1"/>
  <c r="BH29" i="13" s="1"/>
  <c r="AH26" i="13"/>
  <c r="AW26" i="13" s="1"/>
  <c r="BB26" i="13" s="1"/>
  <c r="BE26" i="13" s="1"/>
  <c r="AW52" i="11"/>
  <c r="BB52" i="11" s="1"/>
  <c r="X30" i="13"/>
  <c r="X53" i="11"/>
  <c r="AH35" i="13"/>
  <c r="AW35" i="13" s="1"/>
  <c r="BB35" i="13" s="1"/>
  <c r="AH36" i="13"/>
  <c r="AW36" i="13" s="1"/>
  <c r="BB36" i="13" s="1"/>
  <c r="AH33" i="13"/>
  <c r="AW33" i="13" s="1"/>
  <c r="BB33" i="13" s="1"/>
  <c r="AH32" i="13"/>
  <c r="AW32" i="13" s="1"/>
  <c r="BB32" i="13" s="1"/>
  <c r="S31" i="13"/>
  <c r="X31" i="13" s="1"/>
  <c r="S27" i="13"/>
  <c r="X27" i="13" s="1"/>
  <c r="S54" i="11"/>
  <c r="AH54" i="11" s="1"/>
  <c r="AC30" i="13"/>
  <c r="AC27" i="13"/>
  <c r="AC31" i="13"/>
  <c r="AC53" i="11"/>
  <c r="BG25" i="13" l="1"/>
  <c r="BD25" i="13"/>
  <c r="BE25" i="13"/>
  <c r="BF25" i="13"/>
  <c r="BF29" i="13"/>
  <c r="BG29" i="13"/>
  <c r="BE29" i="13"/>
  <c r="BD28" i="13"/>
  <c r="BE28" i="13"/>
  <c r="BH28" i="13"/>
  <c r="BF28" i="13"/>
  <c r="BD29" i="13"/>
  <c r="BG26" i="13"/>
  <c r="BD26" i="13"/>
  <c r="BH26" i="13"/>
  <c r="BF26" i="13"/>
  <c r="AW30" i="13"/>
  <c r="BB30" i="13" s="1"/>
  <c r="AH31" i="13"/>
  <c r="AW31" i="13" s="1"/>
  <c r="BB31" i="13" s="1"/>
  <c r="BE31" i="13" s="1"/>
  <c r="AW53" i="11"/>
  <c r="BB53" i="11" s="1"/>
  <c r="BG36" i="13"/>
  <c r="BE36" i="13"/>
  <c r="BH36" i="13"/>
  <c r="BF36" i="13"/>
  <c r="BD36" i="13"/>
  <c r="AH27" i="13"/>
  <c r="AW27" i="13" s="1"/>
  <c r="BB27" i="13" s="1"/>
  <c r="BH32" i="13"/>
  <c r="BE32" i="13"/>
  <c r="BF32" i="13"/>
  <c r="BG32" i="13"/>
  <c r="BD32" i="13"/>
  <c r="BG35" i="13"/>
  <c r="BE35" i="13"/>
  <c r="BH35" i="13"/>
  <c r="BF35" i="13"/>
  <c r="BD35" i="13"/>
  <c r="X54" i="11"/>
  <c r="BG33" i="13"/>
  <c r="BH33" i="13"/>
  <c r="BE33" i="13"/>
  <c r="BF33" i="13"/>
  <c r="BD33" i="13"/>
  <c r="S34" i="13"/>
  <c r="X34" i="13" s="1"/>
  <c r="S55" i="11"/>
  <c r="AH55" i="11" s="1"/>
  <c r="AC34" i="13"/>
  <c r="AC54" i="11"/>
  <c r="BC25" i="13" l="1"/>
  <c r="BC28" i="13"/>
  <c r="BC29" i="13"/>
  <c r="BC26" i="13"/>
  <c r="BF31" i="13"/>
  <c r="BH31" i="13"/>
  <c r="BH30" i="13"/>
  <c r="BF30" i="13"/>
  <c r="BE30" i="13"/>
  <c r="BG30" i="13"/>
  <c r="BD30" i="13"/>
  <c r="BC33" i="13"/>
  <c r="X55" i="11"/>
  <c r="BD31" i="13"/>
  <c r="BG31" i="13"/>
  <c r="BC35" i="13"/>
  <c r="AW54" i="11"/>
  <c r="BB54" i="11" s="1"/>
  <c r="BE27" i="13"/>
  <c r="BG27" i="13"/>
  <c r="BF27" i="13"/>
  <c r="BH27" i="13"/>
  <c r="BD27" i="13"/>
  <c r="BC32" i="13"/>
  <c r="BC36" i="13"/>
  <c r="AH34" i="13"/>
  <c r="AW34" i="13" s="1"/>
  <c r="BB34" i="13" s="1"/>
  <c r="S56" i="11"/>
  <c r="AH56" i="11" s="1"/>
  <c r="AC55" i="11"/>
  <c r="BC31" i="13" l="1"/>
  <c r="BC30" i="13"/>
  <c r="AW55" i="11"/>
  <c r="BB55" i="11" s="1"/>
  <c r="BC27" i="13"/>
  <c r="BG34" i="13"/>
  <c r="BF34" i="13"/>
  <c r="BH34" i="13"/>
  <c r="BE34" i="13"/>
  <c r="BD34" i="13"/>
  <c r="X56" i="11"/>
  <c r="AC56" i="11"/>
  <c r="BC34" i="13" l="1"/>
  <c r="AW56" i="11"/>
  <c r="BB56" i="11" s="1"/>
  <c r="AM29" i="9" l="1"/>
  <c r="AM24" i="9"/>
  <c r="AN24" i="9" s="1"/>
  <c r="U39" i="4" s="1"/>
  <c r="AM32" i="9"/>
  <c r="AM28" i="9"/>
  <c r="AM30" i="9"/>
  <c r="AM27" i="9"/>
  <c r="AM34" i="9"/>
  <c r="AM25" i="9"/>
  <c r="AM31" i="9"/>
  <c r="AM38" i="9"/>
  <c r="AM36" i="9"/>
  <c r="AM26" i="9"/>
  <c r="AM33" i="9"/>
  <c r="AM35" i="9"/>
  <c r="AM39" i="9"/>
  <c r="AM37" i="9"/>
  <c r="AO39" i="4" l="1"/>
  <c r="AN25" i="9"/>
  <c r="U40" i="4" s="1"/>
  <c r="AO40" i="4" s="1"/>
  <c r="AN34" i="9"/>
  <c r="U49" i="4" s="1"/>
  <c r="AO49" i="4" s="1"/>
  <c r="AN29" i="9"/>
  <c r="U44" i="4" s="1"/>
  <c r="AO44" i="4" s="1"/>
  <c r="AN27" i="9"/>
  <c r="U42" i="4" s="1"/>
  <c r="AO42" i="4" s="1"/>
  <c r="AN37" i="9"/>
  <c r="U52" i="4" s="1"/>
  <c r="AO52" i="4" s="1"/>
  <c r="AN35" i="9"/>
  <c r="U50" i="4" s="1"/>
  <c r="AO50" i="4" s="1"/>
  <c r="AN33" i="9"/>
  <c r="U48" i="4" s="1"/>
  <c r="AO48" i="4" s="1"/>
  <c r="AN30" i="9"/>
  <c r="U45" i="4" s="1"/>
  <c r="AO45" i="4" s="1"/>
  <c r="AN31" i="9"/>
  <c r="U46" i="4" s="1"/>
  <c r="AO46" i="4" s="1"/>
  <c r="AN28" i="9"/>
  <c r="U43" i="4" s="1"/>
  <c r="AO43" i="4" s="1"/>
  <c r="AN39" i="9"/>
  <c r="U54" i="4" s="1"/>
  <c r="AO54" i="4" s="1"/>
  <c r="AN36" i="9"/>
  <c r="U51" i="4" s="1"/>
  <c r="AO51" i="4" s="1"/>
  <c r="AN32" i="9"/>
  <c r="U47" i="4" s="1"/>
  <c r="AO47" i="4" s="1"/>
  <c r="AN26" i="9"/>
  <c r="U41" i="4" s="1"/>
  <c r="AO41" i="4" s="1"/>
  <c r="AN38" i="9"/>
  <c r="U53" i="4" s="1"/>
  <c r="AO53" i="4" s="1"/>
  <c r="AN23" i="9"/>
  <c r="U38" i="4" s="1"/>
  <c r="AO38" i="4" s="1"/>
  <c r="S47" i="4" l="1"/>
  <c r="S60" i="13" s="1"/>
  <c r="S54" i="4"/>
  <c r="S67" i="13" s="1"/>
  <c r="S48" i="4"/>
  <c r="S61" i="13" s="1"/>
  <c r="S41" i="4"/>
  <c r="S54" i="13" s="1"/>
  <c r="S52" i="4"/>
  <c r="S65" i="13" s="1"/>
  <c r="S51" i="4"/>
  <c r="S64" i="13" s="1"/>
  <c r="S43" i="4"/>
  <c r="S56" i="13" s="1"/>
  <c r="S44" i="4"/>
  <c r="S57" i="13" s="1"/>
  <c r="S46" i="4"/>
  <c r="S59" i="13" s="1"/>
  <c r="S49" i="4"/>
  <c r="S62" i="13" s="1"/>
  <c r="S50" i="4"/>
  <c r="S63" i="13" s="1"/>
  <c r="S45" i="4"/>
  <c r="S58" i="13" s="1"/>
  <c r="S40" i="4"/>
  <c r="S53" i="13" s="1"/>
  <c r="S42" i="4"/>
  <c r="S55" i="13" s="1"/>
  <c r="AN22" i="9"/>
  <c r="U37" i="4" s="1"/>
  <c r="AO37" i="4" s="1"/>
  <c r="S39" i="4"/>
  <c r="S52" i="13" s="1"/>
  <c r="S53" i="4"/>
  <c r="S66" i="13" s="1"/>
  <c r="X52" i="13" l="1"/>
  <c r="AH52" i="13"/>
  <c r="X57" i="13"/>
  <c r="AH57" i="13"/>
  <c r="X66" i="13"/>
  <c r="AH66" i="13"/>
  <c r="X56" i="13"/>
  <c r="AH56" i="13"/>
  <c r="X55" i="13"/>
  <c r="AH55" i="13"/>
  <c r="X64" i="13"/>
  <c r="AH64" i="13"/>
  <c r="AH53" i="13"/>
  <c r="X53" i="13"/>
  <c r="X65" i="13"/>
  <c r="AH65" i="13"/>
  <c r="X58" i="13"/>
  <c r="AH58" i="13"/>
  <c r="X54" i="13"/>
  <c r="AH54" i="13"/>
  <c r="X63" i="13"/>
  <c r="AH63" i="13"/>
  <c r="X61" i="13"/>
  <c r="AH61" i="13"/>
  <c r="X62" i="13"/>
  <c r="AH62" i="13"/>
  <c r="X67" i="13"/>
  <c r="AH67" i="13"/>
  <c r="X59" i="13"/>
  <c r="AH59" i="13"/>
  <c r="X60" i="13"/>
  <c r="AH60" i="13"/>
  <c r="R54" i="13"/>
  <c r="Q54" i="13"/>
  <c r="O54" i="11"/>
  <c r="R54" i="11"/>
  <c r="R56" i="13"/>
  <c r="Q56" i="13"/>
  <c r="O56" i="11"/>
  <c r="R56" i="11"/>
  <c r="AN21" i="9"/>
  <c r="U36" i="4" s="1"/>
  <c r="AO36" i="4" s="1"/>
  <c r="R61" i="13"/>
  <c r="Q61" i="13"/>
  <c r="O61" i="11"/>
  <c r="R61" i="11"/>
  <c r="S38" i="4"/>
  <c r="S51" i="13" s="1"/>
  <c r="Q55" i="13"/>
  <c r="R55" i="13"/>
  <c r="O55" i="11"/>
  <c r="R55" i="11"/>
  <c r="Q62" i="13"/>
  <c r="R62" i="13"/>
  <c r="O62" i="11"/>
  <c r="R62" i="11"/>
  <c r="R64" i="13"/>
  <c r="Q64" i="13"/>
  <c r="O64" i="11"/>
  <c r="R64" i="11"/>
  <c r="Q67" i="13"/>
  <c r="R67" i="13"/>
  <c r="O67" i="11"/>
  <c r="R67" i="11"/>
  <c r="Q52" i="13"/>
  <c r="R52" i="13"/>
  <c r="O52" i="11"/>
  <c r="R52" i="11"/>
  <c r="Q63" i="13"/>
  <c r="R63" i="13"/>
  <c r="O63" i="11"/>
  <c r="R63" i="11"/>
  <c r="Q57" i="13"/>
  <c r="R57" i="13"/>
  <c r="O57" i="11"/>
  <c r="R57" i="11"/>
  <c r="R66" i="13"/>
  <c r="Q66" i="13"/>
  <c r="O66" i="11"/>
  <c r="R66" i="11"/>
  <c r="R59" i="13"/>
  <c r="Q59" i="13"/>
  <c r="O59" i="11"/>
  <c r="R59" i="11"/>
  <c r="R65" i="13"/>
  <c r="Q65" i="13"/>
  <c r="O65" i="11"/>
  <c r="R65" i="11"/>
  <c r="R58" i="13"/>
  <c r="Q58" i="13"/>
  <c r="O58" i="11"/>
  <c r="R58" i="11"/>
  <c r="Q53" i="13"/>
  <c r="R53" i="13"/>
  <c r="O53" i="11"/>
  <c r="R53" i="11"/>
  <c r="Q60" i="13"/>
  <c r="R60" i="13"/>
  <c r="O60" i="11"/>
  <c r="R60" i="11"/>
  <c r="AC54" i="13"/>
  <c r="AC61" i="13"/>
  <c r="AC67" i="13"/>
  <c r="AC60" i="13"/>
  <c r="AC52" i="13"/>
  <c r="AC66" i="13"/>
  <c r="AC63" i="13"/>
  <c r="AC55" i="13"/>
  <c r="AC58" i="13"/>
  <c r="AC59" i="13"/>
  <c r="AC62" i="13"/>
  <c r="AC53" i="13"/>
  <c r="AC57" i="13"/>
  <c r="AC56" i="13"/>
  <c r="AC64" i="13"/>
  <c r="AC65" i="13"/>
  <c r="AW60" i="13" l="1"/>
  <c r="BB60" i="13" s="1"/>
  <c r="AW61" i="13"/>
  <c r="BB61" i="13" s="1"/>
  <c r="AW65" i="13"/>
  <c r="BB65" i="13" s="1"/>
  <c r="AW56" i="13"/>
  <c r="BB56" i="13" s="1"/>
  <c r="AW59" i="13"/>
  <c r="BB59" i="13" s="1"/>
  <c r="AW63" i="13"/>
  <c r="BB63" i="13" s="1"/>
  <c r="AW66" i="13"/>
  <c r="BB66" i="13" s="1"/>
  <c r="AW53" i="13"/>
  <c r="BB53" i="13" s="1"/>
  <c r="AW67" i="13"/>
  <c r="BB67" i="13" s="1"/>
  <c r="AW54" i="13"/>
  <c r="BB54" i="13" s="1"/>
  <c r="AW64" i="13"/>
  <c r="BB64" i="13" s="1"/>
  <c r="AW57" i="13"/>
  <c r="BB57" i="13" s="1"/>
  <c r="AW62" i="13"/>
  <c r="BB62" i="13" s="1"/>
  <c r="AW58" i="13"/>
  <c r="BB58" i="13" s="1"/>
  <c r="AW55" i="13"/>
  <c r="BB55" i="13" s="1"/>
  <c r="AW52" i="13"/>
  <c r="BB52" i="13" s="1"/>
  <c r="X51" i="13"/>
  <c r="AH51" i="13"/>
  <c r="T62" i="11"/>
  <c r="AD62" i="11"/>
  <c r="AG60" i="13"/>
  <c r="W60" i="13"/>
  <c r="AG53" i="11"/>
  <c r="W53" i="11"/>
  <c r="W65" i="11"/>
  <c r="AG65" i="11"/>
  <c r="W66" i="11"/>
  <c r="AG66" i="11"/>
  <c r="W63" i="11"/>
  <c r="AG63" i="11"/>
  <c r="AG67" i="11"/>
  <c r="W67" i="11"/>
  <c r="AG62" i="11"/>
  <c r="W62" i="11"/>
  <c r="Q51" i="13"/>
  <c r="R51" i="13"/>
  <c r="O51" i="11"/>
  <c r="R51" i="11"/>
  <c r="W56" i="11"/>
  <c r="AG56" i="11"/>
  <c r="AD63" i="11"/>
  <c r="T63" i="11"/>
  <c r="AF65" i="13"/>
  <c r="V65" i="13"/>
  <c r="AF66" i="13"/>
  <c r="V66" i="13"/>
  <c r="AG63" i="13"/>
  <c r="W63" i="13"/>
  <c r="AG67" i="13"/>
  <c r="W67" i="13"/>
  <c r="AG62" i="13"/>
  <c r="W62" i="13"/>
  <c r="W61" i="11"/>
  <c r="AG61" i="11"/>
  <c r="AF56" i="13"/>
  <c r="V56" i="13"/>
  <c r="AD53" i="11"/>
  <c r="T53" i="11"/>
  <c r="AG53" i="13"/>
  <c r="W53" i="13"/>
  <c r="AF53" i="13"/>
  <c r="V53" i="13"/>
  <c r="AG65" i="13"/>
  <c r="W65" i="13"/>
  <c r="AG66" i="13"/>
  <c r="W66" i="13"/>
  <c r="AF63" i="13"/>
  <c r="V63" i="13"/>
  <c r="AF67" i="13"/>
  <c r="V67" i="13"/>
  <c r="AF62" i="13"/>
  <c r="V62" i="13"/>
  <c r="T61" i="11"/>
  <c r="AD61" i="11"/>
  <c r="AG56" i="13"/>
  <c r="W56" i="13"/>
  <c r="T67" i="11"/>
  <c r="AD67" i="11"/>
  <c r="W58" i="11"/>
  <c r="AG58" i="11"/>
  <c r="W59" i="11"/>
  <c r="AG59" i="11"/>
  <c r="AG57" i="11"/>
  <c r="W57" i="11"/>
  <c r="AG52" i="11"/>
  <c r="W52" i="11"/>
  <c r="W64" i="11"/>
  <c r="AG64" i="11"/>
  <c r="AG55" i="11"/>
  <c r="W55" i="11"/>
  <c r="AF61" i="13"/>
  <c r="V61" i="13"/>
  <c r="AG54" i="11"/>
  <c r="W54" i="11"/>
  <c r="T65" i="11"/>
  <c r="AD65" i="11"/>
  <c r="AG60" i="11"/>
  <c r="W60" i="11"/>
  <c r="AD58" i="11"/>
  <c r="T58" i="11"/>
  <c r="T59" i="11"/>
  <c r="AD59" i="11"/>
  <c r="T57" i="11"/>
  <c r="AD57" i="11"/>
  <c r="AD52" i="11"/>
  <c r="T52" i="11"/>
  <c r="AD64" i="11"/>
  <c r="T64" i="11"/>
  <c r="T55" i="11"/>
  <c r="AD55" i="11"/>
  <c r="AG61" i="13"/>
  <c r="W61" i="13"/>
  <c r="AD54" i="11"/>
  <c r="T54" i="11"/>
  <c r="T66" i="11"/>
  <c r="AD66" i="11"/>
  <c r="T60" i="11"/>
  <c r="AD60" i="11"/>
  <c r="AF58" i="13"/>
  <c r="V58" i="13"/>
  <c r="AF59" i="13"/>
  <c r="V59" i="13"/>
  <c r="AG57" i="13"/>
  <c r="W57" i="13"/>
  <c r="AG52" i="13"/>
  <c r="W52" i="13"/>
  <c r="AF64" i="13"/>
  <c r="V64" i="13"/>
  <c r="AG55" i="13"/>
  <c r="W55" i="13"/>
  <c r="S37" i="4"/>
  <c r="S50" i="13" s="1"/>
  <c r="AF54" i="13"/>
  <c r="V54" i="13"/>
  <c r="T56" i="11"/>
  <c r="AD56" i="11"/>
  <c r="AF60" i="13"/>
  <c r="V60" i="13"/>
  <c r="AG58" i="13"/>
  <c r="W58" i="13"/>
  <c r="AG59" i="13"/>
  <c r="W59" i="13"/>
  <c r="AF57" i="13"/>
  <c r="V57" i="13"/>
  <c r="AF52" i="13"/>
  <c r="V52" i="13"/>
  <c r="AG64" i="13"/>
  <c r="W64" i="13"/>
  <c r="AF55" i="13"/>
  <c r="V55" i="13"/>
  <c r="AN20" i="9"/>
  <c r="U35" i="4" s="1"/>
  <c r="AO35" i="4" s="1"/>
  <c r="AG54" i="13"/>
  <c r="W54" i="13"/>
  <c r="AC51" i="13"/>
  <c r="AB66" i="13"/>
  <c r="AB55" i="13"/>
  <c r="AB65" i="13"/>
  <c r="AA58" i="13"/>
  <c r="AB67" i="13"/>
  <c r="AA52" i="13"/>
  <c r="AB53" i="13"/>
  <c r="AA64" i="13"/>
  <c r="AB64" i="13"/>
  <c r="AB54" i="13"/>
  <c r="AB57" i="13"/>
  <c r="AB52" i="13"/>
  <c r="AA63" i="13"/>
  <c r="AB63" i="13"/>
  <c r="AA67" i="13"/>
  <c r="AA65" i="13"/>
  <c r="AA53" i="13"/>
  <c r="AA60" i="13"/>
  <c r="AA57" i="13"/>
  <c r="AA59" i="13"/>
  <c r="AA61" i="13"/>
  <c r="AB62" i="13"/>
  <c r="AA66" i="13"/>
  <c r="AA54" i="13"/>
  <c r="AB58" i="13"/>
  <c r="AB59" i="13"/>
  <c r="AB60" i="13"/>
  <c r="AA62" i="13"/>
  <c r="AA55" i="13"/>
  <c r="AB61" i="13"/>
  <c r="AA56" i="13"/>
  <c r="AB56" i="13"/>
  <c r="AB59" i="11"/>
  <c r="AB55" i="11"/>
  <c r="AB56" i="11"/>
  <c r="AB57" i="11"/>
  <c r="AB67" i="11"/>
  <c r="AB53" i="11"/>
  <c r="AB60" i="11"/>
  <c r="AB54" i="11"/>
  <c r="AB64" i="11"/>
  <c r="AB58" i="11"/>
  <c r="AB63" i="11"/>
  <c r="AB61" i="11"/>
  <c r="AB66" i="11"/>
  <c r="AB52" i="11"/>
  <c r="AB62" i="11"/>
  <c r="AB65" i="11"/>
  <c r="Y67" i="11"/>
  <c r="Y61" i="11"/>
  <c r="Y54" i="11"/>
  <c r="Y63" i="11"/>
  <c r="Y59" i="11"/>
  <c r="Y55" i="11"/>
  <c r="Y66" i="11"/>
  <c r="Y58" i="11"/>
  <c r="Y62" i="11"/>
  <c r="Y65" i="11"/>
  <c r="Y60" i="11"/>
  <c r="Y53" i="11"/>
  <c r="Y57" i="11"/>
  <c r="Y52" i="11"/>
  <c r="Y64" i="11"/>
  <c r="Y56" i="11"/>
  <c r="AW51" i="13" l="1"/>
  <c r="BB51" i="13" s="1"/>
  <c r="X50" i="13"/>
  <c r="AH50" i="13"/>
  <c r="AV54" i="13"/>
  <c r="BA54" i="13" s="1"/>
  <c r="AU60" i="13"/>
  <c r="AZ60" i="13" s="1"/>
  <c r="AU59" i="13"/>
  <c r="AZ59" i="13" s="1"/>
  <c r="AV66" i="13"/>
  <c r="BA66" i="13" s="1"/>
  <c r="AV67" i="13"/>
  <c r="BA67" i="13" s="1"/>
  <c r="AV55" i="13"/>
  <c r="BA55" i="13" s="1"/>
  <c r="AU57" i="13"/>
  <c r="AZ57" i="13" s="1"/>
  <c r="AU58" i="13"/>
  <c r="AZ58" i="13" s="1"/>
  <c r="AV61" i="13"/>
  <c r="BA61" i="13" s="1"/>
  <c r="AU62" i="13"/>
  <c r="AZ62" i="13" s="1"/>
  <c r="AV63" i="13"/>
  <c r="BA63" i="13" s="1"/>
  <c r="AU64" i="13"/>
  <c r="AZ64" i="13" s="1"/>
  <c r="AU56" i="13"/>
  <c r="AZ56" i="13" s="1"/>
  <c r="AU52" i="13"/>
  <c r="AZ52" i="13" s="1"/>
  <c r="AV65" i="13"/>
  <c r="BA65" i="13" s="1"/>
  <c r="AU55" i="13"/>
  <c r="AZ55" i="13" s="1"/>
  <c r="AV59" i="13"/>
  <c r="BA59" i="13" s="1"/>
  <c r="AU54" i="13"/>
  <c r="AZ54" i="13" s="1"/>
  <c r="AV52" i="13"/>
  <c r="BA52" i="13" s="1"/>
  <c r="AU67" i="13"/>
  <c r="AZ67" i="13" s="1"/>
  <c r="AU53" i="13"/>
  <c r="AZ53" i="13" s="1"/>
  <c r="AU66" i="13"/>
  <c r="AZ66" i="13" s="1"/>
  <c r="AV60" i="13"/>
  <c r="BA60" i="13" s="1"/>
  <c r="AV64" i="13"/>
  <c r="BA64" i="13" s="1"/>
  <c r="AV58" i="13"/>
  <c r="BA58" i="13" s="1"/>
  <c r="AV57" i="13"/>
  <c r="BA57" i="13" s="1"/>
  <c r="AU61" i="13"/>
  <c r="AZ61" i="13" s="1"/>
  <c r="AV56" i="13"/>
  <c r="BA56" i="13" s="1"/>
  <c r="AU63" i="13"/>
  <c r="AZ63" i="13" s="1"/>
  <c r="AV53" i="13"/>
  <c r="BA53" i="13" s="1"/>
  <c r="AV62" i="13"/>
  <c r="BA62" i="13" s="1"/>
  <c r="AU65" i="13"/>
  <c r="AZ65" i="13" s="1"/>
  <c r="AS59" i="11"/>
  <c r="AX59" i="11" s="1"/>
  <c r="AS54" i="11"/>
  <c r="AX54" i="11" s="1"/>
  <c r="AS52" i="11"/>
  <c r="AX52" i="11" s="1"/>
  <c r="AS53" i="11"/>
  <c r="AX53" i="11" s="1"/>
  <c r="AS63" i="11"/>
  <c r="AX63" i="11" s="1"/>
  <c r="AS60" i="11"/>
  <c r="AX60" i="11" s="1"/>
  <c r="AS61" i="11"/>
  <c r="AX61" i="11" s="1"/>
  <c r="AS55" i="11"/>
  <c r="AX55" i="11" s="1"/>
  <c r="AS56" i="11"/>
  <c r="AX56" i="11" s="1"/>
  <c r="AS57" i="11"/>
  <c r="AX57" i="11" s="1"/>
  <c r="AS65" i="11"/>
  <c r="AX65" i="11" s="1"/>
  <c r="AS67" i="11"/>
  <c r="AX67" i="11" s="1"/>
  <c r="AS64" i="11"/>
  <c r="AX64" i="11" s="1"/>
  <c r="AS58" i="11"/>
  <c r="AX58" i="11" s="1"/>
  <c r="AS66" i="11"/>
  <c r="AX66" i="11" s="1"/>
  <c r="AS62" i="11"/>
  <c r="AX62" i="11" s="1"/>
  <c r="AV59" i="11"/>
  <c r="BA59" i="11" s="1"/>
  <c r="AV65" i="11"/>
  <c r="BA65" i="11" s="1"/>
  <c r="AV60" i="11"/>
  <c r="BA60" i="11" s="1"/>
  <c r="AV55" i="11"/>
  <c r="BA55" i="11" s="1"/>
  <c r="AV62" i="11"/>
  <c r="BA62" i="11" s="1"/>
  <c r="AV64" i="11"/>
  <c r="BA64" i="11" s="1"/>
  <c r="AV58" i="11"/>
  <c r="BA58" i="11" s="1"/>
  <c r="AV56" i="11"/>
  <c r="BA56" i="11" s="1"/>
  <c r="AV67" i="11"/>
  <c r="BA67" i="11" s="1"/>
  <c r="AV53" i="11"/>
  <c r="BA53" i="11" s="1"/>
  <c r="AV61" i="11"/>
  <c r="BA61" i="11" s="1"/>
  <c r="AV63" i="11"/>
  <c r="BA63" i="11" s="1"/>
  <c r="AV54" i="11"/>
  <c r="BA54" i="11" s="1"/>
  <c r="AV52" i="11"/>
  <c r="BA52" i="11" s="1"/>
  <c r="AV66" i="11"/>
  <c r="BA66" i="11" s="1"/>
  <c r="AV57" i="11"/>
  <c r="BA57" i="11" s="1"/>
  <c r="S36" i="4"/>
  <c r="S49" i="13" s="1"/>
  <c r="AN19" i="9"/>
  <c r="U34" i="4" s="1"/>
  <c r="AO34" i="4" s="1"/>
  <c r="W51" i="11"/>
  <c r="AG51" i="11"/>
  <c r="AD51" i="11"/>
  <c r="T51" i="11"/>
  <c r="Q50" i="13"/>
  <c r="R50" i="13"/>
  <c r="O50" i="11"/>
  <c r="R50" i="11"/>
  <c r="AG51" i="13"/>
  <c r="W51" i="13"/>
  <c r="AF51" i="13"/>
  <c r="V51" i="13"/>
  <c r="AA51" i="13"/>
  <c r="AC50" i="13"/>
  <c r="AB51" i="13"/>
  <c r="AB51" i="11"/>
  <c r="Y51" i="11"/>
  <c r="AW50" i="13" l="1"/>
  <c r="BB50" i="13" s="1"/>
  <c r="X49" i="13"/>
  <c r="AH49" i="13"/>
  <c r="BE66" i="13"/>
  <c r="BD64" i="13"/>
  <c r="BE61" i="13"/>
  <c r="BE67" i="13"/>
  <c r="BH60" i="13"/>
  <c r="BH63" i="13"/>
  <c r="BE53" i="13"/>
  <c r="BE54" i="13"/>
  <c r="BH66" i="13"/>
  <c r="BF65" i="13"/>
  <c r="BH62" i="13"/>
  <c r="BF63" i="13"/>
  <c r="BG63" i="13"/>
  <c r="BF61" i="13"/>
  <c r="BD61" i="13"/>
  <c r="BE57" i="13"/>
  <c r="BG61" i="13"/>
  <c r="BE56" i="13"/>
  <c r="BD66" i="13"/>
  <c r="BF66" i="13"/>
  <c r="BD62" i="13"/>
  <c r="BG67" i="13"/>
  <c r="BG59" i="13"/>
  <c r="BF67" i="13"/>
  <c r="BH59" i="13"/>
  <c r="BH61" i="13"/>
  <c r="BD53" i="13"/>
  <c r="BE55" i="13"/>
  <c r="BD58" i="13"/>
  <c r="BD59" i="13"/>
  <c r="BG56" i="13"/>
  <c r="BF57" i="13"/>
  <c r="BD63" i="13"/>
  <c r="BG66" i="13"/>
  <c r="BH56" i="13"/>
  <c r="BF62" i="13"/>
  <c r="BE63" i="13"/>
  <c r="BD67" i="13"/>
  <c r="BE59" i="13"/>
  <c r="BF53" i="13"/>
  <c r="BD56" i="13"/>
  <c r="BG60" i="13"/>
  <c r="BH57" i="13"/>
  <c r="BE60" i="13"/>
  <c r="BD52" i="13"/>
  <c r="BD60" i="13"/>
  <c r="BG62" i="13"/>
  <c r="BE62" i="13"/>
  <c r="BH67" i="13"/>
  <c r="BD57" i="13"/>
  <c r="BF52" i="13"/>
  <c r="BG53" i="13"/>
  <c r="BF56" i="13"/>
  <c r="BH53" i="13"/>
  <c r="BF59" i="13"/>
  <c r="BF54" i="13"/>
  <c r="BF60" i="13"/>
  <c r="BG54" i="13"/>
  <c r="BG55" i="13"/>
  <c r="BG57" i="13"/>
  <c r="BG52" i="13"/>
  <c r="BF55" i="13"/>
  <c r="BH52" i="13"/>
  <c r="BD54" i="13"/>
  <c r="BG64" i="13"/>
  <c r="BE52" i="13"/>
  <c r="AU51" i="13"/>
  <c r="AZ51" i="13" s="1"/>
  <c r="BD55" i="13"/>
  <c r="BH58" i="13"/>
  <c r="BH64" i="13"/>
  <c r="BG58" i="13"/>
  <c r="BF64" i="13"/>
  <c r="BE58" i="13"/>
  <c r="BH54" i="13"/>
  <c r="BH55" i="13"/>
  <c r="BF58" i="13"/>
  <c r="BE65" i="13"/>
  <c r="BH65" i="13"/>
  <c r="BE64" i="13"/>
  <c r="BD65" i="13"/>
  <c r="BG65" i="13"/>
  <c r="AV51" i="13"/>
  <c r="BA51" i="13" s="1"/>
  <c r="AS51" i="11"/>
  <c r="AX51" i="11" s="1"/>
  <c r="BH62" i="11"/>
  <c r="BE62" i="11"/>
  <c r="BF62" i="11"/>
  <c r="BG62" i="11"/>
  <c r="BD62" i="11"/>
  <c r="BE55" i="11"/>
  <c r="BD55" i="11"/>
  <c r="BH55" i="11"/>
  <c r="BG55" i="11"/>
  <c r="BF55" i="11"/>
  <c r="BF66" i="11"/>
  <c r="BD66" i="11"/>
  <c r="BG66" i="11"/>
  <c r="BH66" i="11"/>
  <c r="BE66" i="11"/>
  <c r="BE61" i="11"/>
  <c r="BF61" i="11"/>
  <c r="BH61" i="11"/>
  <c r="BD61" i="11"/>
  <c r="BG61" i="11"/>
  <c r="BG58" i="11"/>
  <c r="BH58" i="11"/>
  <c r="BD58" i="11"/>
  <c r="BF58" i="11"/>
  <c r="BE58" i="11"/>
  <c r="BE60" i="11"/>
  <c r="BG60" i="11"/>
  <c r="BF60" i="11"/>
  <c r="BD60" i="11"/>
  <c r="BH60" i="11"/>
  <c r="BF64" i="11"/>
  <c r="BD64" i="11"/>
  <c r="BH64" i="11"/>
  <c r="BE64" i="11"/>
  <c r="BG64" i="11"/>
  <c r="BH63" i="11"/>
  <c r="BF63" i="11"/>
  <c r="BG63" i="11"/>
  <c r="BE63" i="11"/>
  <c r="BD63" i="11"/>
  <c r="BH67" i="11"/>
  <c r="BG67" i="11"/>
  <c r="BE67" i="11"/>
  <c r="BD67" i="11"/>
  <c r="BF67" i="11"/>
  <c r="BH53" i="11"/>
  <c r="BD53" i="11"/>
  <c r="BG53" i="11"/>
  <c r="BE53" i="11"/>
  <c r="BF53" i="11"/>
  <c r="AV51" i="11"/>
  <c r="BA51" i="11" s="1"/>
  <c r="BF65" i="11"/>
  <c r="BG65" i="11"/>
  <c r="BH65" i="11"/>
  <c r="BE65" i="11"/>
  <c r="BD65" i="11"/>
  <c r="BD52" i="11"/>
  <c r="BH52" i="11"/>
  <c r="BE52" i="11"/>
  <c r="BF52" i="11"/>
  <c r="BG52" i="11"/>
  <c r="BH57" i="11"/>
  <c r="BF57" i="11"/>
  <c r="BD57" i="11"/>
  <c r="BG57" i="11"/>
  <c r="BE57" i="11"/>
  <c r="BH54" i="11"/>
  <c r="BD54" i="11"/>
  <c r="BG54" i="11"/>
  <c r="BF54" i="11"/>
  <c r="BE54" i="11"/>
  <c r="BE56" i="11"/>
  <c r="BF56" i="11"/>
  <c r="BG56" i="11"/>
  <c r="BD56" i="11"/>
  <c r="BH56" i="11"/>
  <c r="BG59" i="11"/>
  <c r="BD59" i="11"/>
  <c r="BE59" i="11"/>
  <c r="BH59" i="11"/>
  <c r="BF59" i="11"/>
  <c r="AG50" i="11"/>
  <c r="W50" i="11"/>
  <c r="S35" i="4"/>
  <c r="S48" i="13" s="1"/>
  <c r="T50" i="11"/>
  <c r="AD50" i="11"/>
  <c r="AN18" i="9"/>
  <c r="U33" i="4" s="1"/>
  <c r="AO33" i="4" s="1"/>
  <c r="AG50" i="13"/>
  <c r="W50" i="13"/>
  <c r="Q49" i="13"/>
  <c r="R49" i="13"/>
  <c r="R49" i="11"/>
  <c r="O49" i="11"/>
  <c r="AF50" i="13"/>
  <c r="V50" i="13"/>
  <c r="AB50" i="13"/>
  <c r="AC49" i="13"/>
  <c r="AA50" i="13"/>
  <c r="AB50" i="11"/>
  <c r="Y50" i="11"/>
  <c r="AW49" i="13" l="1"/>
  <c r="BB49" i="13" s="1"/>
  <c r="X48" i="13"/>
  <c r="AH48" i="13"/>
  <c r="BC63" i="13"/>
  <c r="BC54" i="13"/>
  <c r="BC61" i="13"/>
  <c r="BC62" i="13"/>
  <c r="BC66" i="13"/>
  <c r="BC55" i="11"/>
  <c r="BC62" i="11"/>
  <c r="BC58" i="11"/>
  <c r="BC60" i="13"/>
  <c r="BC67" i="13"/>
  <c r="BC56" i="13"/>
  <c r="BC59" i="13"/>
  <c r="BC57" i="13"/>
  <c r="BC53" i="13"/>
  <c r="BC52" i="13"/>
  <c r="BC55" i="13"/>
  <c r="BE51" i="13"/>
  <c r="BD51" i="13"/>
  <c r="BH51" i="13"/>
  <c r="BC64" i="13"/>
  <c r="BG51" i="13"/>
  <c r="BC65" i="13"/>
  <c r="BC58" i="13"/>
  <c r="BF51" i="13"/>
  <c r="AU50" i="13"/>
  <c r="AZ50" i="13" s="1"/>
  <c r="AV50" i="13"/>
  <c r="BA50" i="13" s="1"/>
  <c r="BC53" i="11"/>
  <c r="BC60" i="11"/>
  <c r="AS50" i="11"/>
  <c r="AX50" i="11" s="1"/>
  <c r="BC59" i="11"/>
  <c r="BC54" i="11"/>
  <c r="BC67" i="11"/>
  <c r="BC66" i="11"/>
  <c r="AV50" i="11"/>
  <c r="BA50" i="11" s="1"/>
  <c r="BC56" i="11"/>
  <c r="BC61" i="11"/>
  <c r="BC52" i="11"/>
  <c r="BC57" i="11"/>
  <c r="BC65" i="11"/>
  <c r="BC63" i="11"/>
  <c r="BC64" i="11"/>
  <c r="BD51" i="11"/>
  <c r="BH51" i="11"/>
  <c r="BF51" i="11"/>
  <c r="BE51" i="11"/>
  <c r="BG51" i="11"/>
  <c r="S34" i="4"/>
  <c r="S47" i="13" s="1"/>
  <c r="AN17" i="9"/>
  <c r="U32" i="4" s="1"/>
  <c r="AO32" i="4" s="1"/>
  <c r="AD49" i="11"/>
  <c r="T49" i="11"/>
  <c r="Q48" i="13"/>
  <c r="R48" i="13"/>
  <c r="R48" i="11"/>
  <c r="O48" i="11"/>
  <c r="W49" i="11"/>
  <c r="AG49" i="11"/>
  <c r="AG49" i="13"/>
  <c r="W49" i="13"/>
  <c r="AF49" i="13"/>
  <c r="V49" i="13"/>
  <c r="AC48" i="13"/>
  <c r="AA49" i="13"/>
  <c r="AB49" i="13"/>
  <c r="AB49" i="11"/>
  <c r="Y49" i="11"/>
  <c r="AW48" i="13" l="1"/>
  <c r="BB48" i="13" s="1"/>
  <c r="X47" i="13"/>
  <c r="AH47" i="13"/>
  <c r="BC51" i="13"/>
  <c r="BD50" i="13"/>
  <c r="BE50" i="13"/>
  <c r="BG50" i="13"/>
  <c r="BH50" i="13"/>
  <c r="AU49" i="13"/>
  <c r="AZ49" i="13" s="1"/>
  <c r="BF50" i="13"/>
  <c r="AV49" i="13"/>
  <c r="BA49" i="13" s="1"/>
  <c r="BC51" i="11"/>
  <c r="AS49" i="11"/>
  <c r="AX49" i="11" s="1"/>
  <c r="AV49" i="11"/>
  <c r="BA49" i="11" s="1"/>
  <c r="BG50" i="11"/>
  <c r="BF50" i="11"/>
  <c r="BE50" i="11"/>
  <c r="BH50" i="11"/>
  <c r="BD50" i="11"/>
  <c r="R47" i="13"/>
  <c r="Q47" i="13"/>
  <c r="R47" i="11"/>
  <c r="O47" i="11"/>
  <c r="AN16" i="9"/>
  <c r="U31" i="4" s="1"/>
  <c r="AO31" i="4" s="1"/>
  <c r="AG48" i="11"/>
  <c r="W48" i="11"/>
  <c r="AG48" i="13"/>
  <c r="W48" i="13"/>
  <c r="AF48" i="13"/>
  <c r="V48" i="13"/>
  <c r="T48" i="11"/>
  <c r="AD48" i="11"/>
  <c r="S33" i="4"/>
  <c r="S46" i="13" s="1"/>
  <c r="AC47" i="13"/>
  <c r="AA48" i="13"/>
  <c r="AB48" i="13"/>
  <c r="AB48" i="11"/>
  <c r="Y48" i="11"/>
  <c r="AW47" i="13" l="1"/>
  <c r="BB47" i="13" s="1"/>
  <c r="X46" i="13"/>
  <c r="AH46" i="13"/>
  <c r="BC50" i="13"/>
  <c r="BC50" i="11"/>
  <c r="BE49" i="13"/>
  <c r="AU48" i="13"/>
  <c r="AZ48" i="13" s="1"/>
  <c r="AV48" i="13"/>
  <c r="BA48" i="13" s="1"/>
  <c r="BH49" i="13"/>
  <c r="BD49" i="13"/>
  <c r="BG49" i="13"/>
  <c r="BF49" i="13"/>
  <c r="AS48" i="11"/>
  <c r="AX48" i="11" s="1"/>
  <c r="AV48" i="11"/>
  <c r="BA48" i="11" s="1"/>
  <c r="BF49" i="11"/>
  <c r="BG49" i="11"/>
  <c r="BE49" i="11"/>
  <c r="BD49" i="11"/>
  <c r="BH49" i="11"/>
  <c r="Q46" i="13"/>
  <c r="R46" i="13"/>
  <c r="R46" i="11"/>
  <c r="O46" i="11"/>
  <c r="S32" i="4"/>
  <c r="S45" i="13" s="1"/>
  <c r="AN15" i="9"/>
  <c r="U30" i="4" s="1"/>
  <c r="AO30" i="4" s="1"/>
  <c r="T47" i="11"/>
  <c r="AD47" i="11"/>
  <c r="W47" i="11"/>
  <c r="AG47" i="11"/>
  <c r="AF47" i="13"/>
  <c r="V47" i="13"/>
  <c r="AG47" i="13"/>
  <c r="W47" i="13"/>
  <c r="AC46" i="13"/>
  <c r="AA47" i="13"/>
  <c r="AB47" i="13"/>
  <c r="AB47" i="11"/>
  <c r="Y47" i="11"/>
  <c r="AW46" i="13" l="1"/>
  <c r="BB46" i="13" s="1"/>
  <c r="X45" i="13"/>
  <c r="AH45" i="13"/>
  <c r="BD48" i="13"/>
  <c r="BE48" i="13"/>
  <c r="BG48" i="13"/>
  <c r="BC49" i="13"/>
  <c r="BH48" i="13"/>
  <c r="AU47" i="13"/>
  <c r="AZ47" i="13" s="1"/>
  <c r="BF48" i="13"/>
  <c r="AV47" i="13"/>
  <c r="BA47" i="13" s="1"/>
  <c r="AS47" i="11"/>
  <c r="AX47" i="11" s="1"/>
  <c r="AV47" i="11"/>
  <c r="BA47" i="11" s="1"/>
  <c r="BC49" i="11"/>
  <c r="BG48" i="11"/>
  <c r="BH48" i="11"/>
  <c r="BE48" i="11"/>
  <c r="BD48" i="11"/>
  <c r="BF48" i="11"/>
  <c r="AN14" i="9"/>
  <c r="U29" i="4" s="1"/>
  <c r="AO29" i="4" s="1"/>
  <c r="S31" i="4"/>
  <c r="S44" i="13" s="1"/>
  <c r="R45" i="13"/>
  <c r="Q45" i="13"/>
  <c r="R45" i="11"/>
  <c r="O45" i="11"/>
  <c r="T46" i="11"/>
  <c r="AD46" i="11"/>
  <c r="AG46" i="11"/>
  <c r="W46" i="11"/>
  <c r="AG46" i="13"/>
  <c r="W46" i="13"/>
  <c r="AF46" i="13"/>
  <c r="V46" i="13"/>
  <c r="AB46" i="13"/>
  <c r="AA46" i="13"/>
  <c r="AC45" i="13"/>
  <c r="AB46" i="11"/>
  <c r="Y46" i="11"/>
  <c r="AW45" i="13" l="1"/>
  <c r="BB45" i="13" s="1"/>
  <c r="X44" i="13"/>
  <c r="AH44" i="13"/>
  <c r="BC48" i="13"/>
  <c r="BD47" i="13"/>
  <c r="BH47" i="13"/>
  <c r="BE47" i="13"/>
  <c r="BG47" i="13"/>
  <c r="AU46" i="13"/>
  <c r="AZ46" i="13" s="1"/>
  <c r="BF47" i="13"/>
  <c r="AV46" i="13"/>
  <c r="BA46" i="13" s="1"/>
  <c r="BC48" i="11"/>
  <c r="AS46" i="11"/>
  <c r="AX46" i="11" s="1"/>
  <c r="AV46" i="11"/>
  <c r="BA46" i="11" s="1"/>
  <c r="BF47" i="11"/>
  <c r="BE47" i="11"/>
  <c r="BG47" i="11"/>
  <c r="BD47" i="11"/>
  <c r="BH47" i="11"/>
  <c r="R44" i="13"/>
  <c r="Q44" i="13"/>
  <c r="R44" i="11"/>
  <c r="O44" i="11"/>
  <c r="S30" i="4"/>
  <c r="S43" i="13" s="1"/>
  <c r="AN13" i="9"/>
  <c r="U28" i="4" s="1"/>
  <c r="AO28" i="4" s="1"/>
  <c r="AD45" i="11"/>
  <c r="T45" i="11"/>
  <c r="W45" i="11"/>
  <c r="AG45" i="11"/>
  <c r="AF45" i="13"/>
  <c r="V45" i="13"/>
  <c r="AG45" i="13"/>
  <c r="W45" i="13"/>
  <c r="AA45" i="13"/>
  <c r="AB45" i="13"/>
  <c r="AC44" i="13"/>
  <c r="AB45" i="11"/>
  <c r="Y45" i="11"/>
  <c r="AW44" i="13" l="1"/>
  <c r="BB44" i="13" s="1"/>
  <c r="X43" i="13"/>
  <c r="AH43" i="13"/>
  <c r="BC47" i="13"/>
  <c r="BG46" i="13"/>
  <c r="BH46" i="13"/>
  <c r="BF46" i="13"/>
  <c r="AU45" i="13"/>
  <c r="AZ45" i="13" s="1"/>
  <c r="BE46" i="13"/>
  <c r="BD46" i="13"/>
  <c r="AV45" i="13"/>
  <c r="BA45" i="13" s="1"/>
  <c r="AS45" i="11"/>
  <c r="AX45" i="11" s="1"/>
  <c r="BC47" i="11"/>
  <c r="AV45" i="11"/>
  <c r="BA45" i="11" s="1"/>
  <c r="BG46" i="11"/>
  <c r="BE46" i="11"/>
  <c r="BD46" i="11"/>
  <c r="BH46" i="11"/>
  <c r="BF46" i="11"/>
  <c r="S29" i="4"/>
  <c r="S42" i="13" s="1"/>
  <c r="AN12" i="9"/>
  <c r="U27" i="4" s="1"/>
  <c r="AO27" i="4" s="1"/>
  <c r="Q43" i="13"/>
  <c r="R43" i="13"/>
  <c r="R43" i="11"/>
  <c r="O43" i="11"/>
  <c r="AD44" i="11"/>
  <c r="T44" i="11"/>
  <c r="W44" i="11"/>
  <c r="AG44" i="11"/>
  <c r="AF44" i="13"/>
  <c r="V44" i="13"/>
  <c r="AG44" i="13"/>
  <c r="W44" i="13"/>
  <c r="AC43" i="13"/>
  <c r="AA44" i="13"/>
  <c r="AB44" i="13"/>
  <c r="AB44" i="11"/>
  <c r="Y44" i="11"/>
  <c r="AW43" i="13" l="1"/>
  <c r="BB43" i="13" s="1"/>
  <c r="X42" i="13"/>
  <c r="AH42" i="13"/>
  <c r="BC46" i="13"/>
  <c r="BG45" i="13"/>
  <c r="BD45" i="13"/>
  <c r="BE45" i="13"/>
  <c r="BF45" i="13"/>
  <c r="AU44" i="13"/>
  <c r="AZ44" i="13" s="1"/>
  <c r="BH45" i="13"/>
  <c r="AV44" i="13"/>
  <c r="BA44" i="13" s="1"/>
  <c r="AS44" i="11"/>
  <c r="AX44" i="11" s="1"/>
  <c r="BC46" i="11"/>
  <c r="AV44" i="11"/>
  <c r="BA44" i="11" s="1"/>
  <c r="BE45" i="11"/>
  <c r="BG45" i="11"/>
  <c r="BF45" i="11"/>
  <c r="BD45" i="11"/>
  <c r="BH45" i="11"/>
  <c r="AD43" i="11"/>
  <c r="T43" i="11"/>
  <c r="W43" i="11"/>
  <c r="AG43" i="11"/>
  <c r="S28" i="4"/>
  <c r="S41" i="13" s="1"/>
  <c r="AG43" i="13"/>
  <c r="W43" i="13"/>
  <c r="AN11" i="9"/>
  <c r="U26" i="4" s="1"/>
  <c r="AO26" i="4" s="1"/>
  <c r="AF43" i="13"/>
  <c r="V43" i="13"/>
  <c r="R42" i="13"/>
  <c r="Q42" i="13"/>
  <c r="R42" i="11"/>
  <c r="O42" i="11"/>
  <c r="AA43" i="13"/>
  <c r="AB43" i="13"/>
  <c r="AC42" i="13"/>
  <c r="AB43" i="11"/>
  <c r="Y43" i="11"/>
  <c r="AW42" i="13" l="1"/>
  <c r="BB42" i="13" s="1"/>
  <c r="AH41" i="13"/>
  <c r="X41" i="13"/>
  <c r="BC45" i="13"/>
  <c r="BG44" i="13"/>
  <c r="BD44" i="13"/>
  <c r="BH44" i="13"/>
  <c r="BF44" i="13"/>
  <c r="BE44" i="13"/>
  <c r="AU43" i="13"/>
  <c r="AZ43" i="13" s="1"/>
  <c r="AV43" i="13"/>
  <c r="BA43" i="13" s="1"/>
  <c r="AS43" i="11"/>
  <c r="AX43" i="11" s="1"/>
  <c r="AV43" i="11"/>
  <c r="BA43" i="11" s="1"/>
  <c r="BC45" i="11"/>
  <c r="BH44" i="11"/>
  <c r="BF44" i="11"/>
  <c r="BG44" i="11"/>
  <c r="BE44" i="11"/>
  <c r="BD44" i="11"/>
  <c r="T42" i="11"/>
  <c r="AD42" i="11"/>
  <c r="AF42" i="13"/>
  <c r="V42" i="13"/>
  <c r="R41" i="13"/>
  <c r="Q41" i="13"/>
  <c r="R41" i="11"/>
  <c r="O41" i="11"/>
  <c r="W42" i="11"/>
  <c r="AG42" i="11"/>
  <c r="S27" i="4"/>
  <c r="S40" i="13" s="1"/>
  <c r="AG42" i="13"/>
  <c r="W42" i="13"/>
  <c r="AN10" i="9"/>
  <c r="U25" i="4" s="1"/>
  <c r="AO25" i="4" s="1"/>
  <c r="AA42" i="13"/>
  <c r="AC41" i="13"/>
  <c r="AB42" i="13"/>
  <c r="AB42" i="11"/>
  <c r="Y42" i="11"/>
  <c r="AW41" i="13" l="1"/>
  <c r="BB41" i="13" s="1"/>
  <c r="X40" i="13"/>
  <c r="AH40" i="13"/>
  <c r="BC44" i="13"/>
  <c r="BF43" i="13"/>
  <c r="BG43" i="13"/>
  <c r="BH43" i="13"/>
  <c r="BD43" i="13"/>
  <c r="BE43" i="13"/>
  <c r="AU42" i="13"/>
  <c r="AZ42" i="13" s="1"/>
  <c r="AV42" i="13"/>
  <c r="BA42" i="13" s="1"/>
  <c r="BC44" i="11"/>
  <c r="AS42" i="11"/>
  <c r="AX42" i="11" s="1"/>
  <c r="AV42" i="11"/>
  <c r="BA42" i="11" s="1"/>
  <c r="BD43" i="11"/>
  <c r="BE43" i="11"/>
  <c r="BG43" i="11"/>
  <c r="BH43" i="11"/>
  <c r="BF43" i="11"/>
  <c r="T41" i="11"/>
  <c r="AD41" i="11"/>
  <c r="AF41" i="13"/>
  <c r="V41" i="13"/>
  <c r="AG41" i="13"/>
  <c r="W41" i="13"/>
  <c r="AG41" i="11"/>
  <c r="W41" i="11"/>
  <c r="S26" i="4"/>
  <c r="S39" i="13" s="1"/>
  <c r="AN9" i="9"/>
  <c r="U24" i="4" s="1"/>
  <c r="R40" i="13"/>
  <c r="Q40" i="13"/>
  <c r="R40" i="11"/>
  <c r="O40" i="11"/>
  <c r="AB41" i="13"/>
  <c r="AC40" i="13"/>
  <c r="AA41" i="13"/>
  <c r="AB41" i="11"/>
  <c r="Y41" i="11"/>
  <c r="AW40" i="13" l="1"/>
  <c r="BB40" i="13" s="1"/>
  <c r="X39" i="13"/>
  <c r="AH39" i="13"/>
  <c r="AO24" i="4"/>
  <c r="U23" i="4"/>
  <c r="BC43" i="13"/>
  <c r="BH42" i="13"/>
  <c r="BE42" i="13"/>
  <c r="BF42" i="13"/>
  <c r="BG42" i="13"/>
  <c r="BD42" i="13"/>
  <c r="AU41" i="13"/>
  <c r="AZ41" i="13" s="1"/>
  <c r="AV41" i="13"/>
  <c r="BA41" i="13" s="1"/>
  <c r="AS41" i="11"/>
  <c r="AX41" i="11" s="1"/>
  <c r="AV41" i="11"/>
  <c r="BA41" i="11" s="1"/>
  <c r="BC43" i="11"/>
  <c r="BH42" i="11"/>
  <c r="BE42" i="11"/>
  <c r="BG42" i="11"/>
  <c r="BF42" i="11"/>
  <c r="BD42" i="11"/>
  <c r="T40" i="11"/>
  <c r="AD40" i="11"/>
  <c r="AF40" i="13"/>
  <c r="V40" i="13"/>
  <c r="S25" i="4"/>
  <c r="S38" i="13" s="1"/>
  <c r="AG40" i="13"/>
  <c r="W40" i="13"/>
  <c r="S24" i="4"/>
  <c r="S37" i="13" s="1"/>
  <c r="R39" i="13"/>
  <c r="Q39" i="13"/>
  <c r="R39" i="11"/>
  <c r="O39" i="11"/>
  <c r="AG40" i="11"/>
  <c r="W40" i="11"/>
  <c r="AB40" i="13"/>
  <c r="AC39" i="13"/>
  <c r="AA40" i="13"/>
  <c r="AB40" i="11"/>
  <c r="Y40" i="11"/>
  <c r="AW39" i="13" l="1"/>
  <c r="BB39" i="13" s="1"/>
  <c r="X37" i="13"/>
  <c r="AH37" i="13"/>
  <c r="AH38" i="13"/>
  <c r="X38" i="13"/>
  <c r="U22" i="4"/>
  <c r="AO23" i="4"/>
  <c r="BC42" i="11"/>
  <c r="BC42" i="13"/>
  <c r="BF41" i="13"/>
  <c r="BD41" i="13"/>
  <c r="BG41" i="13"/>
  <c r="BE41" i="13"/>
  <c r="BH41" i="13"/>
  <c r="AV40" i="13"/>
  <c r="BA40" i="13" s="1"/>
  <c r="AU40" i="13"/>
  <c r="AZ40" i="13" s="1"/>
  <c r="AS40" i="11"/>
  <c r="AX40" i="11" s="1"/>
  <c r="AV40" i="11"/>
  <c r="BA40" i="11" s="1"/>
  <c r="BF41" i="11"/>
  <c r="BE41" i="11"/>
  <c r="BD41" i="11"/>
  <c r="BH41" i="11"/>
  <c r="BG41" i="11"/>
  <c r="AD39" i="11"/>
  <c r="T39" i="11"/>
  <c r="W39" i="11"/>
  <c r="AG39" i="11"/>
  <c r="R37" i="11"/>
  <c r="Q37" i="13"/>
  <c r="R37" i="13"/>
  <c r="O37" i="11"/>
  <c r="AF39" i="13"/>
  <c r="V39" i="13"/>
  <c r="R38" i="11"/>
  <c r="R38" i="13"/>
  <c r="Q38" i="13"/>
  <c r="O38" i="11"/>
  <c r="AG39" i="13"/>
  <c r="W39" i="13"/>
  <c r="AC37" i="13"/>
  <c r="AB39" i="13"/>
  <c r="AC38" i="13"/>
  <c r="AA39" i="13"/>
  <c r="AB39" i="11"/>
  <c r="Y39" i="11"/>
  <c r="AW38" i="13" l="1"/>
  <c r="BB38" i="13" s="1"/>
  <c r="AW37" i="13"/>
  <c r="BB37" i="13" s="1"/>
  <c r="U21" i="4"/>
  <c r="AO22" i="4"/>
  <c r="BE40" i="13"/>
  <c r="BC41" i="13"/>
  <c r="BD40" i="13"/>
  <c r="BH40" i="13"/>
  <c r="BG40" i="13"/>
  <c r="BF40" i="13"/>
  <c r="AU39" i="13"/>
  <c r="AZ39" i="13" s="1"/>
  <c r="AV39" i="13"/>
  <c r="BA39" i="13" s="1"/>
  <c r="AS39" i="11"/>
  <c r="AX39" i="11" s="1"/>
  <c r="BC41" i="11"/>
  <c r="AV39" i="11"/>
  <c r="BA39" i="11" s="1"/>
  <c r="BG40" i="11"/>
  <c r="BE40" i="11"/>
  <c r="BF40" i="11"/>
  <c r="BD40" i="11"/>
  <c r="BH40" i="11"/>
  <c r="W38" i="11"/>
  <c r="AG38" i="11"/>
  <c r="AF38" i="13"/>
  <c r="V38" i="13"/>
  <c r="AD37" i="11"/>
  <c r="T37" i="11"/>
  <c r="AG37" i="13"/>
  <c r="W37" i="13"/>
  <c r="T38" i="11"/>
  <c r="AD38" i="11"/>
  <c r="AF37" i="13"/>
  <c r="V37" i="13"/>
  <c r="AG37" i="11"/>
  <c r="W37" i="11"/>
  <c r="AG38" i="13"/>
  <c r="W38" i="13"/>
  <c r="AA37" i="13"/>
  <c r="AB37" i="13"/>
  <c r="AB38" i="13"/>
  <c r="AA38" i="13"/>
  <c r="AB38" i="11"/>
  <c r="AB37" i="11"/>
  <c r="Y37" i="11"/>
  <c r="Y38" i="11"/>
  <c r="U20" i="4" l="1"/>
  <c r="AO21" i="4"/>
  <c r="AV37" i="13"/>
  <c r="BA37" i="13" s="1"/>
  <c r="BG39" i="13"/>
  <c r="BC40" i="13"/>
  <c r="BE39" i="13"/>
  <c r="BD39" i="13"/>
  <c r="BH39" i="13"/>
  <c r="AV38" i="13"/>
  <c r="BA38" i="13" s="1"/>
  <c r="AU38" i="13"/>
  <c r="AZ38" i="13" s="1"/>
  <c r="AU37" i="13"/>
  <c r="AZ37" i="13" s="1"/>
  <c r="BF39" i="13"/>
  <c r="BC40" i="11"/>
  <c r="AS38" i="11"/>
  <c r="AX38" i="11" s="1"/>
  <c r="AS37" i="11"/>
  <c r="AX37" i="11" s="1"/>
  <c r="AV37" i="11"/>
  <c r="BA37" i="11" s="1"/>
  <c r="AV38" i="11"/>
  <c r="BA38" i="11" s="1"/>
  <c r="BF39" i="11"/>
  <c r="BH39" i="11"/>
  <c r="BG39" i="11"/>
  <c r="BE39" i="11"/>
  <c r="BD39" i="11"/>
  <c r="U19" i="4" l="1"/>
  <c r="AO20" i="4"/>
  <c r="BF37" i="13"/>
  <c r="BE38" i="13"/>
  <c r="BC39" i="13"/>
  <c r="BG38" i="13"/>
  <c r="BD38" i="13"/>
  <c r="BD37" i="13"/>
  <c r="BH37" i="13"/>
  <c r="BE37" i="13"/>
  <c r="BH38" i="13"/>
  <c r="BF38" i="13"/>
  <c r="BG37" i="13"/>
  <c r="BH37" i="11"/>
  <c r="BG37" i="11"/>
  <c r="BE37" i="11"/>
  <c r="BF37" i="11"/>
  <c r="BD37" i="11"/>
  <c r="BC39" i="11"/>
  <c r="BH38" i="11"/>
  <c r="BE38" i="11"/>
  <c r="BF38" i="11"/>
  <c r="BD38" i="11"/>
  <c r="BG38" i="11"/>
  <c r="U18" i="4" l="1"/>
  <c r="AO19" i="4"/>
  <c r="BC38" i="13"/>
  <c r="BC37" i="13"/>
  <c r="BC37" i="11"/>
  <c r="BC38" i="11"/>
  <c r="U17" i="4" l="1"/>
  <c r="AO18" i="4"/>
  <c r="U16" i="4" l="1"/>
  <c r="AO17" i="4"/>
  <c r="U15" i="4" l="1"/>
  <c r="AO16" i="4"/>
  <c r="U14" i="4" l="1"/>
  <c r="AO15" i="4"/>
  <c r="U13" i="4" l="1"/>
  <c r="AO14" i="4"/>
  <c r="U12" i="4" l="1"/>
  <c r="AO13" i="4"/>
  <c r="U11" i="4" l="1"/>
  <c r="AO11" i="4" s="1"/>
  <c r="AO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mtd240</author>
  </authors>
  <commentList>
    <comment ref="P1" authorId="0" shapeId="0" xr:uid="{2F7589C7-603D-4F4A-B7B4-BBD04D497410}">
      <text>
        <r>
          <rPr>
            <b/>
            <sz val="9"/>
            <color indexed="81"/>
            <rFont val="Tahoma"/>
            <family val="2"/>
          </rPr>
          <t>Dwyer, Michael T.:</t>
        </r>
        <r>
          <rPr>
            <sz val="9"/>
            <color indexed="81"/>
            <rFont val="Tahoma"/>
            <family val="2"/>
          </rPr>
          <t xml:space="preserve">
https://fred.stlouisfed.org/series/A191RG3A086NBEA</t>
        </r>
      </text>
    </comment>
    <comment ref="M2" authorId="0" shapeId="0" xr:uid="{5F48DBEE-5A18-48D9-9207-7ACE0557B370}">
      <text>
        <r>
          <rPr>
            <b/>
            <sz val="9"/>
            <color indexed="81"/>
            <rFont val="Tahoma"/>
            <family val="2"/>
          </rPr>
          <t>Dwyer, Michael T.:</t>
        </r>
        <r>
          <rPr>
            <sz val="9"/>
            <color indexed="81"/>
            <rFont val="Tahoma"/>
            <family val="2"/>
          </rPr>
          <t xml:space="preserve">
TEDB Table B4. HHV</t>
        </r>
      </text>
    </comment>
    <comment ref="B8" authorId="1" shapeId="0" xr:uid="{00000000-0006-0000-0400-000001000000}">
      <text>
        <r>
          <rPr>
            <b/>
            <sz val="9"/>
            <color indexed="81"/>
            <rFont val="Tahoma"/>
            <family val="2"/>
          </rPr>
          <t>Alicia Birky:</t>
        </r>
        <r>
          <rPr>
            <sz val="9"/>
            <color indexed="81"/>
            <rFont val="Tahoma"/>
            <family val="2"/>
          </rPr>
          <t xml:space="preserve">
Historical gasoline and diesel prices from MER, updated to 2019 $. Other fuels from prior AEOs are in different basis years</t>
        </r>
      </text>
    </comment>
    <comment ref="X8" authorId="1" shapeId="0" xr:uid="{499A529A-0B60-46F4-A48A-D78674B5E7D0}">
      <text>
        <r>
          <rPr>
            <b/>
            <sz val="9"/>
            <color indexed="81"/>
            <rFont val="Tahoma"/>
            <family val="2"/>
          </rPr>
          <t>Alicia Birky:</t>
        </r>
        <r>
          <rPr>
            <sz val="9"/>
            <color indexed="81"/>
            <rFont val="Tahoma"/>
            <family val="2"/>
          </rPr>
          <t xml:space="preserve">
Historical gasoline and diesel prices from MER, updated to 2019 $. Other fuels from prior AEOs are in different basis years</t>
        </r>
      </text>
    </comment>
    <comment ref="J10" authorId="2" shapeId="0" xr:uid="{00000000-0006-0000-0400-000003000000}">
      <text>
        <r>
          <rPr>
            <b/>
            <sz val="9"/>
            <color indexed="81"/>
            <rFont val="Tahoma"/>
            <family val="2"/>
          </rPr>
          <t>mtd240:</t>
        </r>
        <r>
          <rPr>
            <sz val="9"/>
            <color indexed="81"/>
            <rFont val="Tahoma"/>
            <family val="2"/>
          </rPr>
          <t xml:space="preserve">
Dollars per kg
From Tom Stephens' email, in 2015$ per kg!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s>
  <commentList>
    <comment ref="D7" authorId="0" shapeId="0" xr:uid="{00000000-0006-0000-0600-000001000000}">
      <text>
        <r>
          <rPr>
            <b/>
            <sz val="9"/>
            <color indexed="81"/>
            <rFont val="Tahoma"/>
            <family val="2"/>
          </rPr>
          <t>Dwyer, Michael T.:</t>
        </r>
        <r>
          <rPr>
            <sz val="9"/>
            <color indexed="81"/>
            <rFont val="Tahoma"/>
            <family val="2"/>
          </rPr>
          <t xml:space="preserve">
This is a check to make sure that this cohort actually exists. Sets payback months to 86 if this is 0</t>
        </r>
      </text>
    </comment>
    <comment ref="J9" authorId="1" shapeId="0" xr:uid="{00000000-0006-0000-0600-000002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1" shapeId="0" xr:uid="{00000000-0006-0000-0600-000003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1" shapeId="0" xr:uid="{00000000-0006-0000-0600-000004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1" shapeId="0" xr:uid="{00000000-0006-0000-0600-000008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5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5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5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s>
  <commentList>
    <comment ref="X6" authorId="0" shapeId="0" xr:uid="{40BBB6E6-A796-4620-96C0-C214A4A46BF1}">
      <text>
        <r>
          <rPr>
            <b/>
            <sz val="9"/>
            <color indexed="81"/>
            <rFont val="Tahoma"/>
            <family val="2"/>
          </rPr>
          <t>Dwyer, Michael T.:</t>
        </r>
        <r>
          <rPr>
            <sz val="9"/>
            <color indexed="81"/>
            <rFont val="Tahoma"/>
            <family val="2"/>
          </rPr>
          <t xml:space="preserve">
Assumes that Class 4-6 diesel vehicle public fueling is generally co-located with LDV infrastructure, and therefore will likely decrease at the same historical rate.</t>
        </r>
      </text>
    </comment>
    <comment ref="Q7" authorId="0" shapeId="0" xr:uid="{C3C652B8-BB21-42D8-A840-473E55A0FEAC}">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7B3E9063-8987-4EEF-802E-9D8565183FAB}">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F50CBAF0-EDE3-4042-BEAD-D25306EEFB02}">
      <text>
        <r>
          <rPr>
            <b/>
            <sz val="9"/>
            <color indexed="81"/>
            <rFont val="Tahoma"/>
            <family val="2"/>
          </rPr>
          <t>Dwyer, Michael T.:</t>
        </r>
        <r>
          <rPr>
            <sz val="9"/>
            <color indexed="81"/>
            <rFont val="Tahoma"/>
            <family val="2"/>
          </rPr>
          <t xml:space="preserve">
AFDC: https://www.afdc.energy.gov/data/10333
Linear extrapolation for post-2012</t>
        </r>
      </text>
    </comment>
    <comment ref="Q36" authorId="1" shapeId="0" xr:uid="{5CCF3682-5000-4707-885C-1D6C9AC4FAEA}">
      <text>
        <r>
          <rPr>
            <b/>
            <sz val="9"/>
            <color indexed="81"/>
            <rFont val="Tahoma"/>
            <family val="2"/>
          </rPr>
          <t>Birky, Alicia:</t>
        </r>
        <r>
          <rPr>
            <sz val="9"/>
            <color indexed="81"/>
            <rFont val="Tahoma"/>
            <family val="2"/>
          </rPr>
          <t xml:space="preserve">
Total number of stations as of 9/24/2020. total number of plugs: 98,949 or 3.26 plugs per station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<sst xmlns="http://schemas.openxmlformats.org/spreadsheetml/2006/main" count="1643" uniqueCount="459">
  <si>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</si>
  <si>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</si>
  <si>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</si>
  <si>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</si>
  <si>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</si>
  <si>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</si>
  <si>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</si>
  <si>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</si>
  <si>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</si>
  <si>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</si>
  <si>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</si>
  <si>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</si>
  <si>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</si>
  <si>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</si>
  <si>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</si>
  <si>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</si>
  <si>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</si>
  <si>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Central               Veh-Miles</t>
  </si>
  <si>
    <t>Non-Central                 Veh-Miles</t>
  </si>
  <si>
    <t>Veh-miles</t>
  </si>
  <si>
    <t>Total</t>
  </si>
  <si>
    <t>Avg M/Veh==&gt;</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</si>
  <si>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</si>
  <si>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</si>
  <si>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</si>
  <si>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</si>
  <si>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</si>
  <si>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</si>
  <si>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</si>
  <si>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</si>
  <si>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</si>
  <si>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</si>
  <si>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</si>
  <si>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</si>
  <si>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</si>
  <si>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</si>
  <si>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</si>
  <si>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</si>
  <si>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</si>
  <si>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</si>
  <si>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</si>
  <si>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</si>
  <si>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</si>
  <si>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</si>
  <si>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</si>
  <si>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</si>
  <si>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</si>
  <si>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</si>
  <si>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</si>
  <si>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</si>
  <si>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</si>
  <si>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</si>
  <si>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</si>
  <si>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</si>
  <si>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</si>
  <si>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</si>
  <si>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</si>
  <si>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</si>
  <si>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</si>
  <si>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</si>
  <si>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</si>
  <si>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</si>
  <si>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</si>
  <si>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</si>
  <si>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</si>
  <si>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</si>
  <si>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survey data</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</si>
  <si>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</si>
  <si>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</si>
  <si>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</si>
  <si>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</si>
  <si>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</si>
  <si>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</si>
  <si>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</si>
  <si>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</si>
  <si>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</si>
  <si>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</si>
  <si>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</si>
  <si>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</si>
  <si>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</si>
  <si>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</si>
  <si>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</si>
  <si>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</si>
  <si>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</si>
  <si>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Factor</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</si>
  <si>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</si>
  <si>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</si>
  <si>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</si>
  <si>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</si>
  <si>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</si>
  <si>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</si>
  <si>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</si>
  <si>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</si>
  <si>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</si>
  <si>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</si>
  <si>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</si>
  <si>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</si>
  <si>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</si>
  <si>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</si>
  <si>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</si>
  <si>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</si>
  <si>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</si>
  <si>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</si>
  <si>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</si>
  <si>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</si>
  <si>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</si>
  <si>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</si>
  <si>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</si>
  <si>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</si>
  <si>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</si>
  <si>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</si>
  <si>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</si>
  <si>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</si>
  <si>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</si>
  <si>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</si>
  <si>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</si>
  <si>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</si>
  <si>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</si>
  <si>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</si>
  <si>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</si>
  <si>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</si>
  <si>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</si>
  <si>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</si>
  <si>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</si>
  <si>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</si>
  <si>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</si>
  <si>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</si>
  <si>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</si>
  <si>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</si>
  <si>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</si>
  <si>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</si>
  <si>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</si>
  <si>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</si>
  <si>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</si>
  <si>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</si>
  <si>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Macros must be enabled to use this model.  If you are unable to run the macros, check your Excel security settings: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</si>
  <si>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</si>
  <si>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</si>
  <si>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</si>
  <si>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</si>
  <si>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</si>
  <si>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</si>
  <si>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</si>
  <si>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</si>
  <si>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</si>
  <si>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</si>
  <si>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</si>
  <si>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</si>
  <si>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</si>
  <si>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</si>
  <si>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</si>
  <si>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</si>
  <si>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</si>
  <si>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</si>
  <si>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</si>
  <si>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</si>
  <si>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</si>
  <si>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</si>
  <si>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</si>
  <si>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</si>
  <si>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</si>
  <si>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</si>
  <si>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</si>
  <si>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</si>
  <si>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</si>
  <si>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</si>
  <si>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</si>
  <si>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</si>
  <si>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</si>
  <si>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</si>
  <si>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</si>
  <si>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</si>
  <si>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</si>
  <si>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</si>
  <si>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</si>
  <si>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Run Model:</t>
  </si>
  <si>
    <t>=&gt; Input cell.</t>
  </si>
  <si>
    <t>Latest AEO Input Values in Orange Cells</t>
  </si>
  <si>
    <t>D</t>
  </si>
  <si>
    <t>E</t>
  </si>
  <si>
    <t>not used</t>
  </si>
  <si>
    <t>Hydrogen</t>
  </si>
  <si>
    <t>Annual Energy Outlook 2018, Release Date April 2018, Reference Case Forecast</t>
  </si>
  <si>
    <t>https://www.eia.gov/outlooks/aeo/data/browser/#/?id=3-AEO2018&amp;cases=ref2018&amp;sourcekey=0</t>
  </si>
  <si>
    <t>H2</t>
  </si>
  <si>
    <t>Btu/kg</t>
  </si>
  <si>
    <t>Fuel 2</t>
  </si>
  <si>
    <t>Fuel 1</t>
  </si>
  <si>
    <t>Fuel 1 share of miles traveled</t>
  </si>
  <si>
    <t>Cost (incremental for non-base)</t>
  </si>
  <si>
    <t>Subsidy</t>
  </si>
  <si>
    <t>Tech Opt</t>
  </si>
  <si>
    <t>Charge Depletion (CD) Range</t>
  </si>
  <si>
    <t>Universal inputs:</t>
  </si>
  <si>
    <t>Operating days:</t>
  </si>
  <si>
    <t>N/A</t>
  </si>
  <si>
    <t>Value</t>
  </si>
  <si>
    <t>All Fuel 2 Fuel Economies should be 1</t>
  </si>
  <si>
    <t>unless a Fuel 2 is specified</t>
  </si>
  <si>
    <t>Cap at 100%</t>
  </si>
  <si>
    <t>Incremental cost</t>
  </si>
  <si>
    <t>Energetics</t>
  </si>
  <si>
    <t>7075 Samuel Morse Drive, Suite 100</t>
  </si>
  <si>
    <t>Columbia, MD 21046</t>
  </si>
  <si>
    <r>
      <t>Ref: 2002 VIUS,</t>
    </r>
    <r>
      <rPr>
        <b/>
        <sz val="10"/>
        <color indexed="10"/>
        <rFont val="Calibri"/>
        <family val="2"/>
      </rPr>
      <t xml:space="preserve"> rev. 04/12/2006, updated 9/29/2011 by A. Birky, updated 8/29/2018 by M. Dwyer</t>
    </r>
  </si>
  <si>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</si>
  <si>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</si>
  <si>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</si>
  <si>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</si>
  <si>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</si>
  <si>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</si>
  <si>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</si>
  <si>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</si>
  <si>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dmt</t>
  </si>
  <si>
    <t>mkt_shr</t>
  </si>
  <si>
    <t>avg_f2_pct</t>
  </si>
  <si>
    <t>cd_range_f2</t>
  </si>
  <si>
    <t>Sample calculation of % miles on fuel 2 for given technology, centrally refueled</t>
  </si>
  <si>
    <t>miles_shr</t>
  </si>
  <si>
    <t>Central Daily Range</t>
  </si>
  <si>
    <t>Non-Central Daily Range</t>
  </si>
  <si>
    <t>Centrally-Fueled</t>
  </si>
  <si>
    <t>Not Centrally-Fueled</t>
  </si>
  <si>
    <t>% mi_fuel2</t>
  </si>
  <si>
    <t>Intro</t>
  </si>
  <si>
    <t>Final</t>
  </si>
  <si>
    <t>Electric*</t>
  </si>
  <si>
    <t>Propane</t>
  </si>
  <si>
    <t>Methanol (M85)</t>
  </si>
  <si>
    <t>LNG</t>
  </si>
  <si>
    <t>Biodiesel**</t>
  </si>
  <si>
    <t>From AFDC</t>
  </si>
  <si>
    <t>https://www.afdc.energy.gov/data/10332</t>
  </si>
  <si>
    <t xml:space="preserve">number of gasoline stations: </t>
  </si>
  <si>
    <t>https://www.afdc.energy.gov/data/10333</t>
  </si>
  <si>
    <t xml:space="preserve">Fuel availability - % of diesel stations </t>
  </si>
  <si>
    <t>fuel_avail</t>
  </si>
  <si>
    <t>pref_multiplier</t>
  </si>
  <si>
    <t>k1</t>
  </si>
  <si>
    <t>k2</t>
  </si>
  <si>
    <t>k3</t>
  </si>
  <si>
    <t>Approaches 50% at ~80% fuel_avail</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</si>
  <si>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</si>
  <si>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</si>
  <si>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</si>
  <si>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</si>
  <si>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</si>
  <si>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</si>
  <si>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</si>
  <si>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</si>
  <si>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</si>
  <si>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</si>
  <si>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</si>
  <si>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</si>
  <si>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</si>
  <si>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</si>
  <si>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</si>
  <si>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r>
      <t>Class 4-6</t>
    </r>
    <r>
      <rPr>
        <b/>
        <sz val="18"/>
        <rFont val="Calibri"/>
        <family val="2"/>
      </rPr>
      <t xml:space="preserve"> </t>
    </r>
    <r>
      <rPr>
        <b/>
        <sz val="18"/>
        <color indexed="12"/>
        <rFont val="Calibri"/>
        <family val="2"/>
      </rPr>
      <t>Gasoline</t>
    </r>
    <r>
      <rPr>
        <b/>
        <sz val="18"/>
        <rFont val="Calibri"/>
        <family val="2"/>
      </rPr>
      <t xml:space="preserve"> Vehicle Distribution by Annual VMT </t>
    </r>
  </si>
  <si>
    <r>
      <t>Class 4-6</t>
    </r>
    <r>
      <rPr>
        <b/>
        <sz val="18"/>
        <rFont val="Calibri"/>
        <family val="2"/>
      </rPr>
      <t xml:space="preserve"> </t>
    </r>
    <r>
      <rPr>
        <b/>
        <sz val="18"/>
        <color indexed="12"/>
        <rFont val="Calibri"/>
        <family val="2"/>
      </rPr>
      <t>Diesel</t>
    </r>
    <r>
      <rPr>
        <b/>
        <sz val="18"/>
        <rFont val="Calibri"/>
        <family val="2"/>
      </rPr>
      <t xml:space="preserve"> Vehicle Distribution by Annual VMT </t>
    </r>
  </si>
  <si>
    <r>
      <t>Class 3-6 All Fuels</t>
    </r>
    <r>
      <rPr>
        <b/>
        <sz val="18"/>
        <rFont val="Calibri"/>
        <family val="2"/>
      </rPr>
      <t xml:space="preserve"> Vehicle Distribution by Annual VMT </t>
    </r>
  </si>
  <si>
    <t>BaSce FY2018 4-6 Reference Oil Price</t>
  </si>
  <si>
    <t>4-6 Gas Cent. Ouptut Generated:</t>
  </si>
  <si>
    <t>4-6 Gas NC Output Generated:</t>
  </si>
  <si>
    <t>4-6 Diesel Cent. Ouptut Generated:</t>
  </si>
  <si>
    <t>4-6 Diesel NC Output Generated:</t>
  </si>
  <si>
    <t>Class 4-6 Gasoline</t>
  </si>
  <si>
    <t>Class 4-6 Diesel</t>
  </si>
  <si>
    <t>Class 4-6 Final</t>
  </si>
  <si>
    <t>Conventional gasoline</t>
  </si>
  <si>
    <t>Class 4-6 Combination Truck Market, Market Shares by Average Annual VMT - Centrally Refueled, Technology A</t>
  </si>
  <si>
    <t>Class 4-6 Combination Truck Market, Market Shares by Average Annual VMT - Non-Centrally Refueled, Technology A</t>
  </si>
  <si>
    <t>Class 4-6 Combination Truck Market, Market Shares by Average Annual VMT - Centrally Refueled, Technology B</t>
  </si>
  <si>
    <t>Class 4-6 Combination Truck Market, Market Shares by Average Annual VMT - Non-Centrally Refueled, Technology B</t>
  </si>
  <si>
    <t>Class 4-6 Combination Truck Market, Market Shares by Average Annual VMT - Centrally Refueled, Technology C</t>
  </si>
  <si>
    <t>Class 4-6 Combination Truck Market, Market Shares by Average Annual VMT - Non-Centrally Refueled, Technology C</t>
  </si>
  <si>
    <t>Class 4-6 Combination Truck Market, Market Shares by Average Annual VMT - Centrally Refueled, Technology D</t>
  </si>
  <si>
    <t>Class 4-6 Combination Truck Market, Market Shares by Average Annual VMT - Non-Centrally Refueled, Technology D</t>
  </si>
  <si>
    <t>Class 4-6 Combination Truck Market, Market Shares by Average Annual VMT - Centrally Refueled, Technology E</t>
  </si>
  <si>
    <t>Class 4-6 Combination Truck Market, Market Shares by Average Annual VMT - Non-Centrally Refueled, Technology E</t>
  </si>
  <si>
    <t>Central                       % of All 4-6 SU Trucks</t>
  </si>
  <si>
    <t>Central          % of All 4-6 SU VMT</t>
  </si>
  <si>
    <t>Non-Central % of All 4-6 SU Trucks</t>
  </si>
  <si>
    <t>Non-Central        % of All 4-6 SU VMT</t>
  </si>
  <si>
    <t>Total              % of All 4-6 SU Trucks</t>
  </si>
  <si>
    <t>4-6 C Central:</t>
  </si>
  <si>
    <t>4-6 C Non-Central:</t>
  </si>
  <si>
    <t>4-6 C Total:</t>
  </si>
  <si>
    <t>4-6 SU Total:</t>
  </si>
  <si>
    <t>4-6 Hybrid Total:</t>
  </si>
  <si>
    <t>4-6 SU Central:</t>
  </si>
  <si>
    <t>All Class 4-6:</t>
  </si>
  <si>
    <t>4-6 SU Non-Central:</t>
  </si>
  <si>
    <t>4-6 Hybrid Central:</t>
  </si>
  <si>
    <t>4-6 Hybrid Non-Central:</t>
  </si>
  <si>
    <t>Central                       % of All 4-6 Gasoline Trucks</t>
  </si>
  <si>
    <t>Central          % of All 4-6 Gasoline VMT</t>
  </si>
  <si>
    <t>Non-Central % of All 4-6 Gasoline Trucks</t>
  </si>
  <si>
    <t>Non-Central        % of All 4-6 Gasoline VMT</t>
  </si>
  <si>
    <t>Total              % of All 4-6 Gasoline Trucks</t>
  </si>
  <si>
    <t>Central                       % of All 4-6 Diesel Trucks</t>
  </si>
  <si>
    <t>Central          % of All 4-6 Diesel VMT</t>
  </si>
  <si>
    <t>Non-Central % of All 4-6 Diesel Trucks</t>
  </si>
  <si>
    <t>Total              % of All 4-6 Diesel Trucks</t>
  </si>
  <si>
    <t>Empty Slot (unused)</t>
  </si>
  <si>
    <t>Share of miles that are centrally-refueled</t>
  </si>
  <si>
    <t>Share of miles that are fuel 2</t>
  </si>
  <si>
    <t>Class 4-6 Daycab Truck Market, Market Shares by Average Annual VMT - Centrally Refueled, Technology A</t>
  </si>
  <si>
    <t>Class 4-6 Daycab Truck Market, Market Shares by Average Annual VMT - Non-Centrally Refueled, Technology A</t>
  </si>
  <si>
    <t>Class 4-6 Daycab Truck Market, Market Shares by Average Annual VMT - Centrally Refueled, Technology B</t>
  </si>
  <si>
    <t>Class 4-6 Daycab Truck Market, Market Shares by Average Annual VMT - Non-Centrally Refueled, Technology B</t>
  </si>
  <si>
    <t>Class 4-6 Daycab Truck Market, Market Shares by Average Annual VMT - Centrally Refueled, Technology C</t>
  </si>
  <si>
    <t>Class 4-6 Daycab Truck Market, Market Shares by Average Annual VMT - Non-Centrally Refueled, Technology C</t>
  </si>
  <si>
    <t>Class 4-6 Daycab Truck Market, Market Shares by Average Annual VMT - Centrally Refueled, Technology D</t>
  </si>
  <si>
    <t>Class 4-6 Daycab Truck Market, Market Shares by Average Annual VMT - Non-Centrally Refueled, Technology D</t>
  </si>
  <si>
    <t>Class 4-6 Daycab Truck Market, Market Shares by Average Annual VMT - Centrally Refueled, Technology E</t>
  </si>
  <si>
    <t>Class 4-6 Daycab Truck Market, Market Shares by Average Annual VMT - Non-Centrally Refueled, Technology E</t>
  </si>
  <si>
    <t>CLASS 4-6 Gasoline Truck Market</t>
  </si>
  <si>
    <t>CLASS 4-6 Diesel Truck Market</t>
  </si>
  <si>
    <t>BEV</t>
  </si>
  <si>
    <t>Composite MPG</t>
  </si>
  <si>
    <t>Fuel economy to apply to all miles; needed for multifuel vehicles</t>
  </si>
  <si>
    <t>Fuel Economy - Fuel 1 (mpgde)</t>
  </si>
  <si>
    <t>Fuel Economy - Fuel 2 (mpgde)</t>
  </si>
  <si>
    <t>HVs</t>
  </si>
  <si>
    <t>diesel</t>
  </si>
  <si>
    <t>Btu/gal</t>
  </si>
  <si>
    <t>Adv Conv</t>
  </si>
  <si>
    <t>HEV</t>
  </si>
  <si>
    <t xml:space="preserve">Multipliers for Centrally-Refueled Prices (Source: Clean Cities Alternative Fuel Price Report, April 2018) </t>
  </si>
  <si>
    <t>Vehicle Purchase Price, 2017$</t>
  </si>
  <si>
    <t>Non-Central % of All 4-6 Diesel VMT</t>
  </si>
  <si>
    <t>% of Total Class 4-6 Diesel Trucks:</t>
  </si>
  <si>
    <t>Class 4-6 Vocational Diesel Trucks</t>
  </si>
  <si>
    <t>Avg. plugs per station:</t>
  </si>
  <si>
    <t>H2 $/kg</t>
  </si>
  <si>
    <t>Use LDV station data as proxy for HD fuel availability</t>
  </si>
  <si>
    <t>CPI Inflator (2015 --&gt; 2017)</t>
  </si>
  <si>
    <t>This model is maintained by Energetics for the U.S. Department of Energy under contract with Argonne National Laboratory.  Questions should be directed to Michael Dwyer at:</t>
  </si>
  <si>
    <t>mdwyer@energetics.com</t>
  </si>
  <si>
    <t>Technologies and characteristics are entered on worksheets 'Inputs 7&amp;8 Sleep', 'Inputs 7&amp;8 Day', and 'Inputs 7&amp;8 SU.'</t>
  </si>
  <si>
    <t>All fuel economies and fuel economy ratios must be specified in miles per diesel gallon equivalent.</t>
  </si>
  <si>
    <t>Edit the fuel prices specified as 2017 $ per million BTU.  Price per diesel gallon equivalent is calculated automatically.</t>
  </si>
  <si>
    <t>Note: if the user chooses to edit the fuel prices in $/gallon, the prices must be entered in diesel gallon equivalents.</t>
  </si>
  <si>
    <t>This model estimates market penetration of four technology platforms specified separately for two truck market sectors based on incremental costs and fuel economy.  Additonal inputs inlcude technology preferences, mileage-dependent costs, fuel availability, and payback curves.</t>
  </si>
  <si>
    <t>Last Modified: April 2019</t>
  </si>
  <si>
    <t>TRUCK Class 4-6 Medium Duty Market Penetration Model version v5.1</t>
  </si>
  <si>
    <t>BaSce FY2020 4-6 Diesel Final Run</t>
  </si>
  <si>
    <t>Class 4-6 Vocational Gas Trucks</t>
  </si>
  <si>
    <t>NOTE: VALUES COPIED DIRECTLY FROM TRUCK78 MODEL</t>
  </si>
  <si>
    <t>SEE TRUCK78 model MPG tab for all classes' multipliers!</t>
  </si>
  <si>
    <t>Date</t>
  </si>
  <si>
    <t>Tab</t>
  </si>
  <si>
    <t>Change made</t>
  </si>
  <si>
    <t>FuelAvail</t>
  </si>
  <si>
    <t>Adjusted fuel availability response curve to 50% adoption probability at 50% fuel availability.  Was previously ~50% adoption probability at 80% fuel availability.  Boosted FCHEV market pen.</t>
  </si>
  <si>
    <t>S-Curves</t>
  </si>
  <si>
    <t>Changed preference curve to logistic (from prev. TRUCK models). Adjusted to be slower (changedk1 from 4 to 6)</t>
  </si>
  <si>
    <t>10/31//2019</t>
  </si>
  <si>
    <t>Fuel Prices</t>
  </si>
  <si>
    <t>Changed H2 DGE conversion from using LHV to using HHV per TS request</t>
  </si>
  <si>
    <t>Started with final TRUCK46 model deliverable from BaSce2020</t>
  </si>
  <si>
    <t>f(t) = 1/(1+e^(-(t-k1)/k2))</t>
  </si>
  <si>
    <t>note this is the logistic cumulative probability function.</t>
  </si>
  <si>
    <t>years to half saturation</t>
  </si>
  <si>
    <t>adjusts "steepness" at half saturation (width of probability function at 3 sigma)</t>
  </si>
  <si>
    <t>Froze Adv Conv cost and MPG attributes in 2030 (when baseline vehicle attributes freeze)</t>
  </si>
  <si>
    <t>FY19 BaSce LDV inputs GPRA2019</t>
  </si>
  <si>
    <t>Updated to AEO2019 fuel prices</t>
  </si>
  <si>
    <t>All Inputs</t>
  </si>
  <si>
    <t>Updated to Adjusted Baseline derived from AEO2019 (almost identical to BaSce2020)</t>
  </si>
  <si>
    <t>Reverted preference curve to older steeper version.</t>
  </si>
  <si>
    <t>Increased market introduction dates for all powertrains to 2020 (most were 2016/2018)</t>
  </si>
  <si>
    <t>Inputs 4-6 Diesel</t>
  </si>
  <si>
    <t>Projection</t>
  </si>
  <si>
    <t>Made fuel avail response curve more shallow. Switched gasoline station count projection to a power curve (was linear)</t>
  </si>
  <si>
    <t>Elec Price Factor</t>
  </si>
  <si>
    <t>S-Curves; Fuel Prices</t>
  </si>
  <si>
    <t>Developed Electricity Cost Factor and applied to fuel prices</t>
  </si>
  <si>
    <t>Interpolated MPGs between Autonomie Low 2020 and Autonomie High 2030, rather than between Low 2020 and High 2025, then High 2025 to High 2030.  Previous method led to a flatline (even decrease) in MPG between 2025-2030, causing mkt share drops in TRUCK.</t>
  </si>
  <si>
    <t>elect price mult</t>
  </si>
  <si>
    <t>Apply FA Constraints?</t>
  </si>
  <si>
    <t>AEO2020 Reference Case</t>
  </si>
  <si>
    <t>updated 7/10/2020</t>
  </si>
  <si>
    <t>by: A. Birky</t>
  </si>
  <si>
    <t>Source: AEO 2020</t>
  </si>
  <si>
    <t>From NREL Maket Segmentation (C. Hunter, 8/27/2020):</t>
  </si>
  <si>
    <t>2019 Dollars per Million BTU (per kg for H2)</t>
  </si>
  <si>
    <t>2019 Dollars Per Gallon-Diesel Equivalent</t>
  </si>
  <si>
    <t>2019 Dollars per Million BTU</t>
  </si>
  <si>
    <t>lookup table; do not delete</t>
  </si>
  <si>
    <t>Historical Data - Monthly Energy Review</t>
  </si>
  <si>
    <t>Price to consumers</t>
  </si>
  <si>
    <t>Nominal $/gallon fuel</t>
  </si>
  <si>
    <t>2019 $/dge</t>
  </si>
  <si>
    <t>2019 $/Mbtu</t>
  </si>
  <si>
    <t>TEDB CPI (1970=1)</t>
  </si>
  <si>
    <t>gasoline</t>
  </si>
  <si>
    <t>(see EIA MER - includes ETOH content)</t>
  </si>
  <si>
    <t>Annual Energy Outlook 2020, Reference Case Forecast</t>
  </si>
  <si>
    <t>https://www.eia.gov/outlooks/aeo/</t>
  </si>
  <si>
    <t>Source: NREL Market Segementation assumptions (Chad Hunter)</t>
  </si>
  <si>
    <r>
      <t xml:space="preserve">a </t>
    </r>
    <r>
      <rPr>
        <b/>
        <sz val="10"/>
        <rFont val="Calibri"/>
        <family val="2"/>
      </rPr>
      <t>range limitation</t>
    </r>
    <r>
      <rPr>
        <sz val="10"/>
        <rFont val="Calibri"/>
        <family val="2"/>
      </rPr>
      <t>, not CD range</t>
    </r>
  </si>
  <si>
    <t>FCEV</t>
  </si>
  <si>
    <t>t</t>
  </si>
  <si>
    <t>ln(num_gas)</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</si>
  <si>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</si>
  <si>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</si>
  <si>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</si>
  <si>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</si>
  <si>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</si>
  <si>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</si>
  <si>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</si>
  <si>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</si>
  <si>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</si>
  <si>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</si>
  <si>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</si>
  <si>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</si>
  <si>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</si>
  <si>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</si>
  <si>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</si>
  <si>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</si>
  <si>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</si>
  <si>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</si>
  <si>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</si>
  <si>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</si>
  <si>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</si>
  <si>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</si>
  <si>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</si>
  <si>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est</t>
  </si>
  <si>
    <t>error</t>
  </si>
  <si>
    <t>ln(t)</t>
  </si>
  <si>
    <t>base year (highest # stations)</t>
  </si>
  <si>
    <t>num_gas</t>
  </si>
  <si>
    <t>Power curve (see regression)</t>
  </si>
  <si>
    <t>&lt;&lt; this value selected for highest Rsq</t>
  </si>
  <si>
    <t>PHEV</t>
  </si>
  <si>
    <t>U.S. Alternative Fueling Stations by Fuel Type</t>
  </si>
  <si>
    <t>Total***</t>
  </si>
  <si>
    <t>Data Source:</t>
  </si>
  <si>
    <t>Alternative Fuels Data Center (AFDC), either directly (afdc.energy.gov/stations/states) or from historical Transportation Energy Data Books (www.osti.gov)</t>
  </si>
  <si>
    <t>Data accessed on 09/25/2019</t>
  </si>
  <si>
    <t>Notes:</t>
  </si>
  <si>
    <t>Data snapshots for each year are based on the federal fiscal year and taken as close to September 30th of the indicated year as possible. All attempts were made to space data samples out one year.  However, this was not always possible as a result of when the Transportation Energy Data Book samples were taken.  This caused the largest disturbance in 2004, when the sample was taken only five months after the 2003 sample.  Therefore, data trends are understated between 2003 and 2004.  See Refuel Stations by State for exact sampling dates.</t>
  </si>
  <si>
    <t>* Starting in 2011, electric charging equipment was counted by the outlet rather than by the geographical location. This is different than other fuels, which only count the geographical location regardless of how many dispensers or nozzles are on site.</t>
  </si>
  <si>
    <t>** Stations selling low-level biodiesel blends (less than B20) are included in the station listing only for the years 2005-2007</t>
  </si>
  <si>
    <t>*** Total is the total number of fuel types sold at stations. Stations are counted once for each type of fuel sold.</t>
  </si>
  <si>
    <t>Acronyms and Abbreviations:</t>
  </si>
  <si>
    <t>CNG: Compressed Natural Gas</t>
  </si>
  <si>
    <t>E85: 85% ethanol, 15% gasoline</t>
  </si>
  <si>
    <t>LNG: Liquefied natural gas</t>
  </si>
  <si>
    <t>M85: 85% methanol, 15% gasoline</t>
  </si>
  <si>
    <t>Worksheet available at afdc.energy.gov/data</t>
  </si>
  <si>
    <t>Last updated 10/9/2019</t>
  </si>
  <si>
    <t>NOTE: 2020 stations:</t>
  </si>
  <si>
    <t>https://afdc.energy.gov/stations/states</t>
  </si>
  <si>
    <t>total stations</t>
  </si>
  <si>
    <t>total plugs</t>
  </si>
  <si>
    <t>accessed 9/25/2020</t>
  </si>
  <si>
    <t>avg plugs/sta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</si>
</sst>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0"/>
  </numFmts>
  <fonts count="102"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b/>
      <sz val="18"/>
      <name val="Calibri"/>
      <family val="2"/>
    </font>
    <font>
      <sz val="11"/>
      <name val="Calibri"/>
      <family val="2"/>
      <scheme val="minor"/>
    </font>
    <font>
      <b/>
      <sz val="10"/>
      <color rgb="FFFF0000"/>
      <name val="Calibri"/>
      <family val="2"/>
      <scheme val="minor"/>
    </font>
    <font>
      <i/>
      <sz val="9"/>
      <color indexed="81"/>
      <name val="Tahoma"/>
      <family val="2"/>
    </font>
    <font>
      <b/>
      <sz val="10"/>
      <color theme="4" tint="-0.249977111117893"/>
      <name val="Calibri"/>
      <family val="2"/>
    </font>
    <font>
      <sz val="10"/>
      <color theme="0" tint="-0.34998626667073579"/>
      <name val="Calibri"/>
      <family val="2"/>
    </font>
    <font>
      <b/>
      <sz val="10"/>
      <color theme="0"/>
      <name val="Calibri"/>
      <family val="2"/>
    </font>
    <font>
      <b/>
      <sz val="10"/>
      <color theme="4" tint="-0.249977111117893"/>
      <name val="Calibri"/>
      <family val="2"/>
      <scheme val="minor"/>
    </font>
    <font>
      <sz val="10"/>
      <color theme="4" tint="-0.249977111117893"/>
      <name val="Calibri"/>
      <family val="2"/>
      <scheme val="minor"/>
    </font>
    <font>
      <u/>
      <sz val="10"/>
      <color indexed="12"/>
      <name val="Calibri"/>
      <family val="2"/>
      <scheme val="minor"/>
    </font>
    <font>
      <i/>
      <sz val="10"/>
      <name val="Arial"/>
      <family val="2"/>
    </font>
    <font>
      <i/>
      <sz val="10"/>
      <name val="Calibri"/>
      <family val="2"/>
      <scheme val="minor"/>
    </font>
    <font>
      <sz val="10"/>
      <color rgb="FFFF0000"/>
      <name val="Calibri"/>
      <family val="2"/>
      <scheme val="minor"/>
    </font>
    <font>
      <sz val="10"/>
      <color indexed="8"/>
      <name val="Arial"/>
      <family val="2"/>
    </font>
    <font>
      <sz val="10"/>
      <color rgb="FF000000"/>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4" tint="0.79998168889431442"/>
        <bgColor theme="4" tint="0.79998168889431442"/>
      </patternFill>
    </fill>
  </fills>
  <borders count="24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double">
        <color indexed="64"/>
      </bottom>
      <diagonal/>
    </border>
    <border>
      <left style="hair">
        <color indexed="64"/>
      </left>
      <right style="hair">
        <color indexed="64"/>
      </right>
      <top style="medium">
        <color indexed="64"/>
      </top>
      <bottom style="double">
        <color indexed="64"/>
      </bottom>
      <diagonal/>
    </border>
    <border>
      <left style="hair">
        <color indexed="64"/>
      </left>
      <right style="medium">
        <color indexed="64"/>
      </right>
      <top style="medium">
        <color indexed="64"/>
      </top>
      <bottom style="double">
        <color indexed="64"/>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right style="medium">
        <color indexed="64"/>
      </right>
      <top style="hair">
        <color indexed="64"/>
      </top>
      <bottom/>
      <diagonal/>
    </border>
    <border>
      <left style="medium">
        <color indexed="64"/>
      </left>
      <right style="hair">
        <color indexed="64"/>
      </right>
      <top/>
      <bottom style="medium">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
      <left style="thin">
        <color indexed="64"/>
      </left>
      <right/>
      <top/>
      <bottom style="thin">
        <color theme="4"/>
      </bottom>
      <diagonal/>
    </border>
    <border>
      <left/>
      <right/>
      <top/>
      <bottom style="thin">
        <color theme="4"/>
      </bottom>
      <diagonal/>
    </border>
    <border>
      <left style="thin">
        <color indexed="64"/>
      </left>
      <right/>
      <top style="thin">
        <color theme="4"/>
      </top>
      <bottom/>
      <diagonal/>
    </border>
    <border>
      <left/>
      <right/>
      <top style="thin">
        <color theme="4"/>
      </top>
      <bottom/>
      <diagonal/>
    </border>
    <border>
      <left style="medium">
        <color auto="1"/>
      </left>
      <right style="thin">
        <color auto="1"/>
      </right>
      <top style="medium">
        <color auto="1"/>
      </top>
      <bottom/>
      <diagonal/>
    </border>
  </borders>
  <cellStyleXfs count="52">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0"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cellStyleXfs>
  <cellXfs count="1740">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24" borderId="53" xfId="0" applyFont="1" applyFill="1" applyBorder="1"/>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39" fillId="0" borderId="0" xfId="0" quotePrefix="1" applyFont="1" applyFill="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0" fontId="24" fillId="0" borderId="37" xfId="0" applyFont="1" applyBorder="1" applyAlignment="1">
      <alignment horizontal="center" wrapText="1"/>
    </xf>
    <xf numFmtId="0" fontId="24" fillId="0" borderId="35" xfId="0" applyFont="1" applyBorder="1" applyAlignment="1">
      <alignment horizontal="center" wrapText="1"/>
    </xf>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0" fontId="24" fillId="0" borderId="34" xfId="0" quotePrefix="1" applyFont="1" applyBorder="1" applyAlignment="1">
      <alignment horizontal="center"/>
    </xf>
    <xf numFmtId="0" fontId="24" fillId="0" borderId="59" xfId="0" applyFont="1" applyBorder="1" applyAlignment="1">
      <alignment horizontal="center"/>
    </xf>
    <xf numFmtId="0" fontId="24" fillId="0" borderId="59" xfId="0" applyFont="1" applyBorder="1" applyAlignment="1">
      <alignment horizontal="center" wrapText="1"/>
    </xf>
    <xf numFmtId="0" fontId="24" fillId="0" borderId="34" xfId="0" applyFont="1" applyBorder="1" applyAlignment="1">
      <alignment horizontal="center"/>
    </xf>
    <xf numFmtId="0" fontId="24" fillId="0" borderId="38" xfId="0" applyFont="1" applyBorder="1" applyAlignment="1">
      <alignment horizontal="center"/>
    </xf>
    <xf numFmtId="0" fontId="24" fillId="0" borderId="38" xfId="0" applyFont="1" applyBorder="1" applyAlignment="1">
      <alignment horizontal="center" wrapText="1"/>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67" fontId="25" fillId="0" borderId="0" xfId="0" applyNumberFormat="1" applyFo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1"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2" xfId="41" applyFont="1" applyBorder="1" applyAlignment="1">
      <alignment horizontal="center"/>
    </xf>
    <xf numFmtId="0" fontId="53" fillId="0" borderId="133" xfId="41" applyFont="1" applyBorder="1" applyAlignment="1">
      <alignment horizontal="center"/>
    </xf>
    <xf numFmtId="10" fontId="53" fillId="0" borderId="134" xfId="44" applyNumberFormat="1" applyFont="1" applyBorder="1" applyAlignment="1">
      <alignment horizontal="center"/>
    </xf>
    <xf numFmtId="10" fontId="53" fillId="0" borderId="135" xfId="44" applyNumberFormat="1" applyFont="1" applyBorder="1" applyAlignment="1">
      <alignment horizontal="center"/>
    </xf>
    <xf numFmtId="164" fontId="52"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08" xfId="44" applyNumberFormat="1" applyFont="1" applyBorder="1" applyAlignment="1">
      <alignment horizontal="center"/>
    </xf>
    <xf numFmtId="164" fontId="52" fillId="0" borderId="139" xfId="44" applyNumberFormat="1" applyFont="1" applyBorder="1" applyAlignment="1">
      <alignment horizontal="center"/>
    </xf>
    <xf numFmtId="164" fontId="52" fillId="0" borderId="140"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53" fillId="0" borderId="154" xfId="41" applyFont="1" applyBorder="1" applyAlignment="1">
      <alignment horizontal="center"/>
    </xf>
    <xf numFmtId="10" fontId="53" fillId="0" borderId="155" xfId="44" applyNumberFormat="1" applyFont="1" applyBorder="1" applyAlignment="1">
      <alignment horizontal="center"/>
    </xf>
    <xf numFmtId="164" fontId="52" fillId="0" borderId="156" xfId="44" applyNumberFormat="1" applyFont="1" applyBorder="1" applyAlignment="1">
      <alignment horizontal="center"/>
    </xf>
    <xf numFmtId="164" fontId="52" fillId="0" borderId="109" xfId="44" applyNumberFormat="1" applyFont="1" applyBorder="1" applyAlignment="1">
      <alignment horizontal="center"/>
    </xf>
    <xf numFmtId="164" fontId="52" fillId="0" borderId="157"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3" xfId="44" applyNumberFormat="1" applyFont="1" applyFill="1" applyBorder="1" applyAlignment="1">
      <alignment horizontal="center"/>
    </xf>
    <xf numFmtId="164" fontId="30" fillId="0" borderId="164" xfId="44" applyNumberFormat="1" applyFont="1" applyFill="1" applyBorder="1" applyAlignment="1">
      <alignment horizontal="center"/>
    </xf>
    <xf numFmtId="164" fontId="30" fillId="0" borderId="167"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8"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1" xfId="44" applyNumberFormat="1" applyFont="1" applyFill="1" applyBorder="1" applyAlignment="1">
      <alignment horizontal="center"/>
    </xf>
    <xf numFmtId="0" fontId="30" fillId="0" borderId="168" xfId="40" applyFont="1" applyFill="1" applyBorder="1" applyAlignment="1">
      <alignment horizontal="center"/>
    </xf>
    <xf numFmtId="164" fontId="30" fillId="0" borderId="162"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69"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0" fontId="24" fillId="0" borderId="36" xfId="0" applyFont="1" applyBorder="1" applyAlignment="1">
      <alignment horizontal="center"/>
    </xf>
    <xf numFmtId="0" fontId="24" fillId="0" borderId="37" xfId="0" applyFont="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1"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3" fontId="30" fillId="0" borderId="163" xfId="44" applyNumberFormat="1" applyFont="1" applyFill="1" applyBorder="1" applyAlignment="1">
      <alignment horizontal="center"/>
    </xf>
    <xf numFmtId="3" fontId="30" fillId="0" borderId="164" xfId="44" applyNumberFormat="1" applyFont="1" applyFill="1" applyBorder="1" applyAlignment="1">
      <alignment horizontal="center"/>
    </xf>
    <xf numFmtId="3" fontId="30" fillId="0" borderId="167"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8"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69"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27" borderId="0" xfId="0" applyFont="1" applyFill="1" applyBorder="1"/>
    <xf numFmtId="0" fontId="38" fillId="27" borderId="172" xfId="0" applyFont="1" applyFill="1" applyBorder="1"/>
    <xf numFmtId="0" fontId="25" fillId="27" borderId="57" xfId="0" applyFont="1" applyFill="1" applyBorder="1"/>
    <xf numFmtId="0" fontId="25" fillId="27" borderId="173"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5" xfId="0" applyNumberFormat="1" applyFont="1" applyFill="1" applyBorder="1" applyAlignment="1" applyProtection="1">
      <alignment horizontal="center"/>
    </xf>
    <xf numFmtId="2" fontId="25" fillId="0" borderId="182" xfId="0" applyNumberFormat="1" applyFont="1" applyFill="1" applyBorder="1"/>
    <xf numFmtId="2" fontId="25" fillId="0" borderId="176"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2" xfId="0" applyFont="1" applyBorder="1" applyAlignment="1">
      <alignment horizontal="center"/>
    </xf>
    <xf numFmtId="0" fontId="25" fillId="0" borderId="175" xfId="0" quotePrefix="1" applyFont="1" applyBorder="1" applyAlignment="1">
      <alignment horizontal="left"/>
    </xf>
    <xf numFmtId="0" fontId="24" fillId="0" borderId="176"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1" xfId="0" applyFont="1" applyBorder="1" applyAlignment="1">
      <alignment horizontal="center" wrapText="1"/>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0" borderId="182" xfId="41" applyFont="1" applyFill="1" applyBorder="1"/>
    <xf numFmtId="168" fontId="52" fillId="0" borderId="182" xfId="41" applyNumberFormat="1" applyFont="1" applyFill="1" applyBorder="1"/>
    <xf numFmtId="168" fontId="52" fillId="25" borderId="176" xfId="44" applyNumberFormat="1" applyFont="1" applyFill="1" applyBorder="1"/>
    <xf numFmtId="0" fontId="52" fillId="0" borderId="34" xfId="41" applyFont="1" applyFill="1" applyBorder="1"/>
    <xf numFmtId="0" fontId="52" fillId="0" borderId="59" xfId="41" applyFont="1" applyFill="1" applyBorder="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1" xfId="41" applyFont="1" applyBorder="1"/>
    <xf numFmtId="168" fontId="52" fillId="0" borderId="11" xfId="41" applyNumberFormat="1" applyFont="1" applyBorder="1"/>
    <xf numFmtId="168" fontId="52" fillId="0" borderId="172"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2"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1" xfId="44" applyNumberFormat="1" applyFont="1" applyBorder="1" applyAlignment="1">
      <alignment horizontal="center"/>
    </xf>
    <xf numFmtId="165" fontId="52" fillId="0" borderId="11" xfId="44" applyNumberFormat="1" applyFont="1" applyBorder="1" applyAlignment="1">
      <alignment horizontal="center"/>
    </xf>
    <xf numFmtId="165" fontId="52" fillId="0" borderId="172" xfId="44" applyNumberFormat="1" applyFont="1" applyBorder="1" applyAlignment="1">
      <alignment horizontal="center"/>
    </xf>
    <xf numFmtId="165" fontId="52" fillId="0" borderId="10" xfId="44" applyNumberFormat="1" applyFont="1" applyBorder="1" applyAlignment="1">
      <alignment horizontal="center"/>
    </xf>
    <xf numFmtId="168" fontId="52" fillId="0" borderId="175" xfId="41" applyNumberFormat="1" applyFont="1" applyBorder="1"/>
    <xf numFmtId="168" fontId="52" fillId="0" borderId="182" xfId="41" applyNumberFormat="1" applyFont="1" applyBorder="1"/>
    <xf numFmtId="168" fontId="52" fillId="0" borderId="179" xfId="41" applyNumberFormat="1" applyFont="1" applyBorder="1"/>
    <xf numFmtId="0" fontId="52" fillId="0" borderId="175" xfId="41" applyNumberFormat="1" applyFont="1" applyBorder="1" applyAlignment="1">
      <alignment horizontal="center"/>
    </xf>
    <xf numFmtId="0" fontId="52" fillId="0" borderId="182" xfId="41" applyNumberFormat="1" applyFont="1" applyBorder="1" applyAlignment="1">
      <alignment horizontal="center"/>
    </xf>
    <xf numFmtId="0" fontId="52" fillId="0" borderId="179" xfId="41" applyNumberFormat="1" applyFont="1" applyBorder="1" applyAlignment="1">
      <alignment horizontal="center"/>
    </xf>
    <xf numFmtId="164" fontId="52" fillId="0" borderId="175" xfId="44" applyNumberFormat="1" applyFont="1" applyBorder="1" applyAlignment="1">
      <alignment horizontal="center"/>
    </xf>
    <xf numFmtId="164" fontId="52" fillId="0" borderId="182" xfId="44" applyNumberFormat="1" applyFont="1" applyBorder="1" applyAlignment="1">
      <alignment horizontal="center"/>
    </xf>
    <xf numFmtId="164" fontId="52" fillId="0" borderId="176" xfId="44" applyNumberFormat="1" applyFont="1" applyBorder="1" applyAlignment="1">
      <alignment horizontal="center"/>
    </xf>
    <xf numFmtId="165" fontId="52" fillId="0" borderId="182" xfId="44" applyNumberFormat="1" applyFont="1" applyBorder="1" applyAlignment="1">
      <alignment horizontal="center"/>
    </xf>
    <xf numFmtId="165" fontId="52" fillId="0" borderId="179" xfId="44" applyNumberFormat="1" applyFont="1" applyBorder="1" applyAlignment="1">
      <alignment horizontal="center"/>
    </xf>
    <xf numFmtId="165" fontId="52" fillId="0" borderId="175" xfId="44" applyNumberFormat="1" applyFont="1" applyBorder="1" applyAlignment="1">
      <alignment horizontal="center"/>
    </xf>
    <xf numFmtId="164" fontId="52" fillId="0" borderId="101" xfId="44" applyNumberFormat="1" applyFont="1" applyBorder="1" applyAlignment="1">
      <alignment horizontal="center"/>
    </xf>
    <xf numFmtId="164" fontId="52" fillId="0" borderId="172"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4"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5"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99" xfId="40" applyFont="1" applyFill="1" applyBorder="1" applyAlignment="1">
      <alignment horizontal="center"/>
    </xf>
    <xf numFmtId="164" fontId="30" fillId="0" borderId="191" xfId="44" applyNumberFormat="1"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0" fontId="30" fillId="0" borderId="10" xfId="40" applyFont="1" applyFill="1" applyBorder="1" applyAlignment="1">
      <alignment horizontal="center"/>
    </xf>
    <xf numFmtId="164" fontId="30" fillId="0" borderId="200" xfId="44" applyNumberFormat="1" applyFont="1" applyFill="1" applyBorder="1" applyAlignment="1">
      <alignment horizontal="center"/>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3" fontId="30" fillId="0" borderId="184"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6"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3" xfId="41" applyNumberFormat="1" applyFont="1" applyBorder="1"/>
    <xf numFmtId="168" fontId="52" fillId="0" borderId="183" xfId="41" applyNumberFormat="1" applyFont="1" applyBorder="1"/>
    <xf numFmtId="168" fontId="52" fillId="0" borderId="107" xfId="41" applyNumberFormat="1" applyFont="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6" xfId="41" applyNumberFormat="1" applyFont="1" applyBorder="1"/>
    <xf numFmtId="0" fontId="52" fillId="0" borderId="51" xfId="41" applyFont="1" applyBorder="1" applyAlignment="1">
      <alignment horizontal="right"/>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0" fontId="65" fillId="0" borderId="91" xfId="0" applyFont="1" applyBorder="1"/>
    <xf numFmtId="0" fontId="67" fillId="0" borderId="90" xfId="0" applyFont="1" applyBorder="1"/>
    <xf numFmtId="3" fontId="65" fillId="0" borderId="90" xfId="0" applyNumberFormat="1"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3"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0"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9" fontId="52" fillId="0" borderId="99" xfId="44" applyFont="1" applyBorder="1" applyAlignment="1">
      <alignment horizontal="right"/>
    </xf>
    <xf numFmtId="9" fontId="52" fillId="0" borderId="42" xfId="44" applyFont="1" applyBorder="1" applyAlignment="1">
      <alignment horizontal="right"/>
    </xf>
    <xf numFmtId="9" fontId="52" fillId="0" borderId="48" xfId="44" applyFont="1" applyBorder="1" applyAlignment="1">
      <alignment horizontal="right"/>
    </xf>
    <xf numFmtId="9" fontId="52" fillId="0" borderId="10" xfId="44" applyFont="1" applyBorder="1"/>
    <xf numFmtId="9" fontId="52" fillId="0" borderId="11" xfId="44" applyFont="1" applyBorder="1"/>
    <xf numFmtId="9" fontId="52" fillId="0" borderId="131" xfId="44" applyFont="1" applyBorder="1"/>
    <xf numFmtId="9" fontId="52" fillId="0" borderId="175" xfId="44" applyFont="1" applyBorder="1"/>
    <xf numFmtId="9" fontId="52" fillId="0" borderId="182" xfId="44" applyFont="1" applyBorder="1"/>
    <xf numFmtId="9" fontId="52" fillId="0" borderId="176" xfId="44" applyFont="1" applyBorder="1"/>
    <xf numFmtId="9" fontId="52" fillId="0" borderId="99" xfId="44" applyFont="1" applyBorder="1"/>
    <xf numFmtId="9" fontId="52" fillId="0" borderId="42" xfId="44" applyFont="1" applyBorder="1"/>
    <xf numFmtId="9" fontId="52" fillId="0" borderId="48" xfId="44" applyFont="1" applyBorder="1"/>
    <xf numFmtId="9" fontId="52" fillId="0" borderId="100" xfId="44" applyFont="1" applyBorder="1"/>
    <xf numFmtId="9" fontId="52" fillId="0" borderId="117" xfId="44" applyFont="1" applyBorder="1"/>
    <xf numFmtId="9" fontId="52" fillId="0" borderId="49" xfId="44" applyFont="1" applyBorder="1"/>
    <xf numFmtId="9" fontId="52" fillId="0" borderId="98" xfId="44" applyFont="1" applyBorder="1"/>
    <xf numFmtId="9" fontId="52" fillId="0" borderId="125" xfId="44" applyFont="1" applyBorder="1"/>
    <xf numFmtId="9" fontId="52" fillId="0" borderId="47" xfId="44" applyFont="1" applyBorder="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6"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63" xfId="41" applyFont="1" applyFill="1" applyBorder="1"/>
    <xf numFmtId="0" fontId="52" fillId="30" borderId="30" xfId="41" applyFont="1" applyFill="1" applyBorder="1"/>
    <xf numFmtId="0" fontId="52" fillId="30" borderId="209"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7" xfId="41" applyNumberFormat="1" applyFont="1" applyFill="1" applyBorder="1"/>
    <xf numFmtId="0" fontId="52" fillId="30" borderId="83" xfId="41" applyFont="1" applyFill="1" applyBorder="1" applyAlignment="1">
      <alignment horizontal="left"/>
    </xf>
    <xf numFmtId="0" fontId="52" fillId="30" borderId="187"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34" fillId="30" borderId="30" xfId="41" applyFont="1" applyFill="1" applyBorder="1"/>
    <xf numFmtId="0" fontId="34" fillId="30" borderId="187" xfId="41" applyFont="1" applyFill="1" applyBorder="1"/>
    <xf numFmtId="0" fontId="34" fillId="30" borderId="187"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1" xfId="50" applyNumberFormat="1" applyFont="1" applyBorder="1"/>
    <xf numFmtId="172" fontId="52" fillId="0" borderId="175" xfId="50" applyNumberFormat="1" applyFont="1" applyBorder="1"/>
    <xf numFmtId="172" fontId="52" fillId="0" borderId="182" xfId="50" applyNumberFormat="1" applyFont="1" applyBorder="1"/>
    <xf numFmtId="172" fontId="52" fillId="0" borderId="176"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52" fillId="0" borderId="0" xfId="41" applyNumberFormat="1" applyFont="1" applyFill="1"/>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2" xfId="41" applyFont="1" applyBorder="1" applyAlignment="1">
      <alignment horizontal="center" wrapText="1"/>
    </xf>
    <xf numFmtId="0" fontId="38" fillId="30" borderId="101" xfId="0" applyFont="1" applyFill="1" applyBorder="1"/>
    <xf numFmtId="0" fontId="25" fillId="30" borderId="74" xfId="0" applyFont="1" applyFill="1" applyBorder="1"/>
    <xf numFmtId="0" fontId="25" fillId="30" borderId="103" xfId="0" applyFont="1" applyFill="1" applyBorder="1"/>
    <xf numFmtId="164" fontId="30" fillId="0" borderId="213"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2" xfId="40" applyFont="1" applyFill="1" applyBorder="1" applyAlignment="1">
      <alignment horizontal="center" wrapText="1"/>
    </xf>
    <xf numFmtId="164" fontId="30" fillId="0" borderId="214"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5"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0" fontId="74" fillId="30" borderId="102" xfId="41" applyFont="1" applyFill="1" applyBorder="1"/>
    <xf numFmtId="0" fontId="74" fillId="30" borderId="104" xfId="41" applyFont="1" applyFill="1" applyBorder="1"/>
    <xf numFmtId="0" fontId="74" fillId="30" borderId="181"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52" fillId="0" borderId="0" xfId="41" applyFont="1" applyAlignment="1">
      <alignment horizontal="right"/>
    </xf>
    <xf numFmtId="0" fontId="25" fillId="27" borderId="0" xfId="0" applyFont="1" applyFill="1" applyBorder="1" applyAlignment="1">
      <alignment vertical="center" wrapText="1"/>
    </xf>
    <xf numFmtId="0" fontId="38" fillId="27" borderId="0" xfId="0" applyFont="1" applyFill="1" applyBorder="1"/>
    <xf numFmtId="22" fontId="25" fillId="27"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68" fontId="70" fillId="35" borderId="29" xfId="0" applyNumberFormat="1" applyFont="1" applyFill="1" applyBorder="1" applyAlignment="1">
      <alignment horizontal="center"/>
    </xf>
    <xf numFmtId="10" fontId="53" fillId="0" borderId="138" xfId="44" applyNumberFormat="1" applyFont="1" applyBorder="1" applyAlignment="1">
      <alignment horizontal="center"/>
    </xf>
    <xf numFmtId="10" fontId="53" fillId="0" borderId="108" xfId="44" applyNumberFormat="1" applyFont="1" applyBorder="1" applyAlignment="1">
      <alignment horizontal="center"/>
    </xf>
    <xf numFmtId="10" fontId="53" fillId="0" borderId="216" xfId="44" applyNumberFormat="1" applyFont="1" applyBorder="1" applyAlignment="1">
      <alignment horizontal="center"/>
    </xf>
    <xf numFmtId="0" fontId="53" fillId="0" borderId="98" xfId="41" applyFont="1" applyBorder="1"/>
    <xf numFmtId="0" fontId="53" fillId="0" borderId="47" xfId="41" applyFont="1" applyBorder="1"/>
    <xf numFmtId="0" fontId="53" fillId="0" borderId="97" xfId="41" applyFont="1" applyBorder="1"/>
    <xf numFmtId="0" fontId="53" fillId="0" borderId="123" xfId="41" applyFont="1" applyBorder="1"/>
    <xf numFmtId="166" fontId="53" fillId="0" borderId="132" xfId="44" applyNumberFormat="1" applyFont="1" applyBorder="1" applyAlignment="1">
      <alignment horizontal="center"/>
    </xf>
    <xf numFmtId="166" fontId="53" fillId="0" borderId="133" xfId="44" applyNumberFormat="1" applyFont="1" applyBorder="1" applyAlignment="1">
      <alignment horizontal="center"/>
    </xf>
    <xf numFmtId="166" fontId="53" fillId="0" borderId="154"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7" xfId="44" applyNumberFormat="1" applyFont="1" applyBorder="1" applyAlignment="1">
      <alignment horizontal="center"/>
    </xf>
    <xf numFmtId="10" fontId="53" fillId="0" borderId="218" xfId="44" applyNumberFormat="1" applyFont="1" applyBorder="1" applyAlignment="1">
      <alignment horizontal="center"/>
    </xf>
    <xf numFmtId="10" fontId="53" fillId="0" borderId="219"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3" fillId="0" borderId="221" xfId="41" applyFont="1" applyBorder="1" applyAlignment="1">
      <alignment horizontal="center"/>
    </xf>
    <xf numFmtId="0" fontId="53" fillId="0" borderId="222" xfId="41" applyFont="1" applyBorder="1" applyAlignment="1">
      <alignment horizontal="center"/>
    </xf>
    <xf numFmtId="0" fontId="52" fillId="0" borderId="14" xfId="41" applyFont="1" applyBorder="1"/>
    <xf numFmtId="2" fontId="52" fillId="0" borderId="0" xfId="41" applyNumberFormat="1" applyFont="1" applyBorder="1"/>
    <xf numFmtId="2" fontId="52" fillId="0" borderId="14" xfId="41" applyNumberFormat="1" applyFont="1" applyBorder="1"/>
    <xf numFmtId="0" fontId="52" fillId="0" borderId="59" xfId="41" applyFont="1" applyBorder="1"/>
    <xf numFmtId="0" fontId="52" fillId="0" borderId="38" xfId="41" applyFont="1" applyBorder="1"/>
    <xf numFmtId="0" fontId="52" fillId="0" borderId="220" xfId="41" applyFont="1" applyBorder="1"/>
    <xf numFmtId="0" fontId="34" fillId="0" borderId="87" xfId="41" applyFont="1" applyBorder="1"/>
    <xf numFmtId="164" fontId="34" fillId="0" borderId="91" xfId="44" applyNumberFormat="1" applyFont="1" applyBorder="1"/>
    <xf numFmtId="0" fontId="52" fillId="0" borderId="138" xfId="41" applyFont="1" applyBorder="1" applyAlignment="1">
      <alignment horizontal="center"/>
    </xf>
    <xf numFmtId="0" fontId="52" fillId="0" borderId="108" xfId="41" applyFont="1" applyBorder="1" applyAlignment="1">
      <alignment horizontal="center"/>
    </xf>
    <xf numFmtId="0" fontId="52" fillId="0" borderId="216" xfId="41" applyFont="1" applyBorder="1" applyAlignment="1">
      <alignment horizontal="center"/>
    </xf>
    <xf numFmtId="164" fontId="52" fillId="0" borderId="138" xfId="44" applyNumberFormat="1" applyFont="1" applyBorder="1"/>
    <xf numFmtId="164" fontId="52" fillId="0" borderId="108" xfId="44" applyNumberFormat="1" applyFont="1" applyBorder="1"/>
    <xf numFmtId="0" fontId="52" fillId="0" borderId="216" xfId="41" applyFont="1" applyBorder="1"/>
    <xf numFmtId="164" fontId="52" fillId="0" borderId="139" xfId="44" applyNumberFormat="1" applyFont="1" applyBorder="1"/>
    <xf numFmtId="164" fontId="52" fillId="0" borderId="140" xfId="44" applyNumberFormat="1" applyFont="1" applyBorder="1"/>
    <xf numFmtId="0" fontId="52" fillId="0" borderId="226" xfId="41" applyFont="1" applyBorder="1"/>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5" fillId="0" borderId="60" xfId="0" applyFont="1" applyBorder="1" applyAlignment="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7" xfId="0" applyFont="1" applyBorder="1"/>
    <xf numFmtId="0" fontId="25" fillId="0" borderId="228" xfId="0" applyFont="1" applyBorder="1"/>
    <xf numFmtId="0" fontId="25" fillId="0" borderId="229"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5" xfId="41" applyFont="1" applyFill="1" applyBorder="1"/>
    <xf numFmtId="0" fontId="52" fillId="25" borderId="176" xfId="41" applyFont="1" applyFill="1" applyBorder="1"/>
    <xf numFmtId="0" fontId="52" fillId="0" borderId="99" xfId="41" applyFont="1" applyFill="1" applyBorder="1"/>
    <xf numFmtId="0" fontId="52" fillId="0" borderId="48" xfId="41" applyFont="1" applyFill="1" applyBorder="1"/>
    <xf numFmtId="0" fontId="52" fillId="0" borderId="183"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2" xfId="41" applyFont="1" applyBorder="1" applyAlignment="1">
      <alignment horizontal="center"/>
    </xf>
    <xf numFmtId="0" fontId="34" fillId="0" borderId="1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2"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2"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69" xfId="40" applyFont="1" applyFill="1" applyBorder="1" applyAlignment="1">
      <alignment horizontal="center"/>
    </xf>
    <xf numFmtId="0" fontId="30" fillId="0" borderId="230" xfId="40" applyFont="1" applyFill="1" applyBorder="1" applyAlignment="1">
      <alignment horizontal="center"/>
    </xf>
    <xf numFmtId="0" fontId="30" fillId="0" borderId="170"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5" xfId="44" applyNumberFormat="1" applyFont="1" applyBorder="1" applyAlignment="1">
      <alignment horizontal="center"/>
    </xf>
    <xf numFmtId="2" fontId="52" fillId="0" borderId="182" xfId="44" applyNumberFormat="1" applyFont="1" applyBorder="1" applyAlignment="1">
      <alignment horizontal="center"/>
    </xf>
    <xf numFmtId="2" fontId="52" fillId="0" borderId="176"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1"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26" fillId="0" borderId="0" xfId="0" applyFont="1" applyFill="1" applyAlignment="1">
      <alignment horizontal="right"/>
    </xf>
    <xf numFmtId="164" fontId="25" fillId="0" borderId="0" xfId="44" applyNumberFormat="1" applyFont="1" applyFill="1"/>
    <xf numFmtId="0" fontId="25" fillId="0" borderId="0" xfId="40" applyFont="1" applyFill="1"/>
    <xf numFmtId="0" fontId="25" fillId="0" borderId="0" xfId="40" applyFont="1" applyFill="1" applyBorder="1" applyAlignment="1">
      <alignment horizontal="center"/>
    </xf>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25" fillId="0" borderId="0" xfId="40" applyFont="1" applyFill="1" applyBorder="1" applyAlignment="1">
      <alignment horizontal="left"/>
    </xf>
    <xf numFmtId="0" fontId="25" fillId="0" borderId="0" xfId="40" applyFont="1" applyFill="1" applyBorder="1" applyAlignment="1">
      <alignment horizontal="left" indent="1"/>
    </xf>
    <xf numFmtId="164" fontId="30" fillId="0" borderId="83" xfId="44" applyNumberFormat="1" applyFont="1" applyFill="1" applyBorder="1" applyAlignment="1">
      <alignment horizontal="center"/>
    </xf>
    <xf numFmtId="164" fontId="30" fillId="0" borderId="185"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13" xfId="44" applyNumberFormat="1" applyFont="1" applyFill="1" applyBorder="1" applyAlignment="1">
      <alignment horizontal="center"/>
    </xf>
    <xf numFmtId="0" fontId="30" fillId="0" borderId="28" xfId="40" applyFont="1" applyFill="1" applyBorder="1" applyAlignment="1">
      <alignment vertical="center"/>
    </xf>
    <xf numFmtId="0" fontId="25" fillId="0" borderId="0" xfId="40" applyFont="1" applyFill="1" applyAlignment="1">
      <alignment vertical="center"/>
    </xf>
    <xf numFmtId="0" fontId="83" fillId="0" borderId="0" xfId="40" applyFont="1" applyFill="1"/>
    <xf numFmtId="0" fontId="30" fillId="0" borderId="169" xfId="40" applyFont="1" applyFill="1" applyBorder="1" applyAlignment="1">
      <alignment horizontal="center"/>
    </xf>
    <xf numFmtId="0" fontId="30" fillId="0" borderId="230" xfId="40" applyFont="1" applyFill="1" applyBorder="1" applyAlignment="1">
      <alignment horizontal="center"/>
    </xf>
    <xf numFmtId="0" fontId="30" fillId="0" borderId="170"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8" xfId="40" applyFont="1" applyFill="1" applyBorder="1" applyAlignment="1">
      <alignment horizontal="center"/>
    </xf>
    <xf numFmtId="0" fontId="30" fillId="0" borderId="73" xfId="40" applyFont="1" applyFill="1" applyBorder="1" applyAlignment="1">
      <alignment horizontal="center"/>
    </xf>
    <xf numFmtId="164" fontId="30" fillId="0" borderId="32" xfId="44" applyNumberFormat="1" applyFont="1" applyFill="1" applyBorder="1" applyAlignment="1">
      <alignment horizontal="center"/>
    </xf>
    <xf numFmtId="164" fontId="30" fillId="0" borderId="231" xfId="44" applyNumberFormat="1" applyFont="1" applyFill="1" applyBorder="1" applyAlignment="1">
      <alignment horizontal="center"/>
    </xf>
    <xf numFmtId="0" fontId="30" fillId="0" borderId="25" xfId="40" applyFont="1" applyFill="1" applyBorder="1" applyAlignment="1">
      <alignment horizontal="center" vertical="center" wrapText="1"/>
    </xf>
    <xf numFmtId="0" fontId="30" fillId="0" borderId="20" xfId="40" applyFont="1" applyFill="1" applyBorder="1" applyAlignment="1">
      <alignment horizontal="center" vertical="center" wrapText="1"/>
    </xf>
    <xf numFmtId="0" fontId="30" fillId="0" borderId="55" xfId="40" applyFont="1" applyFill="1" applyBorder="1" applyAlignment="1">
      <alignment horizontal="center" vertical="center" wrapText="1"/>
    </xf>
    <xf numFmtId="164" fontId="30" fillId="0" borderId="232" xfId="44" applyNumberFormat="1" applyFont="1" applyFill="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0" fontId="52" fillId="0" borderId="110" xfId="41" applyFont="1" applyBorder="1"/>
    <xf numFmtId="0" fontId="53" fillId="0" borderId="111" xfId="41" applyFont="1" applyBorder="1"/>
    <xf numFmtId="10" fontId="53" fillId="0" borderId="233" xfId="44" applyNumberFormat="1" applyFont="1" applyBorder="1" applyAlignment="1">
      <alignment horizontal="center"/>
    </xf>
    <xf numFmtId="166" fontId="53" fillId="0" borderId="234" xfId="44" applyNumberFormat="1" applyFont="1" applyBorder="1" applyAlignment="1">
      <alignment horizontal="center"/>
    </xf>
    <xf numFmtId="164" fontId="52" fillId="0" borderId="216" xfId="41" applyNumberFormat="1" applyFont="1" applyBorder="1"/>
    <xf numFmtId="0" fontId="25" fillId="0" borderId="22" xfId="41" applyFont="1" applyBorder="1" applyAlignment="1">
      <alignment horizontal="center"/>
    </xf>
    <xf numFmtId="0" fontId="25" fillId="0" borderId="15" xfId="41" applyFont="1" applyBorder="1" applyAlignment="1">
      <alignment horizontal="center"/>
    </xf>
    <xf numFmtId="0" fontId="25" fillId="0" borderId="24" xfId="41" applyFont="1" applyBorder="1" applyAlignment="1">
      <alignment horizontal="center"/>
    </xf>
    <xf numFmtId="164" fontId="25" fillId="0" borderId="0" xfId="40" applyNumberFormat="1" applyFont="1" applyFill="1"/>
    <xf numFmtId="0" fontId="68" fillId="0" borderId="0" xfId="0" applyFont="1"/>
    <xf numFmtId="0" fontId="88" fillId="0" borderId="0" xfId="0" applyFont="1"/>
    <xf numFmtId="0" fontId="88" fillId="0" borderId="27" xfId="40" applyFont="1" applyFill="1" applyBorder="1"/>
    <xf numFmtId="0" fontId="88" fillId="0" borderId="28" xfId="40" applyFont="1" applyFill="1" applyBorder="1"/>
    <xf numFmtId="0" fontId="88" fillId="0" borderId="169" xfId="40" applyFont="1" applyFill="1" applyBorder="1" applyAlignment="1">
      <alignment horizontal="center"/>
    </xf>
    <xf numFmtId="0" fontId="88" fillId="0" borderId="230" xfId="40" applyFont="1" applyFill="1" applyBorder="1" applyAlignment="1">
      <alignment horizontal="center"/>
    </xf>
    <xf numFmtId="0" fontId="88" fillId="0" borderId="170" xfId="40" applyFont="1" applyFill="1" applyBorder="1" applyAlignment="1">
      <alignment horizontal="center"/>
    </xf>
    <xf numFmtId="0" fontId="88" fillId="0" borderId="28" xfId="40" applyFont="1" applyFill="1" applyBorder="1" applyAlignment="1">
      <alignment vertical="center"/>
    </xf>
    <xf numFmtId="0" fontId="88" fillId="0" borderId="22" xfId="40" applyFont="1" applyFill="1" applyBorder="1" applyAlignment="1">
      <alignment horizontal="center" vertical="center" wrapText="1"/>
    </xf>
    <xf numFmtId="0" fontId="88" fillId="0" borderId="15" xfId="40" applyFont="1" applyFill="1" applyBorder="1" applyAlignment="1">
      <alignment horizontal="center" vertical="center" wrapText="1"/>
    </xf>
    <xf numFmtId="0" fontId="88" fillId="0" borderId="24" xfId="40" applyFont="1" applyFill="1" applyBorder="1" applyAlignment="1">
      <alignment horizontal="center" vertical="center" wrapText="1"/>
    </xf>
    <xf numFmtId="0" fontId="88" fillId="0" borderId="52" xfId="40" applyFont="1" applyFill="1" applyBorder="1" applyAlignment="1">
      <alignment horizontal="center"/>
    </xf>
    <xf numFmtId="0" fontId="88" fillId="0" borderId="65" xfId="40" applyFont="1" applyFill="1" applyBorder="1" applyAlignment="1">
      <alignment horizontal="center"/>
    </xf>
    <xf numFmtId="0" fontId="88" fillId="0" borderId="64" xfId="40" applyFont="1" applyFill="1" applyBorder="1" applyAlignment="1">
      <alignment horizontal="center" wrapText="1"/>
    </xf>
    <xf numFmtId="0" fontId="88" fillId="0" borderId="66" xfId="40" applyFont="1" applyFill="1" applyBorder="1" applyAlignment="1">
      <alignment horizontal="center" wrapText="1"/>
    </xf>
    <xf numFmtId="0" fontId="88" fillId="0" borderId="65" xfId="40" applyFont="1" applyFill="1" applyBorder="1" applyAlignment="1">
      <alignment horizontal="center" wrapText="1"/>
    </xf>
    <xf numFmtId="0" fontId="88" fillId="0" borderId="28" xfId="40" applyFont="1" applyFill="1" applyBorder="1" applyAlignment="1">
      <alignment horizontal="center"/>
    </xf>
    <xf numFmtId="2" fontId="88" fillId="0" borderId="194" xfId="44" applyNumberFormat="1" applyFont="1" applyFill="1" applyBorder="1" applyAlignment="1">
      <alignment horizontal="center"/>
    </xf>
    <xf numFmtId="2" fontId="88" fillId="0" borderId="192" xfId="44" applyNumberFormat="1" applyFont="1" applyFill="1" applyBorder="1" applyAlignment="1">
      <alignment horizontal="center"/>
    </xf>
    <xf numFmtId="2" fontId="88" fillId="0" borderId="235" xfId="44" applyNumberFormat="1" applyFont="1" applyFill="1" applyBorder="1" applyAlignment="1">
      <alignment horizontal="center"/>
    </xf>
    <xf numFmtId="2" fontId="88" fillId="0" borderId="195" xfId="44" applyNumberFormat="1" applyFont="1" applyFill="1" applyBorder="1" applyAlignment="1">
      <alignment horizontal="center"/>
    </xf>
    <xf numFmtId="2" fontId="88" fillId="0" borderId="196" xfId="44" applyNumberFormat="1" applyFont="1" applyFill="1" applyBorder="1" applyAlignment="1">
      <alignment horizontal="center"/>
    </xf>
    <xf numFmtId="0" fontId="88" fillId="0" borderId="73" xfId="40" applyFont="1" applyFill="1" applyBorder="1" applyAlignment="1">
      <alignment horizontal="center"/>
    </xf>
    <xf numFmtId="2" fontId="88" fillId="0" borderId="197" xfId="44" applyNumberFormat="1" applyFont="1" applyFill="1" applyBorder="1" applyAlignment="1">
      <alignment horizontal="center"/>
    </xf>
    <xf numFmtId="2" fontId="88" fillId="0" borderId="198" xfId="44" applyNumberFormat="1" applyFont="1" applyFill="1" applyBorder="1" applyAlignment="1">
      <alignment horizontal="center"/>
    </xf>
    <xf numFmtId="2" fontId="88" fillId="0" borderId="199" xfId="44" applyNumberFormat="1" applyFont="1" applyFill="1" applyBorder="1" applyAlignment="1">
      <alignment horizontal="center"/>
    </xf>
    <xf numFmtId="2" fontId="88" fillId="0" borderId="200" xfId="44" applyNumberFormat="1" applyFont="1" applyFill="1" applyBorder="1" applyAlignment="1">
      <alignment horizontal="center"/>
    </xf>
    <xf numFmtId="2" fontId="88" fillId="0" borderId="201" xfId="44" applyNumberFormat="1" applyFont="1" applyFill="1" applyBorder="1" applyAlignment="1">
      <alignment horizontal="center"/>
    </xf>
    <xf numFmtId="2" fontId="88" fillId="0" borderId="202" xfId="44" applyNumberFormat="1" applyFont="1" applyFill="1" applyBorder="1" applyAlignment="1">
      <alignment horizontal="center"/>
    </xf>
    <xf numFmtId="2" fontId="88" fillId="0" borderId="236" xfId="44" applyNumberFormat="1" applyFont="1" applyFill="1" applyBorder="1" applyAlignment="1">
      <alignment horizontal="center"/>
    </xf>
    <xf numFmtId="2" fontId="88" fillId="0" borderId="237" xfId="44" applyNumberFormat="1" applyFont="1" applyFill="1" applyBorder="1" applyAlignment="1">
      <alignment horizontal="center"/>
    </xf>
    <xf numFmtId="2" fontId="88" fillId="0" borderId="238" xfId="44" applyNumberFormat="1" applyFont="1" applyFill="1" applyBorder="1" applyAlignment="1">
      <alignment horizontal="center"/>
    </xf>
    <xf numFmtId="0" fontId="88" fillId="0" borderId="34" xfId="40" applyFont="1" applyFill="1" applyBorder="1" applyAlignment="1">
      <alignment horizontal="center"/>
    </xf>
    <xf numFmtId="2" fontId="88" fillId="0" borderId="203" xfId="44" applyNumberFormat="1" applyFont="1" applyFill="1" applyBorder="1" applyAlignment="1">
      <alignment horizontal="center"/>
    </xf>
    <xf numFmtId="2" fontId="88" fillId="0" borderId="204" xfId="44" applyNumberFormat="1" applyFont="1" applyFill="1" applyBorder="1" applyAlignment="1">
      <alignment horizontal="center"/>
    </xf>
    <xf numFmtId="2" fontId="88" fillId="0" borderId="205" xfId="44" applyNumberFormat="1" applyFont="1" applyFill="1" applyBorder="1" applyAlignment="1">
      <alignment horizontal="center"/>
    </xf>
    <xf numFmtId="0" fontId="89" fillId="0" borderId="0" xfId="0" applyFont="1" applyBorder="1"/>
    <xf numFmtId="0" fontId="83" fillId="0" borderId="0" xfId="0" applyFont="1"/>
    <xf numFmtId="0" fontId="25" fillId="0" borderId="74" xfId="0" applyFont="1" applyBorder="1"/>
    <xf numFmtId="2" fontId="88" fillId="0" borderId="193" xfId="44" applyNumberFormat="1" applyFont="1" applyFill="1" applyBorder="1" applyAlignment="1">
      <alignment horizontal="center"/>
    </xf>
    <xf numFmtId="168" fontId="88" fillId="0" borderId="194" xfId="44" applyNumberFormat="1" applyFont="1" applyFill="1" applyBorder="1" applyAlignment="1">
      <alignment horizontal="center"/>
    </xf>
    <xf numFmtId="168" fontId="88" fillId="0" borderId="192" xfId="44" applyNumberFormat="1" applyFont="1" applyFill="1" applyBorder="1" applyAlignment="1">
      <alignment horizontal="center"/>
    </xf>
    <xf numFmtId="168" fontId="88" fillId="0" borderId="235" xfId="44" applyNumberFormat="1" applyFont="1" applyFill="1" applyBorder="1" applyAlignment="1">
      <alignment horizontal="center"/>
    </xf>
    <xf numFmtId="168" fontId="88" fillId="0" borderId="195" xfId="44" applyNumberFormat="1" applyFont="1" applyFill="1" applyBorder="1" applyAlignment="1">
      <alignment horizontal="center"/>
    </xf>
    <xf numFmtId="168" fontId="88" fillId="0" borderId="196" xfId="44" applyNumberFormat="1" applyFont="1" applyFill="1" applyBorder="1" applyAlignment="1">
      <alignment horizontal="center"/>
    </xf>
    <xf numFmtId="168" fontId="88" fillId="0" borderId="197" xfId="44" applyNumberFormat="1" applyFont="1" applyFill="1" applyBorder="1" applyAlignment="1">
      <alignment horizontal="center"/>
    </xf>
    <xf numFmtId="168" fontId="88" fillId="0" borderId="198" xfId="44" applyNumberFormat="1" applyFont="1" applyFill="1" applyBorder="1" applyAlignment="1">
      <alignment horizontal="center"/>
    </xf>
    <xf numFmtId="168" fontId="88" fillId="0" borderId="199" xfId="44" applyNumberFormat="1" applyFont="1" applyFill="1" applyBorder="1" applyAlignment="1">
      <alignment horizontal="center"/>
    </xf>
    <xf numFmtId="168" fontId="88" fillId="0" borderId="200" xfId="44" applyNumberFormat="1" applyFont="1" applyFill="1" applyBorder="1" applyAlignment="1">
      <alignment horizontal="center"/>
    </xf>
    <xf numFmtId="168" fontId="88" fillId="0" borderId="201" xfId="44" applyNumberFormat="1" applyFont="1" applyFill="1" applyBorder="1" applyAlignment="1">
      <alignment horizontal="center"/>
    </xf>
    <xf numFmtId="168" fontId="88" fillId="0" borderId="202" xfId="44" applyNumberFormat="1" applyFont="1" applyFill="1" applyBorder="1" applyAlignment="1">
      <alignment horizontal="center"/>
    </xf>
    <xf numFmtId="168" fontId="88" fillId="0" borderId="203" xfId="44" applyNumberFormat="1" applyFont="1" applyFill="1" applyBorder="1" applyAlignment="1">
      <alignment horizontal="center"/>
    </xf>
    <xf numFmtId="168" fontId="88" fillId="0" borderId="204" xfId="44" applyNumberFormat="1" applyFont="1" applyFill="1" applyBorder="1" applyAlignment="1">
      <alignment horizontal="center"/>
    </xf>
    <xf numFmtId="168" fontId="88" fillId="0" borderId="205" xfId="44" applyNumberFormat="1" applyFont="1" applyFill="1" applyBorder="1" applyAlignment="1">
      <alignment horizontal="center"/>
    </xf>
    <xf numFmtId="168" fontId="88" fillId="0" borderId="193" xfId="44" applyNumberFormat="1" applyFont="1" applyFill="1" applyBorder="1" applyAlignment="1">
      <alignment horizontal="center"/>
    </xf>
    <xf numFmtId="168" fontId="88" fillId="0" borderId="236" xfId="44" applyNumberFormat="1" applyFont="1" applyFill="1" applyBorder="1" applyAlignment="1">
      <alignment horizontal="center"/>
    </xf>
    <xf numFmtId="168" fontId="88" fillId="0" borderId="237" xfId="44" applyNumberFormat="1" applyFont="1" applyFill="1" applyBorder="1" applyAlignment="1">
      <alignment horizontal="center"/>
    </xf>
    <xf numFmtId="168" fontId="88" fillId="0" borderId="238" xfId="44" applyNumberFormat="1" applyFont="1" applyFill="1" applyBorder="1" applyAlignment="1">
      <alignment horizontal="center"/>
    </xf>
    <xf numFmtId="0" fontId="52" fillId="0" borderId="0" xfId="41" applyFont="1" applyAlignment="1">
      <alignment horizontal="right"/>
    </xf>
    <xf numFmtId="10" fontId="44" fillId="0" borderId="83" xfId="0" applyNumberFormat="1" applyFont="1" applyFill="1" applyBorder="1" applyAlignment="1">
      <alignment horizontal="center"/>
    </xf>
    <xf numFmtId="0" fontId="65" fillId="0" borderId="41" xfId="40" applyFont="1" applyBorder="1"/>
    <xf numFmtId="164" fontId="52" fillId="0" borderId="42" xfId="41" applyNumberFormat="1" applyFont="1" applyFill="1" applyBorder="1" applyAlignment="1">
      <alignment horizontal="center"/>
    </xf>
    <xf numFmtId="0" fontId="83" fillId="0" borderId="0" xfId="41" applyFont="1" applyFill="1" applyAlignment="1">
      <alignment vertical="center"/>
    </xf>
    <xf numFmtId="0" fontId="25" fillId="30" borderId="15" xfId="41" applyFont="1" applyFill="1" applyBorder="1" applyAlignment="1">
      <alignment horizontal="center"/>
    </xf>
    <xf numFmtId="0" fontId="25" fillId="30" borderId="22" xfId="41" applyFont="1" applyFill="1" applyBorder="1" applyAlignment="1">
      <alignment horizontal="center"/>
    </xf>
    <xf numFmtId="0" fontId="25" fillId="30" borderId="24" xfId="41" applyFont="1" applyFill="1" applyBorder="1" applyAlignment="1">
      <alignment horizontal="center"/>
    </xf>
    <xf numFmtId="0" fontId="0" fillId="26" borderId="0" xfId="0" applyFill="1" applyAlignment="1">
      <alignment vertical="center"/>
    </xf>
    <xf numFmtId="0" fontId="6" fillId="26" borderId="74" xfId="0" applyFont="1" applyFill="1" applyBorder="1" applyAlignment="1">
      <alignment vertical="center"/>
    </xf>
    <xf numFmtId="0" fontId="0" fillId="26" borderId="74" xfId="0" applyFill="1" applyBorder="1" applyAlignment="1">
      <alignment vertical="center"/>
    </xf>
    <xf numFmtId="0" fontId="57" fillId="0" borderId="77" xfId="0" applyFont="1" applyBorder="1" applyAlignment="1">
      <alignment vertical="center"/>
    </xf>
    <xf numFmtId="0" fontId="0" fillId="0" borderId="79" xfId="0" applyBorder="1" applyAlignment="1">
      <alignment vertical="center" wrapText="1"/>
    </xf>
    <xf numFmtId="0" fontId="0" fillId="0" borderId="141" xfId="0" applyBorder="1" applyAlignment="1">
      <alignment vertical="center"/>
    </xf>
    <xf numFmtId="0" fontId="6" fillId="0" borderId="142" xfId="0" applyFont="1" applyBorder="1" applyAlignment="1">
      <alignment vertical="center" wrapText="1"/>
    </xf>
    <xf numFmtId="0" fontId="58" fillId="26" borderId="0" xfId="0" applyFont="1" applyFill="1" applyAlignment="1">
      <alignment vertical="center"/>
    </xf>
    <xf numFmtId="0" fontId="0" fillId="0" borderId="143" xfId="0" applyBorder="1" applyAlignment="1">
      <alignment vertical="center"/>
    </xf>
    <xf numFmtId="0" fontId="6" fillId="0" borderId="144" xfId="0" applyFont="1" applyBorder="1" applyAlignment="1">
      <alignment vertical="center" wrapText="1"/>
    </xf>
    <xf numFmtId="0" fontId="0" fillId="0" borderId="146" xfId="0" applyBorder="1" applyAlignment="1">
      <alignment vertical="center" wrapText="1"/>
    </xf>
    <xf numFmtId="0" fontId="0" fillId="0" borderId="148" xfId="0" applyBorder="1" applyAlignment="1">
      <alignment vertical="center"/>
    </xf>
    <xf numFmtId="0" fontId="0" fillId="0" borderId="150" xfId="0" applyBorder="1" applyAlignment="1">
      <alignment vertical="center"/>
    </xf>
    <xf numFmtId="0" fontId="6" fillId="0" borderId="149" xfId="0" applyFont="1" applyBorder="1" applyAlignment="1">
      <alignment vertical="center" wrapText="1"/>
    </xf>
    <xf numFmtId="0" fontId="0" fillId="0" borderId="145" xfId="0" applyBorder="1" applyAlignment="1">
      <alignment vertical="center"/>
    </xf>
    <xf numFmtId="0" fontId="6" fillId="0" borderId="147" xfId="0" applyFont="1" applyBorder="1" applyAlignment="1">
      <alignment vertical="center" wrapText="1"/>
    </xf>
    <xf numFmtId="0" fontId="0" fillId="0" borderId="151" xfId="0" applyBorder="1" applyAlignment="1">
      <alignment vertical="center"/>
    </xf>
    <xf numFmtId="0" fontId="12" fillId="0" borderId="152" xfId="36" applyBorder="1" applyAlignment="1" applyProtection="1">
      <alignment vertical="center" wrapText="1"/>
    </xf>
    <xf numFmtId="0" fontId="20" fillId="25" borderId="145" xfId="0" applyFont="1" applyFill="1" applyBorder="1" applyAlignment="1">
      <alignment vertical="center"/>
    </xf>
    <xf numFmtId="0" fontId="20" fillId="25" borderId="144" xfId="0" applyFont="1" applyFill="1" applyBorder="1" applyAlignment="1">
      <alignment vertical="center" wrapText="1"/>
    </xf>
    <xf numFmtId="0" fontId="6" fillId="0" borderId="152" xfId="0" applyFont="1" applyBorder="1" applyAlignment="1">
      <alignment vertical="center" wrapText="1"/>
    </xf>
    <xf numFmtId="0" fontId="0" fillId="0" borderId="149" xfId="0" applyBorder="1" applyAlignment="1">
      <alignment horizontal="left" vertical="center" wrapText="1"/>
    </xf>
    <xf numFmtId="0" fontId="0" fillId="0" borderId="153" xfId="0" applyBorder="1" applyAlignment="1">
      <alignment horizontal="left" vertical="center" wrapText="1"/>
    </xf>
    <xf numFmtId="0" fontId="6" fillId="0" borderId="144" xfId="0" applyFont="1" applyBorder="1" applyAlignment="1">
      <alignment horizontal="left" vertical="center" wrapText="1"/>
    </xf>
    <xf numFmtId="0" fontId="0" fillId="0" borderId="152" xfId="0" applyBorder="1" applyAlignment="1">
      <alignment vertical="center" wrapText="1"/>
    </xf>
    <xf numFmtId="0" fontId="0" fillId="0" borderId="149" xfId="0" applyBorder="1" applyAlignment="1">
      <alignment vertical="center" wrapText="1"/>
    </xf>
    <xf numFmtId="0" fontId="0" fillId="0" borderId="153" xfId="0" applyBorder="1" applyAlignment="1">
      <alignment vertical="center" wrapText="1"/>
    </xf>
    <xf numFmtId="0" fontId="0" fillId="0" borderId="144" xfId="0" applyBorder="1" applyAlignment="1">
      <alignment vertical="center" wrapText="1"/>
    </xf>
    <xf numFmtId="0" fontId="0" fillId="26" borderId="0" xfId="0" applyFill="1" applyAlignment="1">
      <alignment vertical="center" wrapText="1"/>
    </xf>
    <xf numFmtId="164" fontId="65" fillId="0" borderId="21" xfId="44" applyNumberFormat="1" applyFont="1" applyBorder="1"/>
    <xf numFmtId="164" fontId="65" fillId="0" borderId="56" xfId="44" applyNumberFormat="1" applyFont="1" applyBorder="1"/>
    <xf numFmtId="164" fontId="65" fillId="0" borderId="15" xfId="44" applyNumberFormat="1" applyFont="1" applyBorder="1"/>
    <xf numFmtId="164" fontId="65" fillId="0" borderId="24" xfId="44" applyNumberFormat="1" applyFont="1" applyBorder="1"/>
    <xf numFmtId="164" fontId="65" fillId="0" borderId="17" xfId="44" applyNumberFormat="1" applyFont="1" applyBorder="1"/>
    <xf numFmtId="164" fontId="65" fillId="0" borderId="19" xfId="44" applyNumberFormat="1" applyFont="1" applyBorder="1"/>
    <xf numFmtId="0" fontId="89" fillId="0" borderId="41" xfId="0" applyFont="1" applyBorder="1"/>
    <xf numFmtId="0" fontId="75" fillId="0" borderId="0" xfId="0" applyFont="1"/>
    <xf numFmtId="2" fontId="88" fillId="0" borderId="0" xfId="44" applyNumberFormat="1" applyFont="1" applyFill="1" applyBorder="1" applyAlignment="1">
      <alignment horizontal="center"/>
    </xf>
    <xf numFmtId="2" fontId="0" fillId="0" borderId="0" xfId="0" applyNumberFormat="1"/>
    <xf numFmtId="0" fontId="6" fillId="0" borderId="0" xfId="0" applyFont="1"/>
    <xf numFmtId="0" fontId="6" fillId="0" borderId="0" xfId="0" applyFont="1" applyAlignment="1">
      <alignment horizontal="left" vertical="center"/>
    </xf>
    <xf numFmtId="0" fontId="0" fillId="0" borderId="0" xfId="0" applyAlignment="1">
      <alignment horizontal="left" vertical="center"/>
    </xf>
    <xf numFmtId="0" fontId="6" fillId="0" borderId="0" xfId="0" applyFont="1" applyAlignment="1">
      <alignment horizontal="left" vertical="center" wrapText="1"/>
    </xf>
    <xf numFmtId="14" fontId="0" fillId="0" borderId="0" xfId="0" applyNumberFormat="1" applyAlignment="1">
      <alignment horizontal="left" vertical="center"/>
    </xf>
    <xf numFmtId="0" fontId="6" fillId="0" borderId="41" xfId="0" applyFont="1" applyBorder="1"/>
    <xf numFmtId="0" fontId="18" fillId="0" borderId="0" xfId="41" applyFont="1" applyBorder="1" applyAlignment="1">
      <alignment horizontal="center" wrapText="1"/>
    </xf>
    <xf numFmtId="0" fontId="20" fillId="0" borderId="0" xfId="0" applyFont="1" applyAlignment="1">
      <alignment wrapText="1"/>
    </xf>
    <xf numFmtId="165" fontId="0" fillId="0" borderId="0" xfId="0" applyNumberFormat="1"/>
    <xf numFmtId="2" fontId="30" fillId="0" borderId="0" xfId="44" applyNumberFormat="1" applyFont="1" applyBorder="1"/>
    <xf numFmtId="0" fontId="26" fillId="0" borderId="0" xfId="0" applyFont="1" applyBorder="1" applyAlignment="1">
      <alignment horizontal="left" vertical="center"/>
    </xf>
    <xf numFmtId="0" fontId="65" fillId="35" borderId="42" xfId="0" applyFont="1" applyFill="1" applyBorder="1"/>
    <xf numFmtId="170" fontId="25" fillId="0" borderId="21" xfId="0" applyNumberFormat="1" applyFont="1" applyBorder="1" applyAlignment="1">
      <alignment horizontal="center"/>
    </xf>
    <xf numFmtId="170" fontId="77" fillId="0" borderId="21" xfId="0" applyNumberFormat="1" applyFont="1" applyBorder="1" applyAlignment="1">
      <alignment horizontal="center"/>
    </xf>
    <xf numFmtId="2" fontId="25" fillId="33" borderId="56" xfId="0" applyNumberFormat="1" applyFont="1" applyFill="1" applyBorder="1" applyAlignment="1">
      <alignment horizontal="center"/>
    </xf>
    <xf numFmtId="170" fontId="25" fillId="0" borderId="15" xfId="0" applyNumberFormat="1" applyFont="1" applyBorder="1" applyAlignment="1">
      <alignment horizontal="center"/>
    </xf>
    <xf numFmtId="170" fontId="77" fillId="0" borderId="15" xfId="0" applyNumberFormat="1" applyFont="1" applyBorder="1" applyAlignment="1">
      <alignment horizontal="center"/>
    </xf>
    <xf numFmtId="2" fontId="25" fillId="33" borderId="24" xfId="0" applyNumberFormat="1" applyFont="1" applyFill="1" applyBorder="1" applyAlignment="1">
      <alignment horizontal="center"/>
    </xf>
    <xf numFmtId="2" fontId="25" fillId="0" borderId="15" xfId="0" applyNumberFormat="1" applyFont="1" applyBorder="1" applyAlignment="1">
      <alignment horizontal="center"/>
    </xf>
    <xf numFmtId="2" fontId="77" fillId="0" borderId="15" xfId="0" applyNumberFormat="1" applyFont="1" applyBorder="1" applyAlignment="1">
      <alignment horizontal="center"/>
    </xf>
    <xf numFmtId="2" fontId="25" fillId="33" borderId="19" xfId="0" applyNumberFormat="1" applyFont="1" applyFill="1" applyBorder="1" applyAlignment="1">
      <alignment horizontal="center"/>
    </xf>
    <xf numFmtId="171" fontId="25" fillId="0" borderId="22" xfId="0" applyNumberFormat="1" applyFont="1" applyBorder="1" applyAlignment="1">
      <alignment horizontal="center"/>
    </xf>
    <xf numFmtId="171" fontId="25" fillId="29" borderId="22" xfId="0" applyNumberFormat="1" applyFont="1" applyFill="1" applyBorder="1" applyAlignment="1">
      <alignment horizontal="center"/>
    </xf>
    <xf numFmtId="2" fontId="24" fillId="33" borderId="15" xfId="0" applyNumberFormat="1" applyFont="1" applyFill="1" applyBorder="1" applyAlignment="1">
      <alignment horizontal="center"/>
    </xf>
    <xf numFmtId="171" fontId="25" fillId="29" borderId="23" xfId="0" applyNumberFormat="1" applyFont="1" applyFill="1" applyBorder="1" applyAlignment="1">
      <alignment horizontal="center"/>
    </xf>
    <xf numFmtId="2" fontId="24" fillId="33" borderId="17" xfId="0" applyNumberFormat="1" applyFont="1" applyFill="1" applyBorder="1" applyAlignment="1">
      <alignment horizontal="center"/>
    </xf>
    <xf numFmtId="0" fontId="67" fillId="35" borderId="41" xfId="0" applyFont="1" applyFill="1" applyBorder="1" applyAlignment="1">
      <alignment horizontal="center" wrapText="1"/>
    </xf>
    <xf numFmtId="2" fontId="65" fillId="35" borderId="0" xfId="0" applyNumberFormat="1" applyFont="1" applyFill="1"/>
    <xf numFmtId="2" fontId="65" fillId="35" borderId="41" xfId="0" applyNumberFormat="1" applyFont="1" applyFill="1" applyBorder="1"/>
    <xf numFmtId="0" fontId="91" fillId="0" borderId="74" xfId="0" applyFont="1" applyBorder="1"/>
    <xf numFmtId="0" fontId="25" fillId="35" borderId="42" xfId="0" applyFont="1" applyFill="1" applyBorder="1"/>
    <xf numFmtId="0" fontId="92" fillId="35" borderId="42" xfId="0" applyFont="1" applyFill="1" applyBorder="1"/>
    <xf numFmtId="0" fontId="24" fillId="0" borderId="47" xfId="0" applyFont="1" applyBorder="1" applyAlignment="1">
      <alignment horizontal="center"/>
    </xf>
    <xf numFmtId="0" fontId="25" fillId="0" borderId="42" xfId="0" applyFont="1" applyBorder="1" applyAlignment="1">
      <alignment horizontal="center"/>
    </xf>
    <xf numFmtId="0" fontId="41" fillId="0" borderId="48" xfId="0" applyFont="1" applyBorder="1" applyAlignment="1">
      <alignment horizontal="center"/>
    </xf>
    <xf numFmtId="170" fontId="77" fillId="0" borderId="12" xfId="0" applyNumberFormat="1" applyFont="1" applyBorder="1" applyAlignment="1">
      <alignment horizontal="center"/>
    </xf>
    <xf numFmtId="171" fontId="24" fillId="0" borderId="175" xfId="0" applyNumberFormat="1" applyFont="1" applyBorder="1" applyAlignment="1">
      <alignment horizontal="center"/>
    </xf>
    <xf numFmtId="2" fontId="25" fillId="0" borderId="182" xfId="0" applyNumberFormat="1" applyFont="1" applyBorder="1"/>
    <xf numFmtId="2" fontId="25" fillId="0" borderId="176" xfId="0" applyNumberFormat="1" applyFont="1" applyBorder="1"/>
    <xf numFmtId="171" fontId="24" fillId="0" borderId="99" xfId="0" applyNumberFormat="1" applyFont="1" applyBorder="1" applyAlignment="1">
      <alignment horizontal="center"/>
    </xf>
    <xf numFmtId="2" fontId="25" fillId="0" borderId="42" xfId="0" applyNumberFormat="1" applyFont="1" applyBorder="1"/>
    <xf numFmtId="2" fontId="25" fillId="0" borderId="48" xfId="0" applyNumberFormat="1" applyFont="1" applyBorder="1"/>
    <xf numFmtId="171" fontId="24" fillId="29" borderId="99" xfId="0" applyNumberFormat="1" applyFont="1" applyFill="1" applyBorder="1" applyAlignment="1">
      <alignment horizontal="center"/>
    </xf>
    <xf numFmtId="171" fontId="24" fillId="29" borderId="100" xfId="0" applyNumberFormat="1" applyFont="1" applyFill="1" applyBorder="1" applyAlignment="1">
      <alignment horizontal="center"/>
    </xf>
    <xf numFmtId="0" fontId="25" fillId="0" borderId="0" xfId="0" applyFont="1" applyAlignment="1">
      <alignment horizontal="center" wrapText="1"/>
    </xf>
    <xf numFmtId="170" fontId="25" fillId="33" borderId="15" xfId="0" applyNumberFormat="1" applyFont="1" applyFill="1" applyBorder="1" applyAlignment="1">
      <alignment horizontal="center"/>
    </xf>
    <xf numFmtId="0" fontId="33" fillId="35" borderId="114" xfId="41" applyFont="1" applyFill="1" applyBorder="1" applyAlignment="1"/>
    <xf numFmtId="0" fontId="33" fillId="35" borderId="112" xfId="41" applyFont="1" applyFill="1" applyBorder="1" applyAlignment="1"/>
    <xf numFmtId="0" fontId="33" fillId="35" borderId="113" xfId="41" applyFont="1" applyFill="1" applyBorder="1" applyAlignment="1"/>
    <xf numFmtId="0" fontId="33" fillId="35" borderId="101" xfId="41" applyFont="1" applyFill="1" applyBorder="1"/>
    <xf numFmtId="0" fontId="33" fillId="35" borderId="77" xfId="41" applyFont="1" applyFill="1" applyBorder="1"/>
    <xf numFmtId="0" fontId="33" fillId="35" borderId="172" xfId="41" applyFont="1" applyFill="1" applyBorder="1"/>
    <xf numFmtId="0" fontId="33" fillId="35" borderId="105" xfId="41" applyFont="1" applyFill="1" applyBorder="1" applyAlignment="1"/>
    <xf numFmtId="0" fontId="33" fillId="35" borderId="116" xfId="41" applyFont="1" applyFill="1" applyBorder="1" applyAlignment="1"/>
    <xf numFmtId="0" fontId="33" fillId="35" borderId="107" xfId="41" applyFont="1" applyFill="1" applyBorder="1" applyAlignment="1"/>
    <xf numFmtId="0" fontId="33" fillId="35" borderId="105" xfId="41" applyFont="1" applyFill="1" applyBorder="1"/>
    <xf numFmtId="0" fontId="33" fillId="35" borderId="104" xfId="41" applyFont="1" applyFill="1" applyBorder="1"/>
    <xf numFmtId="0" fontId="33" fillId="35" borderId="99" xfId="41" applyFont="1" applyFill="1" applyBorder="1"/>
    <xf numFmtId="0" fontId="33" fillId="35" borderId="48" xfId="41" applyFont="1" applyFill="1" applyBorder="1"/>
    <xf numFmtId="168" fontId="33" fillId="35" borderId="79" xfId="41" applyNumberFormat="1" applyFont="1" applyFill="1" applyBorder="1"/>
    <xf numFmtId="168" fontId="33" fillId="35" borderId="77" xfId="41" applyNumberFormat="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0" fontId="33" fillId="35" borderId="131" xfId="41" applyFont="1" applyFill="1" applyBorder="1"/>
    <xf numFmtId="168" fontId="33" fillId="35" borderId="173" xfId="41" applyNumberFormat="1" applyFont="1" applyFill="1" applyBorder="1"/>
    <xf numFmtId="168" fontId="33" fillId="35" borderId="172" xfId="41" applyNumberFormat="1" applyFont="1" applyFill="1" applyBorder="1"/>
    <xf numFmtId="168" fontId="33" fillId="35" borderId="10" xfId="41" applyNumberFormat="1" applyFont="1" applyFill="1" applyBorder="1"/>
    <xf numFmtId="1" fontId="33" fillId="35" borderId="131" xfId="44" applyNumberFormat="1" applyFont="1" applyFill="1" applyBorder="1"/>
    <xf numFmtId="0" fontId="33" fillId="35" borderId="181" xfId="41" applyFont="1" applyFill="1" applyBorder="1"/>
    <xf numFmtId="0" fontId="33" fillId="35" borderId="106" xfId="41" applyFont="1" applyFill="1" applyBorder="1"/>
    <xf numFmtId="0" fontId="33" fillId="35" borderId="100" xfId="41" applyFont="1" applyFill="1" applyBorder="1"/>
    <xf numFmtId="0" fontId="33" fillId="35" borderId="49" xfId="41" applyFont="1" applyFill="1" applyBorder="1"/>
    <xf numFmtId="168" fontId="33" fillId="35" borderId="107" xfId="41" applyNumberFormat="1" applyFont="1" applyFill="1" applyBorder="1"/>
    <xf numFmtId="168" fontId="33" fillId="35" borderId="105" xfId="41" applyNumberFormat="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0" fontId="25" fillId="35" borderId="53" xfId="0" applyFont="1" applyFill="1" applyBorder="1"/>
    <xf numFmtId="168" fontId="25" fillId="0" borderId="0" xfId="0" applyNumberFormat="1" applyFont="1" applyFill="1" applyBorder="1"/>
    <xf numFmtId="0" fontId="27" fillId="0" borderId="118" xfId="0" applyFont="1" applyBorder="1"/>
    <xf numFmtId="0" fontId="34" fillId="0" borderId="121"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50" xfId="0" applyFont="1" applyBorder="1" applyAlignment="1">
      <alignment horizontal="center" vertical="center" wrapText="1"/>
    </xf>
    <xf numFmtId="0" fontId="33" fillId="30" borderId="102" xfId="41" applyFont="1" applyFill="1" applyBorder="1"/>
    <xf numFmtId="0" fontId="33" fillId="35" borderId="77" xfId="41" applyFont="1" applyFill="1" applyBorder="1" applyAlignment="1"/>
    <xf numFmtId="0" fontId="33" fillId="35" borderId="78" xfId="41" applyFont="1" applyFill="1" applyBorder="1" applyAlignment="1"/>
    <xf numFmtId="0" fontId="33" fillId="35" borderId="79" xfId="41" applyFont="1" applyFill="1" applyBorder="1" applyAlignment="1"/>
    <xf numFmtId="0" fontId="33" fillId="30" borderId="104" xfId="41" applyFont="1" applyFill="1" applyBorder="1"/>
    <xf numFmtId="0" fontId="33" fillId="35" borderId="172" xfId="41" applyFont="1" applyFill="1" applyBorder="1" applyAlignment="1"/>
    <xf numFmtId="0" fontId="33" fillId="35" borderId="57" xfId="41" applyFont="1" applyFill="1" applyBorder="1" applyAlignment="1"/>
    <xf numFmtId="0" fontId="33" fillId="35" borderId="173" xfId="41" applyFont="1" applyFill="1" applyBorder="1" applyAlignment="1"/>
    <xf numFmtId="0" fontId="33" fillId="30" borderId="181" xfId="41" applyFont="1" applyFill="1" applyBorder="1"/>
    <xf numFmtId="0" fontId="33" fillId="30" borderId="106" xfId="41" applyFont="1" applyFill="1" applyBorder="1"/>
    <xf numFmtId="0" fontId="93" fillId="32" borderId="53" xfId="0" applyFont="1" applyFill="1" applyBorder="1" applyAlignment="1">
      <alignment horizontal="center"/>
    </xf>
    <xf numFmtId="0" fontId="25" fillId="34" borderId="53" xfId="0" applyFont="1" applyFill="1" applyBorder="1"/>
    <xf numFmtId="3" fontId="29" fillId="0" borderId="53" xfId="0" applyNumberFormat="1" applyFont="1" applyBorder="1" applyAlignment="1"/>
    <xf numFmtId="0" fontId="24" fillId="0" borderId="53" xfId="0" applyFont="1" applyBorder="1"/>
    <xf numFmtId="0" fontId="24" fillId="0" borderId="40" xfId="0" applyFont="1" applyBorder="1" applyAlignment="1">
      <alignment horizontal="center"/>
    </xf>
    <xf numFmtId="0" fontId="24" fillId="0" borderId="39" xfId="0" applyFont="1" applyBorder="1" applyAlignment="1">
      <alignment horizontal="center"/>
    </xf>
    <xf numFmtId="3" fontId="24" fillId="0" borderId="39" xfId="0" applyNumberFormat="1" applyFont="1" applyBorder="1" applyAlignment="1">
      <alignment horizontal="center"/>
    </xf>
    <xf numFmtId="0" fontId="24" fillId="0" borderId="26" xfId="0" applyFont="1" applyBorder="1" applyAlignment="1">
      <alignment horizontal="center"/>
    </xf>
    <xf numFmtId="0" fontId="24" fillId="0" borderId="210" xfId="0" applyFont="1" applyBorder="1" applyAlignment="1">
      <alignment horizontal="center"/>
    </xf>
    <xf numFmtId="0" fontId="24" fillId="0" borderId="88" xfId="0" applyFont="1" applyBorder="1" applyAlignment="1">
      <alignment horizontal="center"/>
    </xf>
    <xf numFmtId="3" fontId="24" fillId="0" borderId="88" xfId="0" applyNumberFormat="1" applyFont="1" applyBorder="1" applyAlignment="1">
      <alignment horizontal="center"/>
    </xf>
    <xf numFmtId="0" fontId="24" fillId="0" borderId="211" xfId="0" applyFont="1" applyBorder="1" applyAlignment="1">
      <alignment horizontal="center"/>
    </xf>
    <xf numFmtId="0" fontId="24" fillId="0" borderId="89" xfId="0" applyFont="1" applyBorder="1" applyAlignment="1">
      <alignment horizontal="center"/>
    </xf>
    <xf numFmtId="0" fontId="27" fillId="0" borderId="31" xfId="0" applyFont="1" applyBorder="1" applyAlignment="1">
      <alignment horizontal="center"/>
    </xf>
    <xf numFmtId="168" fontId="27" fillId="0" borderId="189" xfId="0" applyNumberFormat="1" applyFont="1" applyBorder="1" applyAlignment="1">
      <alignment horizontal="center"/>
    </xf>
    <xf numFmtId="168" fontId="27" fillId="0" borderId="12" xfId="0" applyNumberFormat="1" applyFont="1" applyBorder="1" applyAlignment="1">
      <alignment horizontal="center"/>
    </xf>
    <xf numFmtId="168" fontId="27" fillId="0" borderId="13" xfId="0" applyNumberFormat="1" applyFont="1" applyBorder="1" applyAlignment="1">
      <alignment horizontal="center"/>
    </xf>
    <xf numFmtId="0" fontId="27" fillId="0" borderId="29" xfId="0" applyFont="1" applyBorder="1" applyAlignment="1">
      <alignment horizontal="center"/>
    </xf>
    <xf numFmtId="168" fontId="27" fillId="0" borderId="84" xfId="0" applyNumberFormat="1" applyFont="1" applyBorder="1" applyAlignment="1">
      <alignment horizontal="center"/>
    </xf>
    <xf numFmtId="168" fontId="27" fillId="0" borderId="15" xfId="0" applyNumberFormat="1" applyFont="1" applyBorder="1" applyAlignment="1">
      <alignment horizontal="center"/>
    </xf>
    <xf numFmtId="168" fontId="27" fillId="0" borderId="16" xfId="0" applyNumberFormat="1" applyFont="1" applyBorder="1" applyAlignment="1">
      <alignment horizontal="center"/>
    </xf>
    <xf numFmtId="0" fontId="27" fillId="0" borderId="30" xfId="0" applyFont="1" applyBorder="1" applyAlignment="1">
      <alignment horizontal="center"/>
    </xf>
    <xf numFmtId="168" fontId="27" fillId="0" borderId="190" xfId="0" applyNumberFormat="1" applyFont="1" applyBorder="1" applyAlignment="1">
      <alignment horizontal="center"/>
    </xf>
    <xf numFmtId="168" fontId="27" fillId="0" borderId="17" xfId="0" applyNumberFormat="1" applyFont="1" applyBorder="1" applyAlignment="1">
      <alignment horizontal="center"/>
    </xf>
    <xf numFmtId="168" fontId="27" fillId="0" borderId="18" xfId="0" applyNumberFormat="1" applyFont="1" applyBorder="1" applyAlignment="1">
      <alignment horizontal="center"/>
    </xf>
    <xf numFmtId="168" fontId="27" fillId="0" borderId="15" xfId="0" applyNumberFormat="1" applyFont="1" applyFill="1" applyBorder="1" applyAlignment="1">
      <alignment horizontal="center"/>
    </xf>
    <xf numFmtId="0" fontId="27" fillId="0" borderId="32" xfId="0" applyFont="1" applyBorder="1" applyAlignment="1">
      <alignment horizontal="center"/>
    </xf>
    <xf numFmtId="168" fontId="27" fillId="0" borderId="239" xfId="0" applyNumberFormat="1" applyFont="1" applyBorder="1" applyAlignment="1">
      <alignment horizontal="center"/>
    </xf>
    <xf numFmtId="168" fontId="27" fillId="0" borderId="20" xfId="0" applyNumberFormat="1" applyFont="1" applyBorder="1" applyAlignment="1">
      <alignment horizontal="center"/>
    </xf>
    <xf numFmtId="168" fontId="27" fillId="0" borderId="241" xfId="0" applyNumberFormat="1" applyFont="1" applyBorder="1" applyAlignment="1">
      <alignment horizontal="center"/>
    </xf>
    <xf numFmtId="0" fontId="27" fillId="0" borderId="33" xfId="0" applyFont="1" applyBorder="1" applyAlignment="1">
      <alignment horizontal="center"/>
    </xf>
    <xf numFmtId="168" fontId="27" fillId="0" borderId="240" xfId="0" applyNumberFormat="1" applyFont="1" applyBorder="1" applyAlignment="1">
      <alignment horizontal="center"/>
    </xf>
    <xf numFmtId="168" fontId="27" fillId="0" borderId="21" xfId="0" applyNumberFormat="1" applyFont="1" applyBorder="1" applyAlignment="1">
      <alignment horizontal="center"/>
    </xf>
    <xf numFmtId="168" fontId="27" fillId="0" borderId="62" xfId="0" applyNumberFormat="1" applyFont="1" applyBorder="1" applyAlignment="1">
      <alignment horizontal="center"/>
    </xf>
    <xf numFmtId="168" fontId="27" fillId="35" borderId="60" xfId="0" applyNumberFormat="1" applyFont="1" applyFill="1" applyBorder="1" applyAlignment="1">
      <alignment horizontal="center"/>
    </xf>
    <xf numFmtId="168" fontId="27" fillId="35" borderId="21" xfId="0" applyNumberFormat="1" applyFont="1" applyFill="1" applyBorder="1" applyAlignment="1">
      <alignment horizontal="center"/>
    </xf>
    <xf numFmtId="168" fontId="27" fillId="35" borderId="56" xfId="0" applyNumberFormat="1" applyFont="1" applyFill="1" applyBorder="1" applyAlignment="1">
      <alignment horizontal="center"/>
    </xf>
    <xf numFmtId="168" fontId="27" fillId="35" borderId="22" xfId="0" applyNumberFormat="1" applyFont="1" applyFill="1" applyBorder="1" applyAlignment="1">
      <alignment horizontal="center"/>
    </xf>
    <xf numFmtId="168" fontId="27" fillId="35" borderId="15" xfId="0" applyNumberFormat="1" applyFont="1" applyFill="1" applyBorder="1" applyAlignment="1">
      <alignment horizontal="center"/>
    </xf>
    <xf numFmtId="168" fontId="27" fillId="35" borderId="24" xfId="0" applyNumberFormat="1" applyFont="1" applyFill="1" applyBorder="1" applyAlignment="1">
      <alignment horizontal="center"/>
    </xf>
    <xf numFmtId="168" fontId="27" fillId="35" borderId="23" xfId="0" applyNumberFormat="1" applyFont="1" applyFill="1" applyBorder="1" applyAlignment="1">
      <alignment horizontal="center"/>
    </xf>
    <xf numFmtId="168" fontId="27" fillId="35" borderId="17" xfId="0" applyNumberFormat="1" applyFont="1" applyFill="1" applyBorder="1" applyAlignment="1">
      <alignment horizontal="center"/>
    </xf>
    <xf numFmtId="168" fontId="27" fillId="35" borderId="19" xfId="0" applyNumberFormat="1" applyFont="1" applyFill="1" applyBorder="1" applyAlignment="1">
      <alignment horizontal="center"/>
    </xf>
    <xf numFmtId="168" fontId="27" fillId="35" borderId="162" xfId="0" applyNumberFormat="1" applyFont="1" applyFill="1" applyBorder="1" applyAlignment="1">
      <alignment horizontal="center"/>
    </xf>
    <xf numFmtId="168" fontId="27" fillId="35" borderId="12" xfId="0" applyNumberFormat="1" applyFont="1" applyFill="1" applyBorder="1" applyAlignment="1">
      <alignment horizontal="center"/>
    </xf>
    <xf numFmtId="168" fontId="27" fillId="35" borderId="54" xfId="0" applyNumberFormat="1" applyFont="1" applyFill="1" applyBorder="1" applyAlignment="1">
      <alignment horizontal="center"/>
    </xf>
    <xf numFmtId="168" fontId="27" fillId="35" borderId="25" xfId="0" applyNumberFormat="1" applyFont="1" applyFill="1" applyBorder="1" applyAlignment="1">
      <alignment horizontal="center"/>
    </xf>
    <xf numFmtId="168" fontId="27" fillId="35" borderId="20" xfId="0" applyNumberFormat="1" applyFont="1" applyFill="1" applyBorder="1" applyAlignment="1">
      <alignment horizontal="center"/>
    </xf>
    <xf numFmtId="4" fontId="27" fillId="35" borderId="60" xfId="0" applyNumberFormat="1" applyFont="1" applyFill="1" applyBorder="1" applyAlignment="1">
      <alignment horizontal="center"/>
    </xf>
    <xf numFmtId="165" fontId="27" fillId="35" borderId="21" xfId="0" applyNumberFormat="1" applyFont="1" applyFill="1" applyBorder="1" applyAlignment="1">
      <alignment horizontal="center"/>
    </xf>
    <xf numFmtId="165" fontId="27" fillId="35" borderId="56" xfId="0" applyNumberFormat="1" applyFont="1" applyFill="1" applyBorder="1" applyAlignment="1">
      <alignment horizontal="center"/>
    </xf>
    <xf numFmtId="4" fontId="27" fillId="35" borderId="21" xfId="0" applyNumberFormat="1" applyFont="1" applyFill="1" applyBorder="1" applyAlignment="1">
      <alignment horizontal="center"/>
    </xf>
    <xf numFmtId="4" fontId="27" fillId="35" borderId="56" xfId="0" applyNumberFormat="1" applyFont="1" applyFill="1" applyBorder="1" applyAlignment="1">
      <alignment horizontal="center"/>
    </xf>
    <xf numFmtId="4" fontId="27" fillId="35" borderId="22" xfId="0" applyNumberFormat="1" applyFont="1" applyFill="1" applyBorder="1" applyAlignment="1">
      <alignment horizontal="center"/>
    </xf>
    <xf numFmtId="165" fontId="27" fillId="35" borderId="15" xfId="0" applyNumberFormat="1" applyFont="1" applyFill="1" applyBorder="1" applyAlignment="1">
      <alignment horizontal="center"/>
    </xf>
    <xf numFmtId="165" fontId="27" fillId="35" borderId="24" xfId="0" applyNumberFormat="1" applyFont="1" applyFill="1" applyBorder="1" applyAlignment="1">
      <alignment horizontal="center"/>
    </xf>
    <xf numFmtId="4" fontId="27" fillId="35" borderId="15" xfId="0" applyNumberFormat="1" applyFont="1" applyFill="1" applyBorder="1" applyAlignment="1">
      <alignment horizontal="center"/>
    </xf>
    <xf numFmtId="4" fontId="27" fillId="35" borderId="24" xfId="0" applyNumberFormat="1" applyFont="1" applyFill="1" applyBorder="1" applyAlignment="1">
      <alignment horizontal="center"/>
    </xf>
    <xf numFmtId="4" fontId="27" fillId="35" borderId="23" xfId="0" applyNumberFormat="1" applyFont="1" applyFill="1" applyBorder="1" applyAlignment="1">
      <alignment horizontal="center"/>
    </xf>
    <xf numFmtId="165" fontId="27" fillId="35" borderId="17" xfId="0" applyNumberFormat="1" applyFont="1" applyFill="1" applyBorder="1" applyAlignment="1">
      <alignment horizontal="center"/>
    </xf>
    <xf numFmtId="165" fontId="27" fillId="35" borderId="19" xfId="0" applyNumberFormat="1" applyFont="1" applyFill="1" applyBorder="1" applyAlignment="1">
      <alignment horizontal="center"/>
    </xf>
    <xf numFmtId="4" fontId="27" fillId="35" borderId="17" xfId="0" applyNumberFormat="1" applyFont="1" applyFill="1" applyBorder="1" applyAlignment="1">
      <alignment horizontal="center"/>
    </xf>
    <xf numFmtId="4" fontId="27" fillId="35" borderId="19" xfId="0" applyNumberFormat="1" applyFont="1" applyFill="1" applyBorder="1" applyAlignment="1">
      <alignment horizontal="center"/>
    </xf>
    <xf numFmtId="4" fontId="27" fillId="35" borderId="162" xfId="0" applyNumberFormat="1" applyFont="1" applyFill="1" applyBorder="1" applyAlignment="1">
      <alignment horizontal="center"/>
    </xf>
    <xf numFmtId="165" fontId="27" fillId="35" borderId="12" xfId="0" applyNumberFormat="1" applyFont="1" applyFill="1" applyBorder="1" applyAlignment="1">
      <alignment horizontal="center"/>
    </xf>
    <xf numFmtId="165" fontId="27" fillId="35" borderId="54" xfId="0" applyNumberFormat="1" applyFont="1" applyFill="1" applyBorder="1" applyAlignment="1">
      <alignment horizontal="center"/>
    </xf>
    <xf numFmtId="4" fontId="27" fillId="35" borderId="12" xfId="0" applyNumberFormat="1" applyFont="1" applyFill="1" applyBorder="1" applyAlignment="1">
      <alignment horizontal="center"/>
    </xf>
    <xf numFmtId="4" fontId="27" fillId="35" borderId="54" xfId="0" applyNumberFormat="1" applyFont="1" applyFill="1" applyBorder="1" applyAlignment="1">
      <alignment horizontal="center"/>
    </xf>
    <xf numFmtId="169" fontId="27" fillId="35" borderId="17" xfId="0" applyNumberFormat="1" applyFont="1" applyFill="1" applyBorder="1" applyAlignment="1">
      <alignment horizontal="center"/>
    </xf>
    <xf numFmtId="169" fontId="27" fillId="35" borderId="19" xfId="0" applyNumberFormat="1" applyFont="1" applyFill="1" applyBorder="1" applyAlignment="1">
      <alignment horizontal="center"/>
    </xf>
    <xf numFmtId="169" fontId="27" fillId="35" borderId="12" xfId="0" applyNumberFormat="1" applyFont="1" applyFill="1" applyBorder="1" applyAlignment="1">
      <alignment horizontal="center"/>
    </xf>
    <xf numFmtId="169" fontId="27" fillId="35" borderId="54" xfId="0" applyNumberFormat="1" applyFont="1" applyFill="1" applyBorder="1" applyAlignment="1">
      <alignment horizontal="center"/>
    </xf>
    <xf numFmtId="169" fontId="27" fillId="35" borderId="15" xfId="0" applyNumberFormat="1" applyFont="1" applyFill="1" applyBorder="1" applyAlignment="1">
      <alignment horizontal="center"/>
    </xf>
    <xf numFmtId="169" fontId="27" fillId="35" borderId="24" xfId="0" applyNumberFormat="1" applyFont="1" applyFill="1" applyBorder="1" applyAlignment="1">
      <alignment horizontal="center"/>
    </xf>
    <xf numFmtId="4" fontId="27" fillId="35" borderId="25" xfId="0" applyNumberFormat="1" applyFont="1" applyFill="1" applyBorder="1" applyAlignment="1">
      <alignment horizontal="center"/>
    </xf>
    <xf numFmtId="4" fontId="27" fillId="35" borderId="20" xfId="0" applyNumberFormat="1" applyFont="1" applyFill="1" applyBorder="1" applyAlignment="1">
      <alignment horizontal="center"/>
    </xf>
    <xf numFmtId="4" fontId="27" fillId="35" borderId="55" xfId="0" applyNumberFormat="1" applyFont="1" applyFill="1" applyBorder="1" applyAlignment="1">
      <alignment horizontal="center"/>
    </xf>
    <xf numFmtId="169" fontId="27" fillId="35" borderId="21" xfId="0" applyNumberFormat="1" applyFont="1" applyFill="1" applyBorder="1" applyAlignment="1">
      <alignment horizontal="center"/>
    </xf>
    <xf numFmtId="169" fontId="27" fillId="35" borderId="56" xfId="0" applyNumberFormat="1" applyFont="1" applyFill="1" applyBorder="1" applyAlignment="1">
      <alignment horizontal="center"/>
    </xf>
    <xf numFmtId="168" fontId="27" fillId="35" borderId="55"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9" fontId="65" fillId="35" borderId="174"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0" fontId="94" fillId="0" borderId="245" xfId="0" applyFont="1" applyBorder="1"/>
    <xf numFmtId="1" fontId="65" fillId="0" borderId="0" xfId="0" applyNumberFormat="1" applyFont="1"/>
    <xf numFmtId="0" fontId="96" fillId="0" borderId="0" xfId="36" applyFont="1" applyAlignment="1" applyProtection="1"/>
    <xf numFmtId="175" fontId="94" fillId="0" borderId="244" xfId="28" applyNumberFormat="1" applyFont="1" applyBorder="1" applyAlignment="1">
      <alignment horizontal="center"/>
    </xf>
    <xf numFmtId="175" fontId="94" fillId="0" borderId="245" xfId="28" applyNumberFormat="1" applyFont="1" applyBorder="1" applyAlignment="1">
      <alignment horizontal="center"/>
    </xf>
    <xf numFmtId="1" fontId="95" fillId="37" borderId="244" xfId="28" applyNumberFormat="1" applyFont="1" applyFill="1" applyBorder="1" applyAlignment="1">
      <alignment horizontal="center"/>
    </xf>
    <xf numFmtId="1" fontId="95" fillId="0" borderId="41" xfId="28" applyNumberFormat="1" applyFont="1" applyBorder="1" applyAlignment="1">
      <alignment horizontal="center"/>
    </xf>
    <xf numFmtId="1" fontId="95" fillId="37" borderId="41" xfId="28" applyNumberFormat="1" applyFont="1" applyFill="1" applyBorder="1" applyAlignment="1">
      <alignment horizontal="center"/>
    </xf>
    <xf numFmtId="1" fontId="95" fillId="37" borderId="242" xfId="28" applyNumberFormat="1" applyFont="1" applyFill="1" applyBorder="1" applyAlignment="1">
      <alignment horizontal="center"/>
    </xf>
    <xf numFmtId="0" fontId="0" fillId="0" borderId="0" xfId="0" applyFill="1" applyBorder="1" applyAlignment="1"/>
    <xf numFmtId="0" fontId="0" fillId="0" borderId="59" xfId="0" applyFill="1" applyBorder="1" applyAlignment="1"/>
    <xf numFmtId="0" fontId="97" fillId="0" borderId="71" xfId="0" applyFont="1" applyFill="1" applyBorder="1" applyAlignment="1">
      <alignment horizontal="center"/>
    </xf>
    <xf numFmtId="0" fontId="97" fillId="0" borderId="71" xfId="0" applyFont="1" applyFill="1" applyBorder="1" applyAlignment="1">
      <alignment horizontal="centerContinuous"/>
    </xf>
    <xf numFmtId="0" fontId="98" fillId="0" borderId="71" xfId="0" applyFont="1" applyFill="1" applyBorder="1" applyAlignment="1">
      <alignment horizontal="centerContinuous"/>
    </xf>
    <xf numFmtId="0" fontId="65" fillId="0" borderId="0" xfId="0" applyFont="1" applyFill="1" applyBorder="1" applyAlignment="1"/>
    <xf numFmtId="0" fontId="65" fillId="0" borderId="59" xfId="0" applyFont="1" applyFill="1" applyBorder="1" applyAlignment="1"/>
    <xf numFmtId="0" fontId="98" fillId="0" borderId="71" xfId="0" applyFont="1" applyFill="1" applyBorder="1" applyAlignment="1">
      <alignment horizontal="center"/>
    </xf>
    <xf numFmtId="175" fontId="65" fillId="0" borderId="0" xfId="0" applyNumberFormat="1" applyFont="1"/>
    <xf numFmtId="176" fontId="65" fillId="0" borderId="0" xfId="0" applyNumberFormat="1" applyFont="1"/>
    <xf numFmtId="0" fontId="6" fillId="0" borderId="0" xfId="40"/>
    <xf numFmtId="0" fontId="56" fillId="0" borderId="0" xfId="40" applyFont="1"/>
    <xf numFmtId="175" fontId="20" fillId="0" borderId="175" xfId="28" applyNumberFormat="1" applyFont="1" applyFill="1" applyBorder="1" applyAlignment="1">
      <alignment horizontal="center"/>
    </xf>
    <xf numFmtId="175" fontId="20" fillId="0" borderId="182" xfId="28" applyNumberFormat="1" applyFont="1" applyFill="1" applyBorder="1" applyAlignment="1">
      <alignment horizontal="center"/>
    </xf>
    <xf numFmtId="175" fontId="20" fillId="0" borderId="176" xfId="28" applyNumberFormat="1" applyFont="1" applyFill="1" applyBorder="1" applyAlignment="1">
      <alignment horizontal="center"/>
    </xf>
    <xf numFmtId="0" fontId="20" fillId="0" borderId="0" xfId="40" applyFont="1"/>
    <xf numFmtId="1" fontId="6" fillId="0" borderId="99" xfId="28" applyNumberFormat="1" applyFont="1" applyFill="1" applyBorder="1" applyAlignment="1">
      <alignment horizontal="center"/>
    </xf>
    <xf numFmtId="175" fontId="6" fillId="0" borderId="42" xfId="28" applyNumberFormat="1" applyFont="1" applyFill="1" applyBorder="1" applyAlignment="1">
      <alignment horizontal="left"/>
    </xf>
    <xf numFmtId="175" fontId="6" fillId="0" borderId="48" xfId="28" applyNumberFormat="1" applyFont="1" applyFill="1" applyBorder="1" applyAlignment="1">
      <alignment horizontal="left"/>
    </xf>
    <xf numFmtId="175" fontId="6" fillId="0" borderId="42" xfId="28" quotePrefix="1" applyNumberFormat="1" applyFont="1" applyFill="1" applyBorder="1" applyAlignment="1">
      <alignment horizontal="left"/>
    </xf>
    <xf numFmtId="175" fontId="100" fillId="0" borderId="42" xfId="28" applyNumberFormat="1" applyFont="1" applyFill="1" applyBorder="1" applyAlignment="1">
      <alignment horizontal="left" wrapText="1"/>
    </xf>
    <xf numFmtId="175" fontId="6" fillId="0" borderId="42" xfId="28" applyNumberFormat="1" applyFont="1" applyFill="1" applyBorder="1" applyAlignment="1">
      <alignment horizontal="left" wrapText="1"/>
    </xf>
    <xf numFmtId="175" fontId="101" fillId="0" borderId="42" xfId="28" applyNumberFormat="1" applyFont="1" applyFill="1" applyBorder="1" applyAlignment="1">
      <alignment horizontal="left" wrapText="1"/>
    </xf>
    <xf numFmtId="175" fontId="6" fillId="0" borderId="42" xfId="28" applyNumberFormat="1" applyFont="1" applyFill="1" applyBorder="1" applyAlignment="1">
      <alignment wrapText="1"/>
    </xf>
    <xf numFmtId="175" fontId="6" fillId="0" borderId="42" xfId="28" applyNumberFormat="1" applyFont="1" applyFill="1" applyBorder="1"/>
    <xf numFmtId="175" fontId="101" fillId="0" borderId="42" xfId="28" applyNumberFormat="1" applyFont="1" applyFill="1" applyBorder="1" applyAlignment="1">
      <alignment horizontal="center" wrapText="1"/>
    </xf>
    <xf numFmtId="9" fontId="0" fillId="0" borderId="0" xfId="44" applyFont="1"/>
    <xf numFmtId="1" fontId="6" fillId="0" borderId="100" xfId="28" applyNumberFormat="1" applyFont="1" applyFill="1" applyBorder="1" applyAlignment="1">
      <alignment horizontal="center"/>
    </xf>
    <xf numFmtId="175" fontId="101" fillId="0" borderId="117" xfId="28" applyNumberFormat="1" applyFont="1" applyFill="1" applyBorder="1" applyAlignment="1">
      <alignment horizontal="center" wrapText="1"/>
    </xf>
    <xf numFmtId="175" fontId="6" fillId="0" borderId="117" xfId="28" applyNumberFormat="1" applyFont="1" applyFill="1" applyBorder="1"/>
    <xf numFmtId="175" fontId="6" fillId="0" borderId="49" xfId="28" applyNumberFormat="1" applyFont="1" applyFill="1" applyBorder="1" applyAlignment="1">
      <alignment horizontal="left"/>
    </xf>
    <xf numFmtId="0" fontId="6" fillId="0" borderId="0" xfId="40" applyAlignment="1">
      <alignment wrapText="1"/>
    </xf>
    <xf numFmtId="175" fontId="6" fillId="0" borderId="0" xfId="40" applyNumberFormat="1" applyAlignment="1">
      <alignment wrapText="1"/>
    </xf>
    <xf numFmtId="175" fontId="6" fillId="0" borderId="0" xfId="40" applyNumberFormat="1"/>
    <xf numFmtId="3" fontId="95" fillId="0" borderId="0" xfId="28" applyNumberFormat="1" applyFont="1" applyBorder="1" applyAlignment="1">
      <alignment horizontal="center" wrapText="1"/>
    </xf>
    <xf numFmtId="3" fontId="95" fillId="37" borderId="0" xfId="28" applyNumberFormat="1" applyFont="1" applyFill="1" applyBorder="1" applyAlignment="1">
      <alignment horizontal="center" wrapText="1"/>
    </xf>
    <xf numFmtId="3" fontId="95" fillId="37" borderId="245" xfId="28" applyNumberFormat="1" applyFont="1" applyFill="1" applyBorder="1" applyAlignment="1">
      <alignment horizontal="center"/>
    </xf>
    <xf numFmtId="3" fontId="95" fillId="0" borderId="0" xfId="28" applyNumberFormat="1" applyFont="1" applyBorder="1" applyAlignment="1">
      <alignment horizontal="center"/>
    </xf>
    <xf numFmtId="3" fontId="95" fillId="37" borderId="0" xfId="28" applyNumberFormat="1" applyFont="1" applyFill="1" applyBorder="1" applyAlignment="1">
      <alignment horizontal="center"/>
    </xf>
    <xf numFmtId="3" fontId="95" fillId="37" borderId="0" xfId="40" applyNumberFormat="1" applyFont="1" applyFill="1" applyBorder="1" applyAlignment="1">
      <alignment horizontal="center"/>
    </xf>
    <xf numFmtId="3" fontId="95" fillId="0" borderId="0" xfId="40" applyNumberFormat="1" applyFont="1" applyBorder="1" applyAlignment="1">
      <alignment horizontal="center"/>
    </xf>
    <xf numFmtId="3" fontId="99" fillId="0" borderId="0" xfId="28" applyNumberFormat="1" applyFont="1" applyBorder="1" applyAlignment="1">
      <alignment horizontal="center"/>
    </xf>
    <xf numFmtId="3" fontId="99" fillId="37" borderId="0" xfId="28" applyNumberFormat="1" applyFont="1" applyFill="1" applyBorder="1" applyAlignment="1">
      <alignment horizontal="center"/>
    </xf>
    <xf numFmtId="3" fontId="95" fillId="0" borderId="0" xfId="0" applyNumberFormat="1" applyFont="1" applyBorder="1" applyAlignment="1">
      <alignment horizontal="center"/>
    </xf>
    <xf numFmtId="3" fontId="95" fillId="37" borderId="0" xfId="0" applyNumberFormat="1" applyFont="1" applyFill="1" applyBorder="1" applyAlignment="1">
      <alignment horizontal="center"/>
    </xf>
    <xf numFmtId="3" fontId="95" fillId="37" borderId="243" xfId="0" applyNumberFormat="1" applyFont="1" applyFill="1" applyBorder="1" applyAlignment="1">
      <alignment horizontal="center"/>
    </xf>
    <xf numFmtId="3" fontId="99" fillId="37" borderId="243" xfId="28" applyNumberFormat="1" applyFont="1" applyFill="1" applyBorder="1" applyAlignment="1">
      <alignment horizontal="center"/>
    </xf>
    <xf numFmtId="3" fontId="99" fillId="37" borderId="0" xfId="0" applyNumberFormat="1" applyFont="1" applyFill="1" applyBorder="1" applyAlignment="1">
      <alignment horizontal="center"/>
    </xf>
    <xf numFmtId="3" fontId="99" fillId="0" borderId="0" xfId="0" applyNumberFormat="1" applyFont="1" applyBorder="1" applyAlignment="1">
      <alignment horizontal="center"/>
    </xf>
    <xf numFmtId="3" fontId="99" fillId="37" borderId="243" xfId="0" applyNumberFormat="1" applyFont="1" applyFill="1" applyBorder="1" applyAlignment="1">
      <alignment horizontal="center"/>
    </xf>
    <xf numFmtId="177" fontId="65" fillId="35" borderId="41" xfId="0" applyNumberFormat="1" applyFont="1" applyFill="1" applyBorder="1"/>
    <xf numFmtId="0" fontId="6" fillId="0" borderId="0" xfId="40" applyAlignment="1">
      <alignment horizontal="right"/>
    </xf>
    <xf numFmtId="2" fontId="6" fillId="0" borderId="0" xfId="40" applyNumberFormat="1"/>
    <xf numFmtId="0" fontId="65" fillId="35" borderId="53"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2"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81" xfId="41" applyFont="1" applyFill="1" applyBorder="1"/>
    <xf numFmtId="0" fontId="74" fillId="35" borderId="10" xfId="41" applyFont="1" applyFill="1" applyBorder="1"/>
    <xf numFmtId="0" fontId="74" fillId="35" borderId="131" xfId="41" applyFont="1" applyFill="1" applyBorder="1"/>
    <xf numFmtId="168" fontId="74" fillId="35" borderId="173" xfId="41" applyNumberFormat="1" applyFont="1" applyFill="1" applyBorder="1"/>
    <xf numFmtId="168" fontId="74" fillId="35" borderId="172" xfId="41" applyNumberFormat="1" applyFont="1" applyFill="1" applyBorder="1"/>
    <xf numFmtId="168" fontId="74" fillId="35" borderId="10" xfId="41" applyNumberFormat="1" applyFont="1" applyFill="1" applyBorder="1"/>
    <xf numFmtId="1" fontId="74" fillId="35" borderId="131"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31" xfId="0" applyNumberFormat="1" applyFont="1" applyFill="1" applyBorder="1" applyAlignment="1">
      <alignment horizontal="center"/>
    </xf>
    <xf numFmtId="168" fontId="70" fillId="35" borderId="162"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30"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32"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33" xfId="0" applyNumberFormat="1" applyFont="1" applyFill="1" applyBorder="1" applyAlignment="1">
      <alignment horizontal="center"/>
    </xf>
    <xf numFmtId="168" fontId="70" fillId="35" borderId="60" xfId="0" applyNumberFormat="1" applyFont="1" applyFill="1" applyBorder="1" applyAlignment="1">
      <alignment horizontal="center"/>
    </xf>
    <xf numFmtId="0" fontId="67" fillId="35" borderId="174" xfId="0" applyFont="1" applyFill="1" applyBorder="1" applyAlignment="1">
      <alignment horizontal="center"/>
    </xf>
    <xf numFmtId="3" fontId="67" fillId="35" borderId="88" xfId="0" applyNumberFormat="1" applyFont="1" applyFill="1" applyBorder="1" applyAlignment="1">
      <alignment horizontal="center"/>
    </xf>
    <xf numFmtId="0" fontId="67" fillId="35" borderId="88" xfId="0" applyFont="1" applyFill="1" applyBorder="1" applyAlignment="1">
      <alignment horizontal="center"/>
    </xf>
    <xf numFmtId="0" fontId="67" fillId="35" borderId="89" xfId="0" applyFont="1" applyFill="1" applyBorder="1" applyAlignment="1">
      <alignment horizontal="center"/>
    </xf>
    <xf numFmtId="4" fontId="70" fillId="35" borderId="54"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24"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19" xfId="0" applyNumberFormat="1" applyFont="1" applyFill="1" applyBorder="1" applyAlignment="1">
      <alignment horizontal="center"/>
    </xf>
    <xf numFmtId="165" fontId="70" fillId="35" borderId="19"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24" xfId="0" applyNumberFormat="1" applyFont="1" applyFill="1" applyBorder="1" applyAlignment="1">
      <alignment horizontal="center"/>
    </xf>
    <xf numFmtId="4" fontId="70" fillId="35" borderId="55" xfId="0" applyNumberFormat="1" applyFont="1" applyFill="1" applyBorder="1" applyAlignment="1">
      <alignment horizontal="center"/>
    </xf>
    <xf numFmtId="4" fontId="70" fillId="35" borderId="56" xfId="0" applyNumberFormat="1" applyFont="1" applyFill="1" applyBorder="1" applyAlignment="1">
      <alignment horizontal="center"/>
    </xf>
    <xf numFmtId="165" fontId="70" fillId="35" borderId="56" xfId="0" applyNumberFormat="1" applyFont="1" applyFill="1" applyBorder="1" applyAlignment="1">
      <alignment horizontal="center"/>
    </xf>
    <xf numFmtId="169" fontId="70" fillId="35" borderId="56" xfId="0" applyNumberFormat="1" applyFont="1" applyFill="1" applyBorder="1" applyAlignment="1">
      <alignment horizontal="center"/>
    </xf>
    <xf numFmtId="0" fontId="56" fillId="26" borderId="0" xfId="0" applyFont="1" applyFill="1" applyAlignment="1">
      <alignment horizontal="center" vertic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28" fillId="0" borderId="27" xfId="0" applyFont="1" applyBorder="1" applyAlignment="1">
      <alignment horizontal="center"/>
    </xf>
    <xf numFmtId="0" fontId="28" fillId="0" borderId="44" xfId="0" applyFont="1" applyBorder="1" applyAlignment="1">
      <alignment horizontal="center"/>
    </xf>
    <xf numFmtId="0" fontId="28" fillId="0" borderId="58" xfId="0" applyFont="1" applyBorder="1" applyAlignment="1">
      <alignment horizontal="center"/>
    </xf>
    <xf numFmtId="0" fontId="34" fillId="0" borderId="27" xfId="0" applyFont="1" applyBorder="1" applyAlignment="1">
      <alignment horizontal="center" vertical="center" wrapText="1"/>
    </xf>
    <xf numFmtId="0" fontId="34"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8" fillId="0" borderId="210" xfId="0" applyFont="1" applyBorder="1" applyAlignment="1">
      <alignment horizontal="center"/>
    </xf>
    <xf numFmtId="0" fontId="28" fillId="0" borderId="88" xfId="0" applyFont="1" applyBorder="1" applyAlignment="1">
      <alignment horizontal="center"/>
    </xf>
    <xf numFmtId="0" fontId="28" fillId="0" borderId="211" xfId="0" applyFont="1" applyBorder="1" applyAlignment="1">
      <alignment horizontal="center"/>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0" xfId="0" applyFont="1" applyBorder="1" applyAlignment="1">
      <alignment horizontal="center"/>
    </xf>
    <xf numFmtId="0" fontId="75" fillId="0" borderId="88" xfId="0" applyFont="1" applyBorder="1" applyAlignment="1">
      <alignment horizontal="center"/>
    </xf>
    <xf numFmtId="0" fontId="75" fillId="0" borderId="211"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41" fillId="0" borderId="42" xfId="0" applyFont="1" applyBorder="1" applyAlignment="1">
      <alignment horizontal="center"/>
    </xf>
    <xf numFmtId="0" fontId="25" fillId="0" borderId="42" xfId="0" applyFont="1" applyBorder="1" applyAlignment="1">
      <alignment horizontal="center"/>
    </xf>
    <xf numFmtId="0" fontId="24" fillId="0" borderId="179" xfId="0" applyFont="1" applyFill="1" applyBorder="1" applyAlignment="1">
      <alignment horizontal="center"/>
    </xf>
    <xf numFmtId="0" fontId="24" fillId="0" borderId="71" xfId="0" applyFont="1" applyFill="1" applyBorder="1" applyAlignment="1">
      <alignment horizontal="center"/>
    </xf>
    <xf numFmtId="0" fontId="24" fillId="0" borderId="183" xfId="0" applyFont="1" applyFill="1" applyBorder="1" applyAlignment="1">
      <alignment horizontal="center"/>
    </xf>
    <xf numFmtId="0" fontId="24" fillId="0" borderId="179" xfId="0" applyFont="1" applyBorder="1" applyAlignment="1">
      <alignment horizontal="center"/>
    </xf>
    <xf numFmtId="0" fontId="24" fillId="0" borderId="71" xfId="0" applyFont="1" applyBorder="1" applyAlignment="1">
      <alignment horizontal="center"/>
    </xf>
    <xf numFmtId="0" fontId="24" fillId="0" borderId="183" xfId="0" applyFont="1" applyBorder="1" applyAlignment="1">
      <alignment horizontal="center"/>
    </xf>
    <xf numFmtId="0" fontId="52" fillId="0" borderId="223" xfId="41" applyFont="1" applyBorder="1" applyAlignment="1">
      <alignment horizontal="left"/>
    </xf>
    <xf numFmtId="0" fontId="52" fillId="0" borderId="224" xfId="41" applyFont="1" applyBorder="1" applyAlignment="1">
      <alignment horizontal="left"/>
    </xf>
    <xf numFmtId="0" fontId="52" fillId="0" borderId="225" xfId="41" applyFont="1" applyBorder="1" applyAlignment="1">
      <alignment horizontal="left"/>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22" fontId="52" fillId="0" borderId="77" xfId="41" applyNumberFormat="1" applyFont="1" applyBorder="1" applyAlignment="1">
      <alignment horizontal="left"/>
    </xf>
    <xf numFmtId="0" fontId="52" fillId="0" borderId="129"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34" fillId="0" borderId="90" xfId="41" applyFont="1" applyBorder="1" applyAlignment="1">
      <alignment horizontal="center"/>
    </xf>
    <xf numFmtId="0" fontId="34" fillId="0" borderId="91" xfId="41" applyFont="1" applyBorder="1" applyAlignment="1">
      <alignment horizontal="center"/>
    </xf>
    <xf numFmtId="0" fontId="52" fillId="0" borderId="87" xfId="41" applyFont="1" applyBorder="1" applyAlignment="1">
      <alignment horizontal="center"/>
    </xf>
    <xf numFmtId="0" fontId="52" fillId="0" borderId="90" xfId="41" applyFont="1" applyBorder="1" applyAlignment="1">
      <alignment horizontal="center"/>
    </xf>
    <xf numFmtId="0" fontId="52" fillId="0" borderId="91" xfId="41" applyFont="1" applyBorder="1" applyAlignment="1">
      <alignment horizontal="center"/>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164" fontId="28" fillId="0" borderId="126" xfId="44" applyNumberFormat="1" applyFont="1" applyFill="1" applyBorder="1" applyAlignment="1">
      <alignment horizontal="center"/>
    </xf>
    <xf numFmtId="164" fontId="28" fillId="0" borderId="78" xfId="44" applyNumberFormat="1" applyFont="1" applyFill="1" applyBorder="1" applyAlignment="1">
      <alignment horizontal="center"/>
    </xf>
    <xf numFmtId="164" fontId="28" fillId="0" borderId="129" xfId="44" applyNumberFormat="1"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8" fillId="0" borderId="126" xfId="40" applyFont="1" applyFill="1" applyBorder="1" applyAlignment="1">
      <alignment horizontal="center"/>
    </xf>
    <xf numFmtId="0" fontId="88" fillId="0" borderId="78" xfId="40" applyFont="1" applyFill="1" applyBorder="1" applyAlignment="1">
      <alignment horizontal="center"/>
    </xf>
    <xf numFmtId="0" fontId="88" fillId="0" borderId="129" xfId="40" applyFont="1" applyFill="1" applyBorder="1" applyAlignment="1">
      <alignment horizontal="center"/>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6" fillId="0" borderId="0" xfId="40" applyAlignment="1">
      <alignment wrapText="1"/>
    </xf>
    <xf numFmtId="175" fontId="56" fillId="0" borderId="246" xfId="28" applyNumberFormat="1" applyFont="1" applyFill="1" applyBorder="1" applyAlignment="1">
      <alignment horizontal="center" wrapText="1"/>
    </xf>
    <xf numFmtId="175" fontId="56" fillId="0" borderId="93" xfId="28" applyNumberFormat="1" applyFont="1" applyFill="1" applyBorder="1" applyAlignment="1">
      <alignment horizontal="center" wrapText="1"/>
    </xf>
    <xf numFmtId="175" fontId="56" fillId="0" borderId="94" xfId="28" applyNumberFormat="1" applyFont="1" applyFill="1" applyBorder="1" applyAlignment="1">
      <alignment horizontal="center" wrapText="1"/>
    </xf>
    <xf numFmtId="0" fontId="6" fillId="0" borderId="0" xfId="40" applyAlignment="1">
      <alignment horizontal="left" vertical="top" wrapText="1"/>
    </xf>
    <xf numFmtId="0" fontId="20" fillId="0" borderId="0" xfId="40" applyFont="1" applyAlignment="1">
      <alignment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4"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5" xfId="0" applyFont="1" applyFill="1" applyBorder="1" applyAlignment="1">
      <alignment horizontal="center"/>
    </xf>
    <xf numFmtId="0" fontId="37" fillId="0" borderId="176" xfId="0" applyFont="1" applyFill="1" applyBorder="1" applyAlignment="1">
      <alignment horizontal="center"/>
    </xf>
    <xf numFmtId="0" fontId="29" fillId="0" borderId="177" xfId="0" applyFont="1" applyFill="1" applyBorder="1" applyAlignment="1">
      <alignment horizontal="right"/>
    </xf>
    <xf numFmtId="0" fontId="29" fillId="0" borderId="178"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9" xfId="0" applyFont="1" applyFill="1" applyBorder="1" applyAlignment="1">
      <alignment horizontal="center"/>
    </xf>
    <xf numFmtId="0" fontId="29" fillId="0" borderId="175" xfId="0" applyFont="1" applyFill="1" applyBorder="1" applyAlignment="1">
      <alignment horizontal="center"/>
    </xf>
    <xf numFmtId="0" fontId="29" fillId="0" borderId="176" xfId="0" applyFont="1" applyFill="1" applyBorder="1" applyAlignment="1">
      <alignment horizontal="center"/>
    </xf>
    <xf numFmtId="0" fontId="29" fillId="0" borderId="87" xfId="0" applyFont="1" applyFill="1" applyBorder="1" applyAlignment="1">
      <alignment horizontal="right"/>
    </xf>
    <xf numFmtId="0" fontId="29" fillId="0" borderId="174" xfId="0" applyFont="1" applyFill="1" applyBorder="1" applyAlignment="1">
      <alignment horizontal="right"/>
    </xf>
    <xf numFmtId="0" fontId="1" fillId="0" borderId="0" xfId="41" applyFont="1" applyAlignment="1">
      <alignment horizontal="center" wrapText="1"/>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Title" xfId="46" builtinId="15" customBuiltin="1"/>
    <cellStyle name="Total" xfId="47" builtinId="25" customBuiltin="1"/>
    <cellStyle name="Warning Text" xfId="48" builtinId="11" customBuiltin="1"/>
  </cellStyles>
  <dxfs count="58">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008000"/>
      <color rgb="FF00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C63A-4086-BDB8-2EA5BBB3B099}"/>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C63A-4086-BDB8-2EA5BBB3B099}"/>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C63A-4086-BDB8-2EA5BBB3B099}"/>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C63A-4086-BDB8-2EA5BBB3B099}"/>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C63A-4086-BDB8-2EA5BBB3B099}"/>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C63A-4086-BDB8-2EA5BBB3B099}"/>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C63A-4086-BDB8-2EA5BBB3B099}"/>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C63A-4086-BDB8-2EA5BBB3B099}"/>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C63A-4086-BDB8-2EA5BBB3B099}"/>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formatCode="0.00000">
                  <c:v>2</c:v>
                </c:pt>
                <c:pt idx="20" formatCode="0.00000">
                  <c:v>1.9998475958244206</c:v>
                </c:pt>
                <c:pt idx="21" formatCode="0.00000">
                  <c:v>1.997564318453297</c:v>
                </c:pt>
                <c:pt idx="22" formatCode="0.00000">
                  <c:v>1.9877302162356105</c:v>
                </c:pt>
                <c:pt idx="23" formatCode="0.00000">
                  <c:v>1.9617329724046002</c:v>
                </c:pt>
                <c:pt idx="24" formatCode="0.00000">
                  <c:v>1.9091366474068348</c:v>
                </c:pt>
                <c:pt idx="25" formatCode="0.00000">
                  <c:v>1.8207548082982679</c:v>
                </c:pt>
                <c:pt idx="26" formatCode="0.00000">
                  <c:v>1.6935372605193146</c:v>
                </c:pt>
                <c:pt idx="27" formatCode="0.00000">
                  <c:v>1.5356388796484046</c:v>
                </c:pt>
                <c:pt idx="28" formatCode="0.00000">
                  <c:v>1.3678794411714423</c:v>
                </c:pt>
                <c:pt idx="29" formatCode="0.00000">
                  <c:v>1.2178043921390924</c:v>
                </c:pt>
                <c:pt idx="30" formatCode="0.00000">
                  <c:v>1.1073651555863839</c:v>
                </c:pt>
                <c:pt idx="31" formatCode="0.00000">
                  <c:v>1.0424047952694926</c:v>
                </c:pt>
                <c:pt idx="32" formatCode="0.00000">
                  <c:v>1.0128662537190456</c:v>
                </c:pt>
                <c:pt idx="33" formatCode="0.00000">
                  <c:v>1.0028649482287073</c:v>
                </c:pt>
                <c:pt idx="34" formatCode="0.00000">
                  <c:v>1.000445617595592</c:v>
                </c:pt>
              </c:numCache>
            </c:numRef>
          </c:yVal>
          <c:smooth val="0"/>
          <c:extLst>
            <c:ext xmlns:c16="http://schemas.microsoft.com/office/drawing/2014/chart" uri="{C3380CC4-5D6E-409C-BE32-E72D297353CC}">
              <c16:uniqueId val="{00000000-7C04-4EE5-AA34-5D568A8AFEF8}"/>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Gasoline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not used</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not used</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not used</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not used</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not used</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date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0"/>
        <c:lblOffset val="100"/>
        <c:baseTimeUnit val="days"/>
      </c:date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Class 4-6 Vocational</a:t>
            </a:r>
            <a:r>
              <a:rPr lang="en-US" sz="1400" baseline="0"/>
              <a:t> (Diesel Market)</a:t>
            </a:r>
            <a:endParaRPr lang="en-US" sz="1400"/>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Veh-Mi'!$I$22:$I$52</c:f>
              <c:numCache>
                <c:formatCode>0.0%</c:formatCode>
                <c:ptCount val="31"/>
                <c:pt idx="0">
                  <c:v>0</c:v>
                </c:pt>
                <c:pt idx="1">
                  <c:v>0</c:v>
                </c:pt>
                <c:pt idx="2">
                  <c:v>0</c:v>
                </c:pt>
                <c:pt idx="3">
                  <c:v>0</c:v>
                </c:pt>
                <c:pt idx="4">
                  <c:v>0</c:v>
                </c:pt>
                <c:pt idx="5">
                  <c:v>0</c:v>
                </c:pt>
                <c:pt idx="6">
                  <c:v>1.7959003927871982E-2</c:v>
                </c:pt>
                <c:pt idx="7">
                  <c:v>3.4675693035266374E-2</c:v>
                </c:pt>
                <c:pt idx="8">
                  <c:v>0.10739724328508657</c:v>
                </c:pt>
                <c:pt idx="9">
                  <c:v>0.1642413254289592</c:v>
                </c:pt>
                <c:pt idx="10">
                  <c:v>0.23436210939811458</c:v>
                </c:pt>
                <c:pt idx="11">
                  <c:v>0.30562768412590324</c:v>
                </c:pt>
                <c:pt idx="12">
                  <c:v>0.40983766635266389</c:v>
                </c:pt>
                <c:pt idx="13">
                  <c:v>0.45884007666643245</c:v>
                </c:pt>
                <c:pt idx="14">
                  <c:v>0.47472536968170209</c:v>
                </c:pt>
                <c:pt idx="15">
                  <c:v>0.48868776458907826</c:v>
                </c:pt>
                <c:pt idx="16">
                  <c:v>0.49082769452000963</c:v>
                </c:pt>
                <c:pt idx="17">
                  <c:v>0.48758438898039291</c:v>
                </c:pt>
                <c:pt idx="18">
                  <c:v>0.47907033614530481</c:v>
                </c:pt>
                <c:pt idx="19">
                  <c:v>0.46572223101036636</c:v>
                </c:pt>
                <c:pt idx="20">
                  <c:v>0.45388640499513255</c:v>
                </c:pt>
                <c:pt idx="21">
                  <c:v>0.43972136876688861</c:v>
                </c:pt>
                <c:pt idx="22">
                  <c:v>0.41713673448696298</c:v>
                </c:pt>
                <c:pt idx="23">
                  <c:v>0.40096689708542482</c:v>
                </c:pt>
                <c:pt idx="24">
                  <c:v>0.38186210383070773</c:v>
                </c:pt>
                <c:pt idx="25">
                  <c:v>0.36163599255170809</c:v>
                </c:pt>
                <c:pt idx="26">
                  <c:v>0.34601861283597346</c:v>
                </c:pt>
                <c:pt idx="27">
                  <c:v>0.3323121638711608</c:v>
                </c:pt>
                <c:pt idx="28">
                  <c:v>0.32371003848910818</c:v>
                </c:pt>
                <c:pt idx="29">
                  <c:v>0.31509145825838614</c:v>
                </c:pt>
                <c:pt idx="30">
                  <c:v>0.30160379299522799</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Veh-Mi'!$J$22:$J$52</c:f>
              <c:numCache>
                <c:formatCode>0.0%</c:formatCode>
                <c:ptCount val="31"/>
                <c:pt idx="0">
                  <c:v>0</c:v>
                </c:pt>
                <c:pt idx="1">
                  <c:v>0</c:v>
                </c:pt>
                <c:pt idx="2">
                  <c:v>0</c:v>
                </c:pt>
                <c:pt idx="3">
                  <c:v>0</c:v>
                </c:pt>
                <c:pt idx="4">
                  <c:v>0</c:v>
                </c:pt>
                <c:pt idx="5">
                  <c:v>0</c:v>
                </c:pt>
                <c:pt idx="6">
                  <c:v>8.2495135844313297E-3</c:v>
                </c:pt>
                <c:pt idx="7">
                  <c:v>2.1632630368366018E-2</c:v>
                </c:pt>
                <c:pt idx="8">
                  <c:v>5.8761862987616334E-2</c:v>
                </c:pt>
                <c:pt idx="9">
                  <c:v>0.10721587065490633</c:v>
                </c:pt>
                <c:pt idx="10">
                  <c:v>0.1674426862203019</c:v>
                </c:pt>
                <c:pt idx="11">
                  <c:v>0.22292709707254663</c:v>
                </c:pt>
                <c:pt idx="12">
                  <c:v>0.28258828722893836</c:v>
                </c:pt>
                <c:pt idx="13">
                  <c:v>0.32094547286282943</c:v>
                </c:pt>
                <c:pt idx="14">
                  <c:v>0.33900654731697188</c:v>
                </c:pt>
                <c:pt idx="15">
                  <c:v>0.37074814526795635</c:v>
                </c:pt>
                <c:pt idx="16">
                  <c:v>0.39036605652997486</c:v>
                </c:pt>
                <c:pt idx="17">
                  <c:v>0.39939006102204516</c:v>
                </c:pt>
                <c:pt idx="18">
                  <c:v>0.4091267643866669</c:v>
                </c:pt>
                <c:pt idx="19">
                  <c:v>0.41983308417548554</c:v>
                </c:pt>
                <c:pt idx="20">
                  <c:v>0.42619840162582578</c:v>
                </c:pt>
                <c:pt idx="21">
                  <c:v>0.42550316447376468</c:v>
                </c:pt>
                <c:pt idx="22">
                  <c:v>0.41979932614945659</c:v>
                </c:pt>
                <c:pt idx="23">
                  <c:v>0.41239828712399151</c:v>
                </c:pt>
                <c:pt idx="24">
                  <c:v>0.39911389883800041</c:v>
                </c:pt>
                <c:pt idx="25">
                  <c:v>0.38295458363729074</c:v>
                </c:pt>
                <c:pt idx="26">
                  <c:v>0.36887682413847322</c:v>
                </c:pt>
                <c:pt idx="27">
                  <c:v>0.35556615128646918</c:v>
                </c:pt>
                <c:pt idx="28">
                  <c:v>0.34419940044761388</c:v>
                </c:pt>
                <c:pt idx="29">
                  <c:v>0.33573313438839358</c:v>
                </c:pt>
                <c:pt idx="30">
                  <c:v>0.32104095236391927</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4.2182830784083818E-5</c:v>
                </c:pt>
                <c:pt idx="17">
                  <c:v>1.2058257800150993E-4</c:v>
                </c:pt>
                <c:pt idx="18">
                  <c:v>4.0808816284993756E-4</c:v>
                </c:pt>
                <c:pt idx="19">
                  <c:v>1.3830528788605619E-3</c:v>
                </c:pt>
                <c:pt idx="20">
                  <c:v>4.5987910587920603E-3</c:v>
                </c:pt>
                <c:pt idx="21">
                  <c:v>1.3490162213093567E-2</c:v>
                </c:pt>
                <c:pt idx="22">
                  <c:v>3.2660521327915103E-2</c:v>
                </c:pt>
                <c:pt idx="23">
                  <c:v>5.8240075586070757E-2</c:v>
                </c:pt>
                <c:pt idx="24">
                  <c:v>7.9504585269857986E-2</c:v>
                </c:pt>
                <c:pt idx="25">
                  <c:v>0.1008846320706609</c:v>
                </c:pt>
                <c:pt idx="26">
                  <c:v>0.11403555231280621</c:v>
                </c:pt>
                <c:pt idx="27">
                  <c:v>0.12830449338976213</c:v>
                </c:pt>
                <c:pt idx="28">
                  <c:v>0.13700394552111267</c:v>
                </c:pt>
                <c:pt idx="29">
                  <c:v>0.14327878220072698</c:v>
                </c:pt>
                <c:pt idx="30">
                  <c:v>0.15742737225518894</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Veh-Mi'!$L$22:$L$52</c:f>
              <c:numCache>
                <c:formatCode>0.0%</c:formatCode>
                <c:ptCount val="31"/>
                <c:pt idx="0">
                  <c:v>0</c:v>
                </c:pt>
                <c:pt idx="1">
                  <c:v>0</c:v>
                </c:pt>
                <c:pt idx="2">
                  <c:v>0</c:v>
                </c:pt>
                <c:pt idx="3">
                  <c:v>0</c:v>
                </c:pt>
                <c:pt idx="4">
                  <c:v>0</c:v>
                </c:pt>
                <c:pt idx="5">
                  <c:v>0</c:v>
                </c:pt>
                <c:pt idx="6">
                  <c:v>0</c:v>
                </c:pt>
                <c:pt idx="7">
                  <c:v>0</c:v>
                </c:pt>
                <c:pt idx="8">
                  <c:v>5.7281654450382511E-8</c:v>
                </c:pt>
                <c:pt idx="9">
                  <c:v>3.2422748373954877E-7</c:v>
                </c:pt>
                <c:pt idx="10">
                  <c:v>9.6643106504750511E-6</c:v>
                </c:pt>
                <c:pt idx="11">
                  <c:v>5.3748753268605485E-5</c:v>
                </c:pt>
                <c:pt idx="12">
                  <c:v>3.0120544330949493E-4</c:v>
                </c:pt>
                <c:pt idx="13">
                  <c:v>1.0190038480868315E-3</c:v>
                </c:pt>
                <c:pt idx="14">
                  <c:v>1.8404227692473032E-3</c:v>
                </c:pt>
                <c:pt idx="15">
                  <c:v>3.0589356948439927E-3</c:v>
                </c:pt>
                <c:pt idx="16">
                  <c:v>5.5904383319879021E-3</c:v>
                </c:pt>
                <c:pt idx="17">
                  <c:v>7.3985589993510814E-3</c:v>
                </c:pt>
                <c:pt idx="18">
                  <c:v>9.4886399657298018E-3</c:v>
                </c:pt>
                <c:pt idx="19">
                  <c:v>1.2035714777348178E-2</c:v>
                </c:pt>
                <c:pt idx="20">
                  <c:v>1.5047498265484597E-2</c:v>
                </c:pt>
                <c:pt idx="21">
                  <c:v>1.8794835455571948E-2</c:v>
                </c:pt>
                <c:pt idx="22">
                  <c:v>2.3494815864383196E-2</c:v>
                </c:pt>
                <c:pt idx="23">
                  <c:v>2.8306811079097927E-2</c:v>
                </c:pt>
                <c:pt idx="24">
                  <c:v>3.345054820799765E-2</c:v>
                </c:pt>
                <c:pt idx="25">
                  <c:v>3.9209100752923075E-2</c:v>
                </c:pt>
                <c:pt idx="26">
                  <c:v>4.4885033428597364E-2</c:v>
                </c:pt>
                <c:pt idx="27">
                  <c:v>5.0760069447707626E-2</c:v>
                </c:pt>
                <c:pt idx="28">
                  <c:v>5.7252408157802394E-2</c:v>
                </c:pt>
                <c:pt idx="29">
                  <c:v>6.3431083148864753E-2</c:v>
                </c:pt>
                <c:pt idx="30">
                  <c:v>7.2406289815803077E-2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PHEV</c:v>
                </c:pt>
              </c:strCache>
            </c:strRef>
          </c:tx>
          <c:spPr>
            <a:solidFill>
              <a:schemeClr val="accent5">
                <a:alpha val="85000"/>
              </a:schemeClr>
            </a:solidFill>
            <a:ln>
              <a:noFill/>
            </a:ln>
            <a:effectLst>
              <a:innerShdw dist="12700" dir="16200000">
                <a:schemeClr val="lt1"/>
              </a:innerShdw>
            </a:effectLst>
          </c:spPr>
          <c:cat>
            <c:numRef>
              <c:f>'Mkt Pen Veh-Mi'!$A$22:$A$52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'Mkt Pen Veh-Mi'!$M$22:$M$52</c:f>
              <c:numCache>
                <c:formatCode>0.0%</c:formatCode>
                <c:ptCount val="31"/>
                <c:pt idx="0">
                  <c:v>0</c:v>
                </c:pt>
                <c:pt idx="1">
                  <c:v>0</c:v>
                </c:pt>
                <c:pt idx="2">
                  <c:v>0</c:v>
                </c:pt>
                <c:pt idx="3">
                  <c:v>0</c:v>
                </c:pt>
                <c:pt idx="4">
                  <c:v>0</c:v>
                </c:pt>
                <c:pt idx="5">
                  <c:v>0</c:v>
                </c:pt>
                <c:pt idx="6">
                  <c:v>5.2922584143657432E-6</c:v>
                </c:pt>
                <c:pt idx="7">
                  <c:v>5.9575833459557953E-5</c:v>
                </c:pt>
                <c:pt idx="8">
                  <c:v>2.2679288132564166E-4</c:v>
                </c:pt>
                <c:pt idx="9">
                  <c:v>4.6780435813009562E-4</c:v>
                </c:pt>
                <c:pt idx="10">
                  <c:v>9.5844106050226431E-4</c:v>
                </c:pt>
                <c:pt idx="11">
                  <c:v>1.6676523389562456E-3</c:v>
                </c:pt>
                <c:pt idx="12">
                  <c:v>3.072349290682788E-3</c:v>
                </c:pt>
                <c:pt idx="13">
                  <c:v>4.8073530299187718E-3</c:v>
                </c:pt>
                <c:pt idx="14">
                  <c:v>6.2775001532136198E-3</c:v>
                </c:pt>
                <c:pt idx="15">
                  <c:v>9.7315005825720207E-3</c:v>
                </c:pt>
                <c:pt idx="16">
                  <c:v>1.3463440597509608E-2</c:v>
                </c:pt>
                <c:pt idx="17">
                  <c:v>1.5673196023148039E-2</c:v>
                </c:pt>
                <c:pt idx="18">
                  <c:v>1.89913753422805E-2</c:v>
                </c:pt>
                <c:pt idx="19">
                  <c:v>2.3184088029903287E-2</c:v>
                </c:pt>
                <c:pt idx="20">
                  <c:v>2.9119461065627628E-2</c:v>
                </c:pt>
                <c:pt idx="21">
                  <c:v>3.799688028613106E-2</c:v>
                </c:pt>
                <c:pt idx="22">
                  <c:v>5.0471384582044379E-2</c:v>
                </c:pt>
                <c:pt idx="23">
                  <c:v>6.4608271627679903E-2</c:v>
                </c:pt>
                <c:pt idx="24">
                  <c:v>8.2474906582612986E-2</c:v>
                </c:pt>
                <c:pt idx="25">
                  <c:v>0.10131975300979279</c:v>
                </c:pt>
                <c:pt idx="26">
                  <c:v>0.11628545325799912</c:v>
                </c:pt>
                <c:pt idx="27">
                  <c:v>0.12661262144014412</c:v>
                </c:pt>
                <c:pt idx="28">
                  <c:v>0.13243913704964497</c:v>
                </c:pt>
                <c:pt idx="29">
                  <c:v>0.1388012325044721</c:v>
                </c:pt>
                <c:pt idx="30">
                  <c:v>0.14470729877825461</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1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0"/>
        <c:lblAlgn val="ctr"/>
        <c:lblOffset val="100"/>
        <c:tickLblSkip val="5"/>
        <c:tickMarkSkip val="5"/>
        <c:noMultiLvlLbl val="1"/>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4-6 Gasoline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Veh-Mi'!$R$6</c:f>
              <c:strCache>
                <c:ptCount val="1"/>
                <c:pt idx="0">
                  <c:v>Base</c:v>
                </c:pt>
              </c:strCache>
            </c:strRef>
          </c:tx>
          <c:spPr>
            <a:ln w="19050" cap="rnd">
              <a:solidFill>
                <a:schemeClr val="accent1"/>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Veh-Mi'!$R$9:$R$52</c:f>
              <c:numCache>
                <c:formatCode>#,##0</c:formatCode>
                <c:ptCount val="44"/>
                <c:pt idx="0">
                  <c:v>19303.35601847613</c:v>
                </c:pt>
                <c:pt idx="1">
                  <c:v>19303.35601847613</c:v>
                </c:pt>
                <c:pt idx="2">
                  <c:v>19303.35601847613</c:v>
                </c:pt>
                <c:pt idx="3">
                  <c:v>19303.35601847613</c:v>
                </c:pt>
                <c:pt idx="4">
                  <c:v>19303.35601847613</c:v>
                </c:pt>
                <c:pt idx="5">
                  <c:v>19303.35601847613</c:v>
                </c:pt>
                <c:pt idx="6">
                  <c:v>19303.35601847613</c:v>
                </c:pt>
                <c:pt idx="7">
                  <c:v>19303.35601847613</c:v>
                </c:pt>
                <c:pt idx="8">
                  <c:v>19303.35601847613</c:v>
                </c:pt>
                <c:pt idx="9">
                  <c:v>19303.35601847613</c:v>
                </c:pt>
                <c:pt idx="10">
                  <c:v>19303.35601847613</c:v>
                </c:pt>
                <c:pt idx="11">
                  <c:v>19303.35601847613</c:v>
                </c:pt>
                <c:pt idx="12">
                  <c:v>19303.35601847613</c:v>
                </c:pt>
                <c:pt idx="13">
                  <c:v>19303.35601847613</c:v>
                </c:pt>
                <c:pt idx="14">
                  <c:v>19303.35601847613</c:v>
                </c:pt>
                <c:pt idx="15">
                  <c:v>19303.35601847613</c:v>
                </c:pt>
                <c:pt idx="16">
                  <c:v>19303.35601847613</c:v>
                </c:pt>
                <c:pt idx="17">
                  <c:v>19303.35601847613</c:v>
                </c:pt>
                <c:pt idx="18">
                  <c:v>19303.35601847613</c:v>
                </c:pt>
                <c:pt idx="19">
                  <c:v>19303.35601847613</c:v>
                </c:pt>
                <c:pt idx="20">
                  <c:v>19303.35601847613</c:v>
                </c:pt>
                <c:pt idx="21">
                  <c:v>19303.35601847613</c:v>
                </c:pt>
                <c:pt idx="22">
                  <c:v>19303.35601847613</c:v>
                </c:pt>
                <c:pt idx="23">
                  <c:v>19303.35601847613</c:v>
                </c:pt>
                <c:pt idx="24">
                  <c:v>19303.35601847613</c:v>
                </c:pt>
                <c:pt idx="25">
                  <c:v>19303.35601847613</c:v>
                </c:pt>
                <c:pt idx="26">
                  <c:v>19303.35601847613</c:v>
                </c:pt>
                <c:pt idx="27">
                  <c:v>19303.35601847613</c:v>
                </c:pt>
                <c:pt idx="28">
                  <c:v>19303.35601847613</c:v>
                </c:pt>
                <c:pt idx="29">
                  <c:v>19303.35601847613</c:v>
                </c:pt>
                <c:pt idx="30">
                  <c:v>19303.35601847613</c:v>
                </c:pt>
                <c:pt idx="31">
                  <c:v>19303.35601847613</c:v>
                </c:pt>
                <c:pt idx="32">
                  <c:v>19303.35601847613</c:v>
                </c:pt>
                <c:pt idx="33">
                  <c:v>19303.35601847613</c:v>
                </c:pt>
                <c:pt idx="34">
                  <c:v>19303.35601847613</c:v>
                </c:pt>
                <c:pt idx="35">
                  <c:v>19303.35601847613</c:v>
                </c:pt>
                <c:pt idx="36">
                  <c:v>19303.35601847613</c:v>
                </c:pt>
                <c:pt idx="37">
                  <c:v>19303.35601847613</c:v>
                </c:pt>
                <c:pt idx="38">
                  <c:v>19303.35601847613</c:v>
                </c:pt>
                <c:pt idx="39">
                  <c:v>19303.35601847613</c:v>
                </c:pt>
                <c:pt idx="40">
                  <c:v>19303.35601847613</c:v>
                </c:pt>
                <c:pt idx="41">
                  <c:v>19303.35601847613</c:v>
                </c:pt>
                <c:pt idx="42">
                  <c:v>19303.35601847613</c:v>
                </c:pt>
                <c:pt idx="43">
                  <c:v>19303.35601847613</c:v>
                </c:pt>
              </c:numCache>
            </c:numRef>
          </c:yVal>
          <c:smooth val="1"/>
          <c:extLst>
            <c:ext xmlns:c16="http://schemas.microsoft.com/office/drawing/2014/chart" uri="{C3380CC4-5D6E-409C-BE32-E72D297353CC}">
              <c16:uniqueId val="{00000015-5FCC-4280-BDCC-181E16B3E37A}"/>
            </c:ext>
          </c:extLst>
        </c:ser>
        <c:ser>
          <c:idx val="1"/>
          <c:order val="1"/>
          <c:tx>
            <c:strRef>
              <c:f>'Mkt Pen Veh-Mi'!$S$6</c:f>
              <c:strCache>
                <c:ptCount val="1"/>
                <c:pt idx="0">
                  <c:v>A</c:v>
                </c:pt>
              </c:strCache>
            </c:strRef>
          </c:tx>
          <c:spPr>
            <a:ln w="19050" cap="rnd">
              <a:solidFill>
                <a:schemeClr val="accent2"/>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Veh-Mi'!$S$9:$S$52</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1"/>
          <c:extLst>
            <c:ext xmlns:c16="http://schemas.microsoft.com/office/drawing/2014/chart" uri="{C3380CC4-5D6E-409C-BE32-E72D297353CC}">
              <c16:uniqueId val="{00000016-5FCC-4280-BDCC-181E16B3E37A}"/>
            </c:ext>
          </c:extLst>
        </c:ser>
        <c:ser>
          <c:idx val="2"/>
          <c:order val="2"/>
          <c:tx>
            <c:v>B</c:v>
          </c:tx>
          <c:spPr>
            <a:ln w="19050" cap="rnd">
              <a:solidFill>
                <a:schemeClr val="accent3"/>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Veh-Mi'!$T$18:$T$52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7-5FCC-4280-BDCC-181E16B3E37A}"/>
            </c:ext>
          </c:extLst>
        </c:ser>
        <c:ser>
          <c:idx val="3"/>
          <c:order val="3"/>
          <c:tx>
            <c:v>C</c:v>
          </c:tx>
          <c:spPr>
            <a:ln w="19050" cap="rnd">
              <a:solidFill>
                <a:schemeClr val="accent4"/>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Veh-Mi'!$U$14:$U$52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yVal>
          <c:smooth val="1"/>
          <c:extLst>
            <c:ext xmlns:c16="http://schemas.microsoft.com/office/drawing/2014/chart" uri="{C3380CC4-5D6E-409C-BE32-E72D297353CC}">
              <c16:uniqueId val="{00000018-5FCC-4280-BDCC-181E16B3E37A}"/>
            </c:ext>
          </c:extLst>
        </c:ser>
        <c:ser>
          <c:idx val="4"/>
          <c:order val="4"/>
          <c:tx>
            <c:v>D</c:v>
          </c:tx>
          <c:spPr>
            <a:ln w="19050" cap="rnd">
              <a:solidFill>
                <a:schemeClr val="accent5"/>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Veh-Mi'!$V$18:$V$52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9-5FCC-4280-BDCC-181E16B3E37A}"/>
            </c:ext>
          </c:extLst>
        </c:ser>
        <c:ser>
          <c:idx val="5"/>
          <c:order val="5"/>
          <c:tx>
            <c:v>E</c:v>
          </c:tx>
          <c:spPr>
            <a:ln w="19050" cap="rnd">
              <a:solidFill>
                <a:schemeClr val="accent6"/>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Veh-Mi'!$W$18:$W$52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4-6 Vocational</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Veh-Mi'!$R$6</c:f>
              <c:strCache>
                <c:ptCount val="1"/>
                <c:pt idx="0">
                  <c:v>Base</c:v>
                </c:pt>
              </c:strCache>
            </c:strRef>
          </c:tx>
          <c:spPr>
            <a:ln w="19050" cap="rnd">
              <a:solidFill>
                <a:schemeClr val="accent1"/>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Veh-Mi'!$X$18:$X$52</c:f>
              <c:numCache>
                <c:formatCode>#,##0</c:formatCode>
                <c:ptCount val="35"/>
                <c:pt idx="0">
                  <c:v>27000.850071475434</c:v>
                </c:pt>
                <c:pt idx="1">
                  <c:v>27000.850071475434</c:v>
                </c:pt>
                <c:pt idx="2">
                  <c:v>27000.850071475434</c:v>
                </c:pt>
                <c:pt idx="3">
                  <c:v>27000.850071475434</c:v>
                </c:pt>
                <c:pt idx="4">
                  <c:v>27000.850071475434</c:v>
                </c:pt>
                <c:pt idx="5">
                  <c:v>27000.850071475434</c:v>
                </c:pt>
                <c:pt idx="6">
                  <c:v>27000.850071475434</c:v>
                </c:pt>
                <c:pt idx="7">
                  <c:v>27000.850071475434</c:v>
                </c:pt>
                <c:pt idx="8">
                  <c:v>27000.850071475434</c:v>
                </c:pt>
                <c:pt idx="9">
                  <c:v>27000.850071475434</c:v>
                </c:pt>
                <c:pt idx="10">
                  <c:v>26695.80335239667</c:v>
                </c:pt>
                <c:pt idx="11">
                  <c:v>26266.471659759849</c:v>
                </c:pt>
                <c:pt idx="12">
                  <c:v>25062.091712237227</c:v>
                </c:pt>
                <c:pt idx="13">
                  <c:v>23282.27491055895</c:v>
                </c:pt>
                <c:pt idx="14">
                  <c:v>20988.578542483039</c:v>
                </c:pt>
                <c:pt idx="15">
                  <c:v>18626.538748542673</c:v>
                </c:pt>
                <c:pt idx="16">
                  <c:v>15797.912308363166</c:v>
                </c:pt>
                <c:pt idx="17">
                  <c:v>14368.50924301231</c:v>
                </c:pt>
                <c:pt idx="18">
                  <c:v>13766.698504311831</c:v>
                </c:pt>
                <c:pt idx="19">
                  <c:v>13102.440990464489</c:v>
                </c:pt>
                <c:pt idx="20">
                  <c:v>12785.232427076515</c:v>
                </c:pt>
                <c:pt idx="21">
                  <c:v>12619.173541742617</c:v>
                </c:pt>
                <c:pt idx="22">
                  <c:v>12682.36317850768</c:v>
                </c:pt>
                <c:pt idx="23">
                  <c:v>12440.329445319076</c:v>
                </c:pt>
                <c:pt idx="24">
                  <c:v>12290.495398219089</c:v>
                </c:pt>
                <c:pt idx="25">
                  <c:v>12357.50440895754</c:v>
                </c:pt>
                <c:pt idx="26">
                  <c:v>12236.339256610496</c:v>
                </c:pt>
                <c:pt idx="27">
                  <c:v>12090.904931794557</c:v>
                </c:pt>
                <c:pt idx="28">
                  <c:v>12059.553512210807</c:v>
                </c:pt>
                <c:pt idx="29">
                  <c:v>12244.044018990846</c:v>
                </c:pt>
                <c:pt idx="30">
                  <c:v>12359.419602406506</c:v>
                </c:pt>
                <c:pt idx="31">
                  <c:v>12576.121949051136</c:v>
                </c:pt>
                <c:pt idx="32">
                  <c:v>12626.904314795569</c:v>
                </c:pt>
                <c:pt idx="33">
                  <c:v>12998.554374015139</c:v>
                </c:pt>
                <c:pt idx="34">
                  <c:v>13117.204018225835</c:v>
                </c:pt>
              </c:numCache>
            </c:numRef>
          </c:yVal>
          <c:smooth val="1"/>
          <c:extLst>
            <c:ext xmlns:c16="http://schemas.microsoft.com/office/drawing/2014/chart" uri="{C3380CC4-5D6E-409C-BE32-E72D297353CC}">
              <c16:uniqueId val="{00000000-49EA-4F0A-906B-8F8EB11B9249}"/>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Veh-Mi'!$Y$18:$Y$53</c:f>
              <c:numCache>
                <c:formatCode>#,##0</c:formatCode>
                <c:ptCount val="36"/>
                <c:pt idx="0">
                  <c:v>0</c:v>
                </c:pt>
                <c:pt idx="1">
                  <c:v>0</c:v>
                </c:pt>
                <c:pt idx="2">
                  <c:v>0</c:v>
                </c:pt>
                <c:pt idx="3">
                  <c:v>0</c:v>
                </c:pt>
                <c:pt idx="4">
                  <c:v>0</c:v>
                </c:pt>
                <c:pt idx="5">
                  <c:v>0</c:v>
                </c:pt>
                <c:pt idx="6">
                  <c:v>0</c:v>
                </c:pt>
                <c:pt idx="7">
                  <c:v>0</c:v>
                </c:pt>
                <c:pt idx="8">
                  <c:v>0</c:v>
                </c:pt>
                <c:pt idx="9">
                  <c:v>0</c:v>
                </c:pt>
                <c:pt idx="10">
                  <c:v>42199.512053211482</c:v>
                </c:pt>
                <c:pt idx="11">
                  <c:v>46377.671356936022</c:v>
                </c:pt>
                <c:pt idx="12">
                  <c:v>40326.74026539972</c:v>
                </c:pt>
                <c:pt idx="13">
                  <c:v>43654.182904334077</c:v>
                </c:pt>
                <c:pt idx="14">
                  <c:v>44064.173890149716</c:v>
                </c:pt>
                <c:pt idx="15">
                  <c:v>42291.900774622365</c:v>
                </c:pt>
                <c:pt idx="16">
                  <c:v>35733.426428135419</c:v>
                </c:pt>
                <c:pt idx="17">
                  <c:v>31559.282962870268</c:v>
                </c:pt>
                <c:pt idx="18">
                  <c:v>30072.557463226389</c:v>
                </c:pt>
                <c:pt idx="19">
                  <c:v>28143.921816327715</c:v>
                </c:pt>
                <c:pt idx="20">
                  <c:v>27392.164471418459</c:v>
                </c:pt>
                <c:pt idx="21">
                  <c:v>27278.575707721655</c:v>
                </c:pt>
                <c:pt idx="22">
                  <c:v>27226.220911184395</c:v>
                </c:pt>
                <c:pt idx="23">
                  <c:v>27634.7172308587</c:v>
                </c:pt>
                <c:pt idx="24">
                  <c:v>27835.650282115967</c:v>
                </c:pt>
                <c:pt idx="25">
                  <c:v>27623.818251166729</c:v>
                </c:pt>
                <c:pt idx="26">
                  <c:v>27555.006162363781</c:v>
                </c:pt>
                <c:pt idx="27">
                  <c:v>26685.506626550581</c:v>
                </c:pt>
                <c:pt idx="28">
                  <c:v>26126.336121560231</c:v>
                </c:pt>
                <c:pt idx="29">
                  <c:v>25675.182143929855</c:v>
                </c:pt>
                <c:pt idx="30">
                  <c:v>25630.826988179528</c:v>
                </c:pt>
                <c:pt idx="31">
                  <c:v>25710.18562048877</c:v>
                </c:pt>
                <c:pt idx="32">
                  <c:v>25726.879330867549</c:v>
                </c:pt>
                <c:pt idx="33">
                  <c:v>25815.293172978512</c:v>
                </c:pt>
                <c:pt idx="34">
                  <c:v>26228.475466030552</c:v>
                </c:pt>
              </c:numCache>
            </c:numRef>
          </c:yVal>
          <c:smooth val="1"/>
          <c:extLst>
            <c:ext xmlns:c16="http://schemas.microsoft.com/office/drawing/2014/chart" uri="{C3380CC4-5D6E-409C-BE32-E72D297353CC}">
              <c16:uniqueId val="{00000001-49EA-4F0A-906B-8F8EB11B9249}"/>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Veh-Mi'!$Z$18:$Z$52</c:f>
              <c:numCache>
                <c:formatCode>#,##0</c:formatCode>
                <c:ptCount val="35"/>
                <c:pt idx="0">
                  <c:v>0</c:v>
                </c:pt>
                <c:pt idx="1">
                  <c:v>0</c:v>
                </c:pt>
                <c:pt idx="2">
                  <c:v>0</c:v>
                </c:pt>
                <c:pt idx="3">
                  <c:v>0</c:v>
                </c:pt>
                <c:pt idx="4">
                  <c:v>0</c:v>
                </c:pt>
                <c:pt idx="5">
                  <c:v>0</c:v>
                </c:pt>
                <c:pt idx="6">
                  <c:v>0</c:v>
                </c:pt>
                <c:pt idx="7">
                  <c:v>0</c:v>
                </c:pt>
                <c:pt idx="8">
                  <c:v>0</c:v>
                </c:pt>
                <c:pt idx="9">
                  <c:v>0</c:v>
                </c:pt>
                <c:pt idx="10">
                  <c:v>61961.070288222341</c:v>
                </c:pt>
                <c:pt idx="11">
                  <c:v>59678.005141659662</c:v>
                </c:pt>
                <c:pt idx="12">
                  <c:v>52968.296046494885</c:v>
                </c:pt>
                <c:pt idx="13">
                  <c:v>53632.243087539187</c:v>
                </c:pt>
                <c:pt idx="14">
                  <c:v>51418.413109740053</c:v>
                </c:pt>
                <c:pt idx="15">
                  <c:v>48667.276450956386</c:v>
                </c:pt>
                <c:pt idx="16">
                  <c:v>44930.897755216494</c:v>
                </c:pt>
                <c:pt idx="17">
                  <c:v>42577.361975930711</c:v>
                </c:pt>
                <c:pt idx="18">
                  <c:v>41068.977142806223</c:v>
                </c:pt>
                <c:pt idx="19">
                  <c:v>37717.704817338497</c:v>
                </c:pt>
                <c:pt idx="20">
                  <c:v>34934.023835938562</c:v>
                </c:pt>
                <c:pt idx="21">
                  <c:v>33672.26325374216</c:v>
                </c:pt>
                <c:pt idx="22">
                  <c:v>32317.809404226438</c:v>
                </c:pt>
                <c:pt idx="23">
                  <c:v>30914.605499908965</c:v>
                </c:pt>
                <c:pt idx="24">
                  <c:v>29628.130648589286</c:v>
                </c:pt>
                <c:pt idx="25">
                  <c:v>28605.650522010958</c:v>
                </c:pt>
                <c:pt idx="26">
                  <c:v>27352.90085391582</c:v>
                </c:pt>
                <c:pt idx="27">
                  <c:v>25897.817562370361</c:v>
                </c:pt>
                <c:pt idx="28">
                  <c:v>24888.106744359113</c:v>
                </c:pt>
                <c:pt idx="29">
                  <c:v>24158.580837403715</c:v>
                </c:pt>
                <c:pt idx="30">
                  <c:v>23956.630522584695</c:v>
                </c:pt>
                <c:pt idx="31">
                  <c:v>23897.094135585619</c:v>
                </c:pt>
                <c:pt idx="32">
                  <c:v>24070.856657412067</c:v>
                </c:pt>
                <c:pt idx="33">
                  <c:v>24091.942122693123</c:v>
                </c:pt>
                <c:pt idx="34">
                  <c:v>24459.379775692971</c:v>
                </c:pt>
              </c:numCache>
            </c:numRef>
          </c:yVal>
          <c:smooth val="1"/>
          <c:extLst>
            <c:ext xmlns:c16="http://schemas.microsoft.com/office/drawing/2014/chart" uri="{C3380CC4-5D6E-409C-BE32-E72D297353CC}">
              <c16:uniqueId val="{00000002-49EA-4F0A-906B-8F8EB11B9249}"/>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Veh-Mi'!$AA$18:$AA$52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28898.810030365261</c:v>
                </c:pt>
                <c:pt idx="21">
                  <c:v>28905.676035595181</c:v>
                </c:pt>
                <c:pt idx="22">
                  <c:v>28898.993788295873</c:v>
                </c:pt>
                <c:pt idx="23">
                  <c:v>28906.829266258766</c:v>
                </c:pt>
                <c:pt idx="24">
                  <c:v>28908.881846739569</c:v>
                </c:pt>
                <c:pt idx="25">
                  <c:v>28915.627249472484</c:v>
                </c:pt>
                <c:pt idx="26">
                  <c:v>28921.257443239756</c:v>
                </c:pt>
                <c:pt idx="27">
                  <c:v>28909.169235399564</c:v>
                </c:pt>
                <c:pt idx="28">
                  <c:v>28630.365027594999</c:v>
                </c:pt>
                <c:pt idx="29">
                  <c:v>27431.476688776031</c:v>
                </c:pt>
                <c:pt idx="30">
                  <c:v>25428.137911597336</c:v>
                </c:pt>
                <c:pt idx="31">
                  <c:v>23647.452795087294</c:v>
                </c:pt>
                <c:pt idx="32">
                  <c:v>22515.141702782272</c:v>
                </c:pt>
                <c:pt idx="33">
                  <c:v>21643.93013271597</c:v>
                </c:pt>
                <c:pt idx="34">
                  <c:v>20239.704065947739</c:v>
                </c:pt>
              </c:numCache>
            </c:numRef>
          </c:yVal>
          <c:smooth val="1"/>
          <c:extLst>
            <c:ext xmlns:c16="http://schemas.microsoft.com/office/drawing/2014/chart" uri="{C3380CC4-5D6E-409C-BE32-E72D297353CC}">
              <c16:uniqueId val="{00000003-49EA-4F0A-906B-8F8EB11B9249}"/>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Veh-Mi'!$AB$18:$AB$52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202262.1990468463</c:v>
                </c:pt>
                <c:pt idx="13">
                  <c:v>202262.19904684628</c:v>
                </c:pt>
                <c:pt idx="14">
                  <c:v>185251.01761716101</c:v>
                </c:pt>
                <c:pt idx="15">
                  <c:v>178417.13154071051</c:v>
                </c:pt>
                <c:pt idx="16">
                  <c:v>171808.30409929535</c:v>
                </c:pt>
                <c:pt idx="17">
                  <c:v>167819.20594276959</c:v>
                </c:pt>
                <c:pt idx="18">
                  <c:v>164115.16620032932</c:v>
                </c:pt>
                <c:pt idx="19">
                  <c:v>159759.3399389899</c:v>
                </c:pt>
                <c:pt idx="20">
                  <c:v>152546.0266768357</c:v>
                </c:pt>
                <c:pt idx="21">
                  <c:v>148294.58349826589</c:v>
                </c:pt>
                <c:pt idx="22">
                  <c:v>142808.17012426502</c:v>
                </c:pt>
                <c:pt idx="23">
                  <c:v>135141.34503139078</c:v>
                </c:pt>
                <c:pt idx="24">
                  <c:v>127428.56180427369</c:v>
                </c:pt>
                <c:pt idx="25">
                  <c:v>116580.4391019013</c:v>
                </c:pt>
                <c:pt idx="26">
                  <c:v>103825.73021069373</c:v>
                </c:pt>
                <c:pt idx="27">
                  <c:v>93774.267897335187</c:v>
                </c:pt>
                <c:pt idx="28">
                  <c:v>83710.445308795272</c:v>
                </c:pt>
                <c:pt idx="29">
                  <c:v>74361.89520414306</c:v>
                </c:pt>
                <c:pt idx="30">
                  <c:v>67978.752477802205</c:v>
                </c:pt>
                <c:pt idx="31">
                  <c:v>62902.768231273265</c:v>
                </c:pt>
                <c:pt idx="32">
                  <c:v>59171.170054451264</c:v>
                </c:pt>
                <c:pt idx="33">
                  <c:v>56775.431594793918</c:v>
                </c:pt>
                <c:pt idx="34">
                  <c:v>53699.339462800366</c:v>
                </c:pt>
              </c:numCache>
            </c:numRef>
          </c:yVal>
          <c:smooth val="1"/>
          <c:extLst>
            <c:ext xmlns:c16="http://schemas.microsoft.com/office/drawing/2014/chart" uri="{C3380CC4-5D6E-409C-BE32-E72D297353CC}">
              <c16:uniqueId val="{00000004-49EA-4F0A-906B-8F8EB11B9249}"/>
            </c:ext>
          </c:extLst>
        </c:ser>
        <c:ser>
          <c:idx val="5"/>
          <c:order val="5"/>
          <c:tx>
            <c:strRef>
              <c:f>'Mkt Pen Veh-Mi'!$AC$7</c:f>
              <c:strCache>
                <c:ptCount val="1"/>
                <c:pt idx="0">
                  <c:v>PHEV</c:v>
                </c:pt>
              </c:strCache>
            </c:strRef>
          </c:tx>
          <c:spPr>
            <a:ln w="19050" cap="rnd">
              <a:solidFill>
                <a:schemeClr val="accent6"/>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Veh-Mi'!$AC$18:$AC$52</c:f>
              <c:numCache>
                <c:formatCode>#,##0</c:formatCode>
                <c:ptCount val="35"/>
                <c:pt idx="0">
                  <c:v>0</c:v>
                </c:pt>
                <c:pt idx="1">
                  <c:v>0</c:v>
                </c:pt>
                <c:pt idx="2">
                  <c:v>0</c:v>
                </c:pt>
                <c:pt idx="3">
                  <c:v>0</c:v>
                </c:pt>
                <c:pt idx="4">
                  <c:v>0</c:v>
                </c:pt>
                <c:pt idx="5">
                  <c:v>0</c:v>
                </c:pt>
                <c:pt idx="6">
                  <c:v>0</c:v>
                </c:pt>
                <c:pt idx="7">
                  <c:v>0</c:v>
                </c:pt>
                <c:pt idx="8">
                  <c:v>0</c:v>
                </c:pt>
                <c:pt idx="9">
                  <c:v>0</c:v>
                </c:pt>
                <c:pt idx="10">
                  <c:v>172364.10876320774</c:v>
                </c:pt>
                <c:pt idx="11">
                  <c:v>168119.7439323382</c:v>
                </c:pt>
                <c:pt idx="12">
                  <c:v>166062.23600086672</c:v>
                </c:pt>
                <c:pt idx="13">
                  <c:v>165946.65011688904</c:v>
                </c:pt>
                <c:pt idx="14">
                  <c:v>164409.73144796496</c:v>
                </c:pt>
                <c:pt idx="15">
                  <c:v>161569.0733928206</c:v>
                </c:pt>
                <c:pt idx="16">
                  <c:v>156176.28206510894</c:v>
                </c:pt>
                <c:pt idx="17">
                  <c:v>149384.00802556062</c:v>
                </c:pt>
                <c:pt idx="18">
                  <c:v>144533.9181757624</c:v>
                </c:pt>
                <c:pt idx="19">
                  <c:v>136311.08551885892</c:v>
                </c:pt>
                <c:pt idx="20">
                  <c:v>127032.63887634176</c:v>
                </c:pt>
                <c:pt idx="21">
                  <c:v>122772.48096216643</c:v>
                </c:pt>
                <c:pt idx="22">
                  <c:v>117156.51814293535</c:v>
                </c:pt>
                <c:pt idx="23">
                  <c:v>111172.18833577201</c:v>
                </c:pt>
                <c:pt idx="24">
                  <c:v>104422.06609150772</c:v>
                </c:pt>
                <c:pt idx="25">
                  <c:v>95916.479665709368</c:v>
                </c:pt>
                <c:pt idx="26">
                  <c:v>86694.919375793543</c:v>
                </c:pt>
                <c:pt idx="27">
                  <c:v>77346.086762091756</c:v>
                </c:pt>
                <c:pt idx="28">
                  <c:v>65949.702831522183</c:v>
                </c:pt>
                <c:pt idx="29">
                  <c:v>57861.349596535671</c:v>
                </c:pt>
                <c:pt idx="30">
                  <c:v>53042.838897907612</c:v>
                </c:pt>
                <c:pt idx="31">
                  <c:v>50922.399876254778</c:v>
                </c:pt>
                <c:pt idx="32">
                  <c:v>49527.081010050315</c:v>
                </c:pt>
                <c:pt idx="33">
                  <c:v>48264.899929921827</c:v>
                </c:pt>
                <c:pt idx="34">
                  <c:v>47132.254517581903</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Diesel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1.1490852592751892E-2</c:v>
                </c:pt>
                <c:pt idx="7">
                  <c:v>2.018801637460195E-2</c:v>
                </c:pt>
                <c:pt idx="8">
                  <c:v>7.1908040296488659E-2</c:v>
                </c:pt>
                <c:pt idx="9">
                  <c:v>0.10158603616899795</c:v>
                </c:pt>
                <c:pt idx="10">
                  <c:v>0.14360818823175073</c:v>
                </c:pt>
                <c:pt idx="11">
                  <c:v>0.1951250032660527</c:v>
                </c:pt>
                <c:pt idx="12">
                  <c:v>0.30968106025563347</c:v>
                </c:pt>
                <c:pt idx="13">
                  <c:v>0.39256506972704264</c:v>
                </c:pt>
                <c:pt idx="14">
                  <c:v>0.42623539908687857</c:v>
                </c:pt>
                <c:pt idx="15">
                  <c:v>0.4688396005910983</c:v>
                </c:pt>
                <c:pt idx="16">
                  <c:v>0.48381591036702959</c:v>
                </c:pt>
                <c:pt idx="17">
                  <c:v>0.48262024839973305</c:v>
                </c:pt>
                <c:pt idx="18">
                  <c:v>0.47510472944987214</c:v>
                </c:pt>
                <c:pt idx="19">
                  <c:v>0.45503979756384172</c:v>
                </c:pt>
                <c:pt idx="20">
                  <c:v>0.4402742039990506</c:v>
                </c:pt>
                <c:pt idx="21">
                  <c:v>0.42980483882952186</c:v>
                </c:pt>
                <c:pt idx="22">
                  <c:v>0.4087477375552564</c:v>
                </c:pt>
                <c:pt idx="23">
                  <c:v>0.40570513512591766</c:v>
                </c:pt>
                <c:pt idx="24">
                  <c:v>0.39464398549946345</c:v>
                </c:pt>
                <c:pt idx="25">
                  <c:v>0.38030807963114693</c:v>
                </c:pt>
                <c:pt idx="26">
                  <c:v>0.36451405533784587</c:v>
                </c:pt>
                <c:pt idx="27">
                  <c:v>0.3489944042435198</c:v>
                </c:pt>
                <c:pt idx="28">
                  <c:v>0.33973985353866903</c:v>
                </c:pt>
                <c:pt idx="29">
                  <c:v>0.32956190604654828</c:v>
                </c:pt>
                <c:pt idx="30">
                  <c:v>0.31048540378183559</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3.5949004499066855E-3</c:v>
                </c:pt>
                <c:pt idx="7">
                  <c:v>9.7875156490469344E-3</c:v>
                </c:pt>
                <c:pt idx="8">
                  <c:v>2.9954149385067914E-2</c:v>
                </c:pt>
                <c:pt idx="9">
                  <c:v>5.3977224933715831E-2</c:v>
                </c:pt>
                <c:pt idx="10">
                  <c:v>8.7927545654711364E-2</c:v>
                </c:pt>
                <c:pt idx="11">
                  <c:v>0.12368107615372415</c:v>
                </c:pt>
                <c:pt idx="12">
                  <c:v>0.16981908567668763</c:v>
                </c:pt>
                <c:pt idx="13">
                  <c:v>0.20353070720508437</c:v>
                </c:pt>
                <c:pt idx="14">
                  <c:v>0.22288027592032328</c:v>
                </c:pt>
                <c:pt idx="15">
                  <c:v>0.2654062630039975</c:v>
                </c:pt>
                <c:pt idx="16">
                  <c:v>0.30171775844830256</c:v>
                </c:pt>
                <c:pt idx="17">
                  <c:v>0.32025976621857177</c:v>
                </c:pt>
                <c:pt idx="18">
                  <c:v>0.34181680717467133</c:v>
                </c:pt>
                <c:pt idx="19">
                  <c:v>0.36668267239899899</c:v>
                </c:pt>
                <c:pt idx="20">
                  <c:v>0.38840517073085484</c:v>
                </c:pt>
                <c:pt idx="21">
                  <c:v>0.40163208803988454</c:v>
                </c:pt>
                <c:pt idx="22">
                  <c:v>0.41439621801009796</c:v>
                </c:pt>
                <c:pt idx="23">
                  <c:v>0.42996303814216097</c:v>
                </c:pt>
                <c:pt idx="24">
                  <c:v>0.43299454854714237</c:v>
                </c:pt>
                <c:pt idx="25">
                  <c:v>0.42800938376999553</c:v>
                </c:pt>
                <c:pt idx="26">
                  <c:v>0.41575077989433118</c:v>
                </c:pt>
                <c:pt idx="27">
                  <c:v>0.40174710309573103</c:v>
                </c:pt>
                <c:pt idx="28">
                  <c:v>0.38609662042567905</c:v>
                </c:pt>
                <c:pt idx="29">
                  <c:v>0.37627020600837252</c:v>
                </c:pt>
                <c:pt idx="30">
                  <c:v>0.35439895455551396</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3.9412428691516958E-5</c:v>
                </c:pt>
                <c:pt idx="17">
                  <c:v>1.1263642842469581E-4</c:v>
                </c:pt>
                <c:pt idx="18">
                  <c:v>3.8128411604135552E-4</c:v>
                </c:pt>
                <c:pt idx="19">
                  <c:v>1.2918609328981469E-3</c:v>
                </c:pt>
                <c:pt idx="20">
                  <c:v>4.295263599151989E-3</c:v>
                </c:pt>
                <c:pt idx="21">
                  <c:v>1.2596850976568999E-2</c:v>
                </c:pt>
                <c:pt idx="22">
                  <c:v>3.0491822195559265E-2</c:v>
                </c:pt>
                <c:pt idx="23">
                  <c:v>5.4395598027954156E-2</c:v>
                </c:pt>
                <c:pt idx="24">
                  <c:v>7.4979532562620466E-2</c:v>
                </c:pt>
                <c:pt idx="25">
                  <c:v>9.9300918283062312E-2</c:v>
                </c:pt>
                <c:pt idx="26">
                  <c:v>0.1210885697380015</c:v>
                </c:pt>
                <c:pt idx="27">
                  <c:v>0.14649909313840709</c:v>
                </c:pt>
                <c:pt idx="28">
                  <c:v>0.16429934312867442</c:v>
                </c:pt>
                <c:pt idx="29">
                  <c:v>0.17874059345524043</c:v>
                </c:pt>
                <c:pt idx="30">
                  <c:v>0.21001655269062194</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7.6467741918628057E-9</c:v>
                </c:pt>
                <c:pt idx="9">
                  <c:v>4.3282520009958312E-8</c:v>
                </c:pt>
                <c:pt idx="10">
                  <c:v>1.408600105273954E-6</c:v>
                </c:pt>
                <c:pt idx="11">
                  <c:v>8.1340957339805612E-6</c:v>
                </c:pt>
                <c:pt idx="12">
                  <c:v>4.7336495509621428E-5</c:v>
                </c:pt>
                <c:pt idx="13">
                  <c:v>1.6395006739474145E-4</c:v>
                </c:pt>
                <c:pt idx="14">
                  <c:v>3.0279333964734062E-4</c:v>
                </c:pt>
                <c:pt idx="15">
                  <c:v>5.1698926714587544E-4</c:v>
                </c:pt>
                <c:pt idx="16">
                  <c:v>9.8951503702951558E-4</c:v>
                </c:pt>
                <c:pt idx="17">
                  <c:v>1.3470983064514954E-3</c:v>
                </c:pt>
                <c:pt idx="18">
                  <c:v>1.7940244236302847E-3</c:v>
                </c:pt>
                <c:pt idx="19">
                  <c:v>2.4047010197414719E-3</c:v>
                </c:pt>
                <c:pt idx="20">
                  <c:v>3.1884158375827323E-3</c:v>
                </c:pt>
                <c:pt idx="21">
                  <c:v>4.353016150594277E-3</c:v>
                </c:pt>
                <c:pt idx="22">
                  <c:v>6.1100461255970441E-3</c:v>
                </c:pt>
                <c:pt idx="23">
                  <c:v>8.1505084399600258E-3</c:v>
                </c:pt>
                <c:pt idx="24">
                  <c:v>1.0789492680884227E-2</c:v>
                </c:pt>
                <c:pt idx="25">
                  <c:v>1.4236848697315967E-2</c:v>
                </c:pt>
                <c:pt idx="26">
                  <c:v>1.7828130318432448E-2</c:v>
                </c:pt>
                <c:pt idx="27">
                  <c:v>2.1788628121040831E-2</c:v>
                </c:pt>
                <c:pt idx="28">
                  <c:v>2.6125285125800028E-2</c:v>
                </c:pt>
                <c:pt idx="29">
                  <c:v>3.0166096810981112E-2</c:v>
                </c:pt>
                <c:pt idx="30">
                  <c:v>3.6406991130731217E-2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PHEV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8.2903266237463794E-7</c:v>
                </c:pt>
                <c:pt idx="7">
                  <c:v>9.5681691483667361E-6</c:v>
                </c:pt>
                <c:pt idx="8">
                  <c:v>3.6875335015479444E-5</c:v>
                </c:pt>
                <c:pt idx="9">
                  <c:v>7.6115518618522529E-5</c:v>
                </c:pt>
                <c:pt idx="10">
                  <c:v>1.5740384190797167E-4</c:v>
                </c:pt>
                <c:pt idx="11">
                  <c:v>2.7869213971430602E-4</c:v>
                </c:pt>
                <c:pt idx="12">
                  <c:v>5.3116927530869247E-4</c:v>
                </c:pt>
                <c:pt idx="13">
                  <c:v>8.6891910397316309E-4</c:v>
                </c:pt>
                <c:pt idx="14">
                  <c:v>1.1727201656185982E-3</c:v>
                </c:pt>
                <c:pt idx="15">
                  <c:v>1.9276406405269936E-3</c:v>
                </c:pt>
                <c:pt idx="16">
                  <c:v>2.8616609419051782E-3</c:v>
                </c:pt>
                <c:pt idx="17">
                  <c:v>3.446941958371562E-3</c:v>
                </c:pt>
                <c:pt idx="18">
                  <c:v>4.3769078015993643E-3</c:v>
                </c:pt>
                <c:pt idx="19">
                  <c:v>5.6308155331856622E-3</c:v>
                </c:pt>
                <c:pt idx="20">
                  <c:v>7.5295407553626348E-3</c:v>
                </c:pt>
                <c:pt idx="21">
                  <c:v>1.069626482712133E-2</c:v>
                </c:pt>
                <c:pt idx="22">
                  <c:v>1.571914822473509E-2</c:v>
                </c:pt>
                <c:pt idx="23">
                  <c:v>2.2554188952855138E-2</c:v>
                </c:pt>
                <c:pt idx="24">
                  <c:v>3.3766529516971247E-2</c:v>
                </c:pt>
                <c:pt idx="25">
                  <c:v>4.7280602325600316E-2</c:v>
                </c:pt>
                <c:pt idx="26">
                  <c:v>5.919377910665817E-2</c:v>
                </c:pt>
                <c:pt idx="27">
                  <c:v>6.7134471607178323E-2</c:v>
                </c:pt>
                <c:pt idx="28">
                  <c:v>7.2202302460494194E-2</c:v>
                </c:pt>
                <c:pt idx="29">
                  <c:v>7.7649622687103834E-2</c:v>
                </c:pt>
                <c:pt idx="30">
                  <c:v>8.2899070255642665E-2</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Diesel</a:t>
            </a:r>
            <a:r>
              <a:rPr lang="en-US" baseline="0"/>
              <a:t> Market</a:t>
            </a:r>
            <a:r>
              <a:rPr lang="en-US"/>
              <a:t> New Vehicle Mile Shares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5"/>
          <c:order val="3"/>
          <c:tx>
            <c:strRef>
              <c:f>'Mkt Pen Veh-Mi (2)'!$I$7</c:f>
              <c:strCache>
                <c:ptCount val="1"/>
                <c:pt idx="0">
                  <c:v>Adv Conv</c:v>
                </c:pt>
              </c:strCache>
            </c:strRef>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(2)'!$I$9:$I$52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1.6629976085588985E-2</c:v>
                </c:pt>
                <c:pt idx="20">
                  <c:v>3.2109572905251543E-2</c:v>
                </c:pt>
                <c:pt idx="21">
                  <c:v>9.9449479195074825E-2</c:v>
                </c:pt>
                <c:pt idx="22">
                  <c:v>0.15208690443627923</c:v>
                </c:pt>
                <c:pt idx="23">
                  <c:v>0.21701851006391834</c:v>
                </c:pt>
                <c:pt idx="24">
                  <c:v>0.28301018801046424</c:v>
                </c:pt>
                <c:pt idx="25">
                  <c:v>0.37950827438935797</c:v>
                </c:pt>
                <c:pt idx="26">
                  <c:v>0.42488433839196499</c:v>
                </c:pt>
                <c:pt idx="27">
                  <c:v>0.4395940652797975</c:v>
                </c:pt>
                <c:pt idx="28">
                  <c:v>0.45252319511014705</c:v>
                </c:pt>
                <c:pt idx="29">
                  <c:v>0.4545047628919211</c:v>
                </c:pt>
                <c:pt idx="30">
                  <c:v>0.45150147307814831</c:v>
                </c:pt>
                <c:pt idx="31">
                  <c:v>0.44361748933341433</c:v>
                </c:pt>
                <c:pt idx="32">
                  <c:v>0.43125718972696186</c:v>
                </c:pt>
                <c:pt idx="33">
                  <c:v>0.42029725540226054</c:v>
                </c:pt>
                <c:pt idx="34">
                  <c:v>0.40718048040330818</c:v>
                </c:pt>
                <c:pt idx="35">
                  <c:v>0.38626718646532748</c:v>
                </c:pt>
                <c:pt idx="36">
                  <c:v>0.37129397245104084</c:v>
                </c:pt>
                <c:pt idx="37">
                  <c:v>0.35360299937580342</c:v>
                </c:pt>
                <c:pt idx="38">
                  <c:v>0.3348736896532189</c:v>
                </c:pt>
                <c:pt idx="39">
                  <c:v>0.32041204956252572</c:v>
                </c:pt>
                <c:pt idx="40">
                  <c:v>0.3077199247977761</c:v>
                </c:pt>
                <c:pt idx="41">
                  <c:v>0.29975438617640759</c:v>
                </c:pt>
                <c:pt idx="42">
                  <c:v>0.29177361042156752</c:v>
                </c:pt>
                <c:pt idx="43">
                  <c:v>0.27928407861470372</c:v>
                </c:pt>
              </c:numCache>
            </c:numRef>
          </c:val>
          <c:extLst>
            <c:ext xmlns:c16="http://schemas.microsoft.com/office/drawing/2014/chart" uri="{C3380CC4-5D6E-409C-BE32-E72D297353CC}">
              <c16:uniqueId val="{00000003-DB39-4576-9B96-0006C135E654}"/>
            </c:ext>
          </c:extLst>
        </c:ser>
        <c:ser>
          <c:idx val="6"/>
          <c:order val="4"/>
          <c:tx>
            <c:strRef>
              <c:f>'Mkt Pen Veh-Mi (2)'!$J$7</c:f>
              <c:strCache>
                <c:ptCount val="1"/>
                <c:pt idx="0">
                  <c:v>HEV</c:v>
                </c:pt>
              </c:strCache>
            </c:strRef>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(2)'!$J$9:$J$52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7.639021305291871E-3</c:v>
                </c:pt>
                <c:pt idx="20">
                  <c:v>2.0031741578717992E-2</c:v>
                </c:pt>
                <c:pt idx="21">
                  <c:v>5.4413283729623223E-2</c:v>
                </c:pt>
                <c:pt idx="22">
                  <c:v>9.9281528761153676E-2</c:v>
                </c:pt>
                <c:pt idx="23">
                  <c:v>0.15505135355690924</c:v>
                </c:pt>
                <c:pt idx="24">
                  <c:v>0.20642972784212263</c:v>
                </c:pt>
                <c:pt idx="25">
                  <c:v>0.26167578544773151</c:v>
                </c:pt>
                <c:pt idx="26">
                  <c:v>0.29719440788158102</c:v>
                </c:pt>
                <c:pt idx="27">
                  <c:v>0.31391890092466601</c:v>
                </c:pt>
                <c:pt idx="28">
                  <c:v>0.34331151183801528</c:v>
                </c:pt>
                <c:pt idx="29">
                  <c:v>0.36147763042938375</c:v>
                </c:pt>
                <c:pt idx="30">
                  <c:v>0.36983382766070527</c:v>
                </c:pt>
                <c:pt idx="31">
                  <c:v>0.37884998160534783</c:v>
                </c:pt>
                <c:pt idx="32">
                  <c:v>0.38876399703559106</c:v>
                </c:pt>
                <c:pt idx="33">
                  <c:v>0.39465825917849617</c:v>
                </c:pt>
                <c:pt idx="34">
                  <c:v>0.39401447195850203</c:v>
                </c:pt>
                <c:pt idx="35">
                  <c:v>0.3887327372191885</c:v>
                </c:pt>
                <c:pt idx="36">
                  <c:v>0.38187940044748819</c:v>
                </c:pt>
                <c:pt idx="37">
                  <c:v>0.36957810242478167</c:v>
                </c:pt>
                <c:pt idx="38">
                  <c:v>0.354614631932399</c:v>
                </c:pt>
                <c:pt idx="39">
                  <c:v>0.34157867488576849</c:v>
                </c:pt>
                <c:pt idx="40">
                  <c:v>0.3292530374450201</c:v>
                </c:pt>
                <c:pt idx="41">
                  <c:v>0.31872746512596495</c:v>
                </c:pt>
                <c:pt idx="42">
                  <c:v>0.31088773177190304</c:v>
                </c:pt>
                <c:pt idx="43">
                  <c:v>0.29728282157234948</c:v>
                </c:pt>
              </c:numCache>
            </c:numRef>
          </c:val>
          <c:extLst>
            <c:ext xmlns:c16="http://schemas.microsoft.com/office/drawing/2014/chart" uri="{C3380CC4-5D6E-409C-BE32-E72D297353CC}">
              <c16:uniqueId val="{00000004-DB39-4576-9B96-0006C135E654}"/>
            </c:ext>
          </c:extLst>
        </c:ser>
        <c:ser>
          <c:idx val="7"/>
          <c:order val="5"/>
          <c:tx>
            <c:strRef>
              <c:f>'Mkt Pen Veh-Mi (2)'!$K$7</c:f>
              <c:strCache>
                <c:ptCount val="1"/>
                <c:pt idx="0">
                  <c:v>BEV</c:v>
                </c:pt>
              </c:strCache>
            </c:strRef>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(2)'!$K$9:$K$52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3.9061156731139681E-5</c:v>
                </c:pt>
                <c:pt idx="30">
                  <c:v>1.1165905395185193E-4</c:v>
                </c:pt>
                <c:pt idx="31">
                  <c:v>3.7788824014197748E-4</c:v>
                </c:pt>
                <c:pt idx="32">
                  <c:v>1.2807022256318143E-3</c:v>
                </c:pt>
                <c:pt idx="33">
                  <c:v>4.2584647588188645E-3</c:v>
                </c:pt>
                <c:pt idx="34">
                  <c:v>1.2491843973946112E-2</c:v>
                </c:pt>
                <c:pt idx="35">
                  <c:v>3.024353081092376E-2</c:v>
                </c:pt>
                <c:pt idx="36">
                  <c:v>5.3930110384135081E-2</c:v>
                </c:pt>
                <c:pt idx="37">
                  <c:v>7.3620973470608031E-2</c:v>
                </c:pt>
                <c:pt idx="38">
                  <c:v>9.341882353145245E-2</c:v>
                </c:pt>
                <c:pt idx="39">
                  <c:v>0.10559653060299821</c:v>
                </c:pt>
                <c:pt idx="40">
                  <c:v>0.11880952113574057</c:v>
                </c:pt>
                <c:pt idx="41">
                  <c:v>0.12686518399338706</c:v>
                </c:pt>
                <c:pt idx="42">
                  <c:v>0.13267566125270838</c:v>
                </c:pt>
                <c:pt idx="43">
                  <c:v>0.14577720715110526</c:v>
                </c:pt>
              </c:numCache>
            </c:numRef>
          </c:val>
          <c:extLst>
            <c:ext xmlns:c16="http://schemas.microsoft.com/office/drawing/2014/chart" uri="{C3380CC4-5D6E-409C-BE32-E72D297353CC}">
              <c16:uniqueId val="{00000005-DB39-4576-9B96-0006C135E654}"/>
            </c:ext>
          </c:extLst>
        </c:ser>
        <c:ser>
          <c:idx val="10"/>
          <c:order val="9"/>
          <c:tx>
            <c:strRef>
              <c:f>'Mkt Pen Veh-Mi (2)'!$L$7</c:f>
              <c:strCache>
                <c:ptCount val="1"/>
                <c:pt idx="0">
                  <c:v>FCEV</c:v>
                </c:pt>
              </c:strCache>
            </c:strRef>
          </c:tx>
          <c:spPr>
            <a:solidFill>
              <a:schemeClr val="accent5">
                <a:lumMod val="60000"/>
                <a:alpha val="85000"/>
              </a:schemeClr>
            </a:solidFill>
            <a:ln>
              <a:noFill/>
            </a:ln>
            <a:effectLst>
              <a:innerShdw dist="12700" dir="16200000">
                <a:schemeClr val="lt1"/>
              </a:innerShdw>
            </a:effectLst>
          </c:spPr>
          <c:val>
            <c:numRef>
              <c:f>'Mkt Pen Veh-Mi (2)'!$L$9:$L$52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5.3042615697323289E-8</c:v>
                </c:pt>
                <c:pt idx="22">
                  <c:v>3.002335387048545E-7</c:v>
                </c:pt>
                <c:pt idx="23">
                  <c:v>8.9491185394571556E-6</c:v>
                </c:pt>
                <c:pt idx="24">
                  <c:v>4.9771161311452858E-5</c:v>
                </c:pt>
                <c:pt idx="25">
                  <c:v>2.789152081709949E-4</c:v>
                </c:pt>
                <c:pt idx="26">
                  <c:v>9.4359407085530629E-4</c:v>
                </c:pt>
                <c:pt idx="27">
                  <c:v>1.7042251765676142E-3</c:v>
                </c:pt>
                <c:pt idx="28">
                  <c:v>2.8325639694115191E-3</c:v>
                </c:pt>
                <c:pt idx="29">
                  <c:v>5.1767267350854105E-3</c:v>
                </c:pt>
                <c:pt idx="30">
                  <c:v>6.8510402760186256E-3</c:v>
                </c:pt>
                <c:pt idx="31">
                  <c:v>8.7864480874662969E-3</c:v>
                </c:pt>
                <c:pt idx="32">
                  <c:v>1.1145030633332401E-2</c:v>
                </c:pt>
                <c:pt idx="33">
                  <c:v>1.3933931820939372E-2</c:v>
                </c:pt>
                <c:pt idx="34">
                  <c:v>1.7403953215559955E-2</c:v>
                </c:pt>
                <c:pt idx="35">
                  <c:v>2.1756118965686234E-2</c:v>
                </c:pt>
                <c:pt idx="36">
                  <c:v>2.6212010042166268E-2</c:v>
                </c:pt>
                <c:pt idx="37">
                  <c:v>3.0975092994189123E-2</c:v>
                </c:pt>
                <c:pt idx="38">
                  <c:v>3.6307492914270038E-2</c:v>
                </c:pt>
                <c:pt idx="39">
                  <c:v>4.1563387118590818E-2</c:v>
                </c:pt>
                <c:pt idx="40">
                  <c:v>4.7003650336538375E-2</c:v>
                </c:pt>
                <c:pt idx="41">
                  <c:v>5.3015533730631101E-2</c:v>
                </c:pt>
                <c:pt idx="42">
                  <c:v>5.8736965595932167E-2</c:v>
                </c:pt>
                <c:pt idx="43">
                  <c:v>6.7047976208428256E-2</c:v>
                </c:pt>
              </c:numCache>
            </c:numRef>
          </c:val>
          <c:extLst>
            <c:ext xmlns:c16="http://schemas.microsoft.com/office/drawing/2014/chart" uri="{C3380CC4-5D6E-409C-BE32-E72D297353CC}">
              <c16:uniqueId val="{00000002-7AC4-4145-B2A2-72F7384C5F7D}"/>
            </c:ext>
          </c:extLst>
        </c:ser>
        <c:ser>
          <c:idx val="11"/>
          <c:order val="10"/>
          <c:tx>
            <c:strRef>
              <c:f>'Mkt Pen Veh-Mi (2)'!$M$7</c:f>
              <c:strCache>
                <c:ptCount val="1"/>
                <c:pt idx="0">
                  <c:v>PHEV</c:v>
                </c:pt>
              </c:strCache>
            </c:strRef>
          </c:tx>
          <c:spPr>
            <a:solidFill>
              <a:schemeClr val="accent6">
                <a:lumMod val="60000"/>
                <a:alpha val="85000"/>
              </a:schemeClr>
            </a:solidFill>
            <a:ln>
              <a:noFill/>
            </a:ln>
            <a:effectLst>
              <a:innerShdw dist="12700" dir="16200000">
                <a:schemeClr val="lt1"/>
              </a:innerShdw>
            </a:effectLst>
          </c:spPr>
          <c:val>
            <c:numRef>
              <c:f>'Mkt Pen Veh-Mi (2)'!$M$9:$M$52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4.900613153331382E-6</c:v>
                </c:pt>
                <c:pt idx="20">
                  <c:v>5.5167017596887247E-5</c:v>
                </c:pt>
                <c:pt idx="21">
                  <c:v>2.1000943081112992E-4</c:v>
                </c:pt>
                <c:pt idx="22">
                  <c:v>4.3318523230367266E-4</c:v>
                </c:pt>
                <c:pt idx="23">
                  <c:v>8.8751313712128821E-4</c:v>
                </c:pt>
                <c:pt idx="24">
                  <c:v>1.5442403502611778E-3</c:v>
                </c:pt>
                <c:pt idx="25">
                  <c:v>2.844984913185284E-3</c:v>
                </c:pt>
                <c:pt idx="26">
                  <c:v>4.4515924292693214E-3</c:v>
                </c:pt>
                <c:pt idx="27">
                  <c:v>5.8129436267456581E-3</c:v>
                </c:pt>
                <c:pt idx="28">
                  <c:v>9.0113361862961764E-3</c:v>
                </c:pt>
                <c:pt idx="29">
                  <c:v>1.246709984949944E-2</c:v>
                </c:pt>
                <c:pt idx="30">
                  <c:v>1.4513325800056489E-2</c:v>
                </c:pt>
                <c:pt idx="31">
                  <c:v>1.7585948477042972E-2</c:v>
                </c:pt>
                <c:pt idx="32">
                  <c:v>2.1468386055927914E-2</c:v>
                </c:pt>
                <c:pt idx="33">
                  <c:v>2.6964521144464605E-2</c:v>
                </c:pt>
                <c:pt idx="34">
                  <c:v>3.5184980916712863E-2</c:v>
                </c:pt>
                <c:pt idx="35">
                  <c:v>4.6736329140355519E-2</c:v>
                </c:pt>
                <c:pt idx="36">
                  <c:v>5.9827038092689314E-2</c:v>
                </c:pt>
                <c:pt idx="37">
                  <c:v>7.6371480825916799E-2</c:v>
                </c:pt>
                <c:pt idx="38">
                  <c:v>9.3821744029780996E-2</c:v>
                </c:pt>
                <c:pt idx="39">
                  <c:v>0.10767993116707035</c:v>
                </c:pt>
                <c:pt idx="40">
                  <c:v>0.11724285350901545</c:v>
                </c:pt>
                <c:pt idx="41">
                  <c:v>0.12263818699396065</c:v>
                </c:pt>
                <c:pt idx="42">
                  <c:v>0.12852946558006351</c:v>
                </c:pt>
                <c:pt idx="43">
                  <c:v>0.13399846270748633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extLst>
          <c:ext xmlns:c15="http://schemas.microsoft.com/office/drawing/2012/chart" uri="{02D57815-91ED-43cb-92C2-25804820EDAC}">
            <c15:filteredAreaSeries>
              <c15:ser>
                <c:idx val="1"/>
                <c:order val="0"/>
                <c:tx>
                  <c:v>Gasoline A</c:v>
                </c:tx>
                <c:spPr>
                  <a:solidFill>
                    <a:schemeClr val="accent2">
                      <a:alpha val="85000"/>
                    </a:schemeClr>
                  </a:solidFill>
                  <a:ln>
                    <a:noFill/>
                  </a:ln>
                  <a:effectLst>
                    <a:innerShdw dist="12700" dir="16200000">
                      <a:schemeClr val="lt1"/>
                    </a:innerShdw>
                  </a:effectLst>
                </c:spPr>
                <c:cat>
                  <c:numRef>
                    <c:extLst>
                      <c:ex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c:ext uri="{02D57815-91ED-43cb-92C2-25804820EDAC}">
                        <c15:formulaRef>
                          <c15:sqref>'Mkt Pen Veh-Mi (2)'!$C$9:$C$52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DB39-4576-9B96-0006C135E654}"/>
                  </c:ext>
                </c:extLst>
              </c15:ser>
            </c15:filteredAreaSeries>
            <c15:filteredAreaSeries>
              <c15:ser>
                <c:idx val="2"/>
                <c:order val="1"/>
                <c:tx>
                  <c:v>Gasoline B</c:v>
                </c:tx>
                <c:spPr>
                  <a:solidFill>
                    <a:schemeClr val="accent3">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(2)'!$D$9:$D$52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1-DB39-4576-9B96-0006C135E654}"/>
                  </c:ext>
                </c:extLst>
              </c15:ser>
            </c15:filteredAreaSeries>
            <c15:filteredAreaSeries>
              <c15:ser>
                <c:idx val="3"/>
                <c:order val="2"/>
                <c:tx>
                  <c:v>Gasoline C</c:v>
                </c:tx>
                <c:spPr>
                  <a:solidFill>
                    <a:schemeClr val="accent4">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(2)'!$E$9:$E$52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2-DB39-4576-9B96-0006C135E654}"/>
                  </c:ext>
                </c:extLst>
              </c15:ser>
            </c15:filteredAreaSeries>
            <c15:filteredAreaSeries>
              <c15:ser>
                <c:idx val="0"/>
                <c:order val="6"/>
                <c:tx>
                  <c:v>Gasoline Base</c:v>
                </c:tx>
                <c:spPr>
                  <a:solidFill>
                    <a:schemeClr val="accent1">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(2)'!$B$9:$B$52</c15:sqref>
                        </c15:formulaRef>
                      </c:ext>
                    </c:extLst>
                    <c:numCache>
                      <c:formatCode>0.0%</c:formatCode>
                      <c:ptCount val="44"/>
                      <c:pt idx="0">
                        <c:v>7.400342734044256E-2</c:v>
                      </c:pt>
                      <c:pt idx="1">
                        <c:v>7.400342734044256E-2</c:v>
                      </c:pt>
                      <c:pt idx="2">
                        <c:v>7.400342734044256E-2</c:v>
                      </c:pt>
                      <c:pt idx="3">
                        <c:v>7.400342734044256E-2</c:v>
                      </c:pt>
                      <c:pt idx="4">
                        <c:v>7.400342734044256E-2</c:v>
                      </c:pt>
                      <c:pt idx="5">
                        <c:v>7.400342734044256E-2</c:v>
                      </c:pt>
                      <c:pt idx="6">
                        <c:v>7.400342734044256E-2</c:v>
                      </c:pt>
                      <c:pt idx="7">
                        <c:v>7.400342734044256E-2</c:v>
                      </c:pt>
                      <c:pt idx="8">
                        <c:v>7.400342734044256E-2</c:v>
                      </c:pt>
                      <c:pt idx="9">
                        <c:v>7.400342734044256E-2</c:v>
                      </c:pt>
                      <c:pt idx="10">
                        <c:v>7.400342734044256E-2</c:v>
                      </c:pt>
                      <c:pt idx="11">
                        <c:v>7.400342734044256E-2</c:v>
                      </c:pt>
                      <c:pt idx="12">
                        <c:v>7.400342734044256E-2</c:v>
                      </c:pt>
                      <c:pt idx="13">
                        <c:v>7.400342734044256E-2</c:v>
                      </c:pt>
                      <c:pt idx="14">
                        <c:v>7.400342734044256E-2</c:v>
                      </c:pt>
                      <c:pt idx="15">
                        <c:v>7.400342734044256E-2</c:v>
                      </c:pt>
                      <c:pt idx="16">
                        <c:v>7.400342734044256E-2</c:v>
                      </c:pt>
                      <c:pt idx="17">
                        <c:v>7.400342734044256E-2</c:v>
                      </c:pt>
                      <c:pt idx="18">
                        <c:v>7.400342734044256E-2</c:v>
                      </c:pt>
                      <c:pt idx="19">
                        <c:v>7.400342734044256E-2</c:v>
                      </c:pt>
                      <c:pt idx="20">
                        <c:v>7.400342734044256E-2</c:v>
                      </c:pt>
                      <c:pt idx="21">
                        <c:v>7.400342734044256E-2</c:v>
                      </c:pt>
                      <c:pt idx="22">
                        <c:v>7.400342734044256E-2</c:v>
                      </c:pt>
                      <c:pt idx="23">
                        <c:v>7.400342734044256E-2</c:v>
                      </c:pt>
                      <c:pt idx="24">
                        <c:v>7.400342734044256E-2</c:v>
                      </c:pt>
                      <c:pt idx="25">
                        <c:v>7.400342734044256E-2</c:v>
                      </c:pt>
                      <c:pt idx="26">
                        <c:v>7.400342734044256E-2</c:v>
                      </c:pt>
                      <c:pt idx="27">
                        <c:v>7.400342734044256E-2</c:v>
                      </c:pt>
                      <c:pt idx="28">
                        <c:v>7.400342734044256E-2</c:v>
                      </c:pt>
                      <c:pt idx="29">
                        <c:v>7.400342734044256E-2</c:v>
                      </c:pt>
                      <c:pt idx="30">
                        <c:v>7.400342734044256E-2</c:v>
                      </c:pt>
                      <c:pt idx="31">
                        <c:v>7.400342734044256E-2</c:v>
                      </c:pt>
                      <c:pt idx="32">
                        <c:v>7.400342734044256E-2</c:v>
                      </c:pt>
                      <c:pt idx="33">
                        <c:v>7.400342734044256E-2</c:v>
                      </c:pt>
                      <c:pt idx="34">
                        <c:v>7.400342734044256E-2</c:v>
                      </c:pt>
                      <c:pt idx="35">
                        <c:v>7.400342734044256E-2</c:v>
                      </c:pt>
                      <c:pt idx="36">
                        <c:v>7.400342734044256E-2</c:v>
                      </c:pt>
                      <c:pt idx="37">
                        <c:v>7.400342734044256E-2</c:v>
                      </c:pt>
                      <c:pt idx="38">
                        <c:v>7.400342734044256E-2</c:v>
                      </c:pt>
                      <c:pt idx="39">
                        <c:v>7.400342734044256E-2</c:v>
                      </c:pt>
                      <c:pt idx="40">
                        <c:v>7.400342734044256E-2</c:v>
                      </c:pt>
                      <c:pt idx="41">
                        <c:v>7.400342734044256E-2</c:v>
                      </c:pt>
                      <c:pt idx="42">
                        <c:v>7.400342734044256E-2</c:v>
                      </c:pt>
                      <c:pt idx="43">
                        <c:v>7.400342734044256E-2</c:v>
                      </c:pt>
                    </c:numCache>
                  </c:numRef>
                </c:val>
                <c:extLst xmlns:c15="http://schemas.microsoft.com/office/drawing/2012/chart">
                  <c:ext xmlns:c16="http://schemas.microsoft.com/office/drawing/2014/chart" uri="{C3380CC4-5D6E-409C-BE32-E72D297353CC}">
                    <c16:uniqueId val="{00000007-DB39-4576-9B96-0006C135E654}"/>
                  </c:ext>
                </c:extLst>
              </c15:ser>
            </c15:filteredAreaSeries>
            <c15:filteredAreaSeries>
              <c15:ser>
                <c:idx val="8"/>
                <c:order val="7"/>
                <c:tx>
                  <c:v>Gasoline D</c:v>
                </c:tx>
                <c:spPr>
                  <a:solidFill>
                    <a:schemeClr val="accent3">
                      <a:lumMod val="60000"/>
                      <a:alpha val="85000"/>
                    </a:schemeClr>
                  </a:solidFill>
                  <a:ln>
                    <a:noFill/>
                  </a:ln>
                  <a:effectLst>
                    <a:innerShdw dist="12700" dir="16200000">
                      <a:schemeClr val="lt1"/>
                    </a:innerShdw>
                  </a:effectLst>
                </c:spPr>
                <c:val>
                  <c:numRef>
                    <c:extLst xmlns:c15="http://schemas.microsoft.com/office/drawing/2012/chart">
                      <c:ext xmlns:c15="http://schemas.microsoft.com/office/drawing/2012/chart" uri="{02D57815-91ED-43cb-92C2-25804820EDAC}">
                        <c15:formulaRef>
                          <c15:sqref>'Mkt Pen Veh-Mi (2)'!$F$9:$F$52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0-7AC4-4145-B2A2-72F7384C5F7D}"/>
                  </c:ext>
                </c:extLst>
              </c15:ser>
            </c15:filteredAreaSeries>
            <c15:filteredAreaSeries>
              <c15:ser>
                <c:idx val="9"/>
                <c:order val="8"/>
                <c:tx>
                  <c:v>Gasoline E</c:v>
                </c:tx>
                <c:spPr>
                  <a:solidFill>
                    <a:schemeClr val="accent4">
                      <a:lumMod val="60000"/>
                      <a:alpha val="85000"/>
                    </a:schemeClr>
                  </a:solidFill>
                  <a:ln>
                    <a:noFill/>
                  </a:ln>
                  <a:effectLst>
                    <a:innerShdw dist="12700" dir="16200000">
                      <a:schemeClr val="lt1"/>
                    </a:innerShdw>
                  </a:effectLst>
                </c:spPr>
                <c:val>
                  <c:numRef>
                    <c:extLst xmlns:c15="http://schemas.microsoft.com/office/drawing/2012/chart">
                      <c:ext xmlns:c15="http://schemas.microsoft.com/office/drawing/2012/chart" uri="{02D57815-91ED-43cb-92C2-25804820EDAC}">
                        <c15:formulaRef>
                          <c15:sqref>'Mkt Pen Veh-Mi (2)'!$G$9:$G$52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1-7AC4-4145-B2A2-72F7384C5F7D}"/>
                  </c:ext>
                </c:extLst>
              </c15:ser>
            </c15:filteredAreaSeries>
          </c:ext>
        </c:extLst>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General</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General</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t>Number of Stations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FuelAvail!$Q$7</c:f>
              <c:strCache>
                <c:ptCount val="1"/>
                <c:pt idx="0">
                  <c:v> Electric* </c:v>
                </c:pt>
              </c:strCache>
            </c:strRef>
          </c:tx>
          <c:spPr>
            <a:ln w="19050" cap="rnd">
              <a:solidFill>
                <a:schemeClr val="accent1"/>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FuelAvail!$Q$8:$Q$66</c:f>
              <c:numCache>
                <c:formatCode>#,##0</c:formatCode>
                <c:ptCount val="59"/>
                <c:pt idx="3">
                  <c:v>188</c:v>
                </c:pt>
                <c:pt idx="4">
                  <c:v>194</c:v>
                </c:pt>
                <c:pt idx="5">
                  <c:v>310</c:v>
                </c:pt>
                <c:pt idx="6">
                  <c:v>486</c:v>
                </c:pt>
                <c:pt idx="7">
                  <c:v>490</c:v>
                </c:pt>
                <c:pt idx="8">
                  <c:v>558</c:v>
                </c:pt>
                <c:pt idx="9">
                  <c:v>693</c:v>
                </c:pt>
                <c:pt idx="10">
                  <c:v>873</c:v>
                </c:pt>
                <c:pt idx="11">
                  <c:v>830</c:v>
                </c:pt>
                <c:pt idx="12">
                  <c:v>671</c:v>
                </c:pt>
                <c:pt idx="13">
                  <c:v>588</c:v>
                </c:pt>
                <c:pt idx="14">
                  <c:v>465</c:v>
                </c:pt>
                <c:pt idx="15">
                  <c:v>442</c:v>
                </c:pt>
                <c:pt idx="16">
                  <c:v>430</c:v>
                </c:pt>
                <c:pt idx="17">
                  <c:v>465</c:v>
                </c:pt>
                <c:pt idx="18">
                  <c:v>541</c:v>
                </c:pt>
                <c:pt idx="19">
                  <c:v>1697</c:v>
                </c:pt>
                <c:pt idx="20">
                  <c:v>6257.9439252336442</c:v>
                </c:pt>
                <c:pt idx="21">
                  <c:v>8513.1578947368434</c:v>
                </c:pt>
                <c:pt idx="22">
                  <c:v>10579.338842975207</c:v>
                </c:pt>
                <c:pt idx="23">
                  <c:v>12087.890625</c:v>
                </c:pt>
                <c:pt idx="24">
                  <c:v>15566.296296296297</c:v>
                </c:pt>
                <c:pt idx="25">
                  <c:v>17826.408450704228</c:v>
                </c:pt>
                <c:pt idx="26">
                  <c:v>20492.28187919463</c:v>
                </c:pt>
                <c:pt idx="27">
                  <c:v>25096.474358974359</c:v>
                </c:pt>
                <c:pt idx="28">
                  <c:v>30323</c:v>
                </c:pt>
                <c:pt idx="29">
                  <c:v>34275.135555555578</c:v>
                </c:pt>
                <c:pt idx="30">
                  <c:v>38227.271111111157</c:v>
                </c:pt>
                <c:pt idx="31">
                  <c:v>42179.406666666735</c:v>
                </c:pt>
                <c:pt idx="32">
                  <c:v>46131.542222222313</c:v>
                </c:pt>
                <c:pt idx="33">
                  <c:v>50083.677777777892</c:v>
                </c:pt>
                <c:pt idx="34">
                  <c:v>54035.81333333347</c:v>
                </c:pt>
                <c:pt idx="35">
                  <c:v>57987.948888889048</c:v>
                </c:pt>
                <c:pt idx="36">
                  <c:v>61940.084444444627</c:v>
                </c:pt>
                <c:pt idx="37">
                  <c:v>65892.220000000205</c:v>
                </c:pt>
                <c:pt idx="38">
                  <c:v>69844.355555555783</c:v>
                </c:pt>
                <c:pt idx="39">
                  <c:v>73796.491111111362</c:v>
                </c:pt>
                <c:pt idx="40">
                  <c:v>77748.62666666694</c:v>
                </c:pt>
                <c:pt idx="41">
                  <c:v>81700.762222222518</c:v>
                </c:pt>
                <c:pt idx="42">
                  <c:v>85652.897777778096</c:v>
                </c:pt>
                <c:pt idx="43">
                  <c:v>89605.033333333675</c:v>
                </c:pt>
                <c:pt idx="44">
                  <c:v>93557.168888889253</c:v>
                </c:pt>
                <c:pt idx="45">
                  <c:v>97509.304444444831</c:v>
                </c:pt>
                <c:pt idx="46">
                  <c:v>101461.44000000041</c:v>
                </c:pt>
                <c:pt idx="47">
                  <c:v>105413.57555555599</c:v>
                </c:pt>
                <c:pt idx="48">
                  <c:v>109365.71111111157</c:v>
                </c:pt>
                <c:pt idx="49">
                  <c:v>113317.84666666714</c:v>
                </c:pt>
                <c:pt idx="50">
                  <c:v>117269.98222222272</c:v>
                </c:pt>
                <c:pt idx="51">
                  <c:v>121222.1177777783</c:v>
                </c:pt>
                <c:pt idx="52">
                  <c:v>125174.25333333388</c:v>
                </c:pt>
                <c:pt idx="53">
                  <c:v>129126.38888888946</c:v>
                </c:pt>
                <c:pt idx="54">
                  <c:v>133078.52444444504</c:v>
                </c:pt>
                <c:pt idx="55">
                  <c:v>137030.66000000061</c:v>
                </c:pt>
                <c:pt idx="56">
                  <c:v>140982.79555555619</c:v>
                </c:pt>
                <c:pt idx="57">
                  <c:v>144934.93111111177</c:v>
                </c:pt>
                <c:pt idx="58">
                  <c:v>148887.06666666735</c:v>
                </c:pt>
              </c:numCache>
            </c:numRef>
          </c:yVal>
          <c:smooth val="0"/>
          <c:extLst>
            <c:ext xmlns:c16="http://schemas.microsoft.com/office/drawing/2014/chart" uri="{C3380CC4-5D6E-409C-BE32-E72D297353CC}">
              <c16:uniqueId val="{00000000-4288-41B5-A84B-D690018D9EF2}"/>
            </c:ext>
          </c:extLst>
        </c:ser>
        <c:ser>
          <c:idx val="1"/>
          <c:order val="1"/>
          <c:tx>
            <c:strRef>
              <c:f>FuelAvail!$U$7</c:f>
              <c:strCache>
                <c:ptCount val="1"/>
                <c:pt idx="0">
                  <c:v> Hydrogen </c:v>
                </c:pt>
              </c:strCache>
            </c:strRef>
          </c:tx>
          <c:spPr>
            <a:ln w="19050" cap="rnd">
              <a:solidFill>
                <a:schemeClr val="accent2"/>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FuelAvail!$U$8:$U$66</c:f>
              <c:numCache>
                <c:formatCode>#,##0</c:formatCode>
                <c:ptCount val="59"/>
                <c:pt idx="10">
                  <c:v>7</c:v>
                </c:pt>
                <c:pt idx="11">
                  <c:v>7</c:v>
                </c:pt>
                <c:pt idx="12">
                  <c:v>9</c:v>
                </c:pt>
                <c:pt idx="13">
                  <c:v>14</c:v>
                </c:pt>
                <c:pt idx="14">
                  <c:v>17</c:v>
                </c:pt>
                <c:pt idx="15">
                  <c:v>32</c:v>
                </c:pt>
                <c:pt idx="16">
                  <c:v>46</c:v>
                </c:pt>
                <c:pt idx="17">
                  <c:v>63</c:v>
                </c:pt>
                <c:pt idx="18">
                  <c:v>58</c:v>
                </c:pt>
                <c:pt idx="19">
                  <c:v>56</c:v>
                </c:pt>
                <c:pt idx="20">
                  <c:v>58</c:v>
                </c:pt>
                <c:pt idx="21">
                  <c:v>53</c:v>
                </c:pt>
                <c:pt idx="22">
                  <c:v>51</c:v>
                </c:pt>
                <c:pt idx="23">
                  <c:v>39</c:v>
                </c:pt>
                <c:pt idx="24">
                  <c:v>54</c:v>
                </c:pt>
                <c:pt idx="25">
                  <c:v>64</c:v>
                </c:pt>
                <c:pt idx="26">
                  <c:v>60</c:v>
                </c:pt>
                <c:pt idx="27">
                  <c:v>61</c:v>
                </c:pt>
                <c:pt idx="28">
                  <c:v>75</c:v>
                </c:pt>
                <c:pt idx="29">
                  <c:v>111</c:v>
                </c:pt>
                <c:pt idx="30">
                  <c:v>161</c:v>
                </c:pt>
                <c:pt idx="31">
                  <c:v>246</c:v>
                </c:pt>
                <c:pt idx="32">
                  <c:v>967</c:v>
                </c:pt>
                <c:pt idx="33">
                  <c:v>1975</c:v>
                </c:pt>
                <c:pt idx="34">
                  <c:v>3242.3900000000003</c:v>
                </c:pt>
                <c:pt idx="35">
                  <c:v>4626.9699999999993</c:v>
                </c:pt>
                <c:pt idx="36">
                  <c:v>6873.7499999999991</c:v>
                </c:pt>
                <c:pt idx="37">
                  <c:v>8874.9</c:v>
                </c:pt>
                <c:pt idx="38">
                  <c:v>11075.6</c:v>
                </c:pt>
                <c:pt idx="39">
                  <c:v>13478.789999999997</c:v>
                </c:pt>
                <c:pt idx="40">
                  <c:v>16001.890000000003</c:v>
                </c:pt>
                <c:pt idx="41">
                  <c:v>18199.889999999996</c:v>
                </c:pt>
                <c:pt idx="42">
                  <c:v>20480.889999999996</c:v>
                </c:pt>
                <c:pt idx="43">
                  <c:v>22921.889999999996</c:v>
                </c:pt>
                <c:pt idx="44">
                  <c:v>25534.889999999996</c:v>
                </c:pt>
                <c:pt idx="45">
                  <c:v>28238.889999999996</c:v>
                </c:pt>
                <c:pt idx="46">
                  <c:v>31005.889999999996</c:v>
                </c:pt>
                <c:pt idx="47">
                  <c:v>33834.89</c:v>
                </c:pt>
                <c:pt idx="48">
                  <c:v>36523.89</c:v>
                </c:pt>
                <c:pt idx="49">
                  <c:v>39429.890000000007</c:v>
                </c:pt>
                <c:pt idx="50">
                  <c:v>42341.890000000007</c:v>
                </c:pt>
                <c:pt idx="51">
                  <c:v>45272.890000000007</c:v>
                </c:pt>
                <c:pt idx="52">
                  <c:v>48191.890000000007</c:v>
                </c:pt>
                <c:pt idx="53">
                  <c:v>51068.890000000007</c:v>
                </c:pt>
                <c:pt idx="54">
                  <c:v>53824.890000000007</c:v>
                </c:pt>
                <c:pt idx="55">
                  <c:v>56484.890000000007</c:v>
                </c:pt>
                <c:pt idx="56">
                  <c:v>59039.890000000007</c:v>
                </c:pt>
                <c:pt idx="57">
                  <c:v>61442.890000000007</c:v>
                </c:pt>
                <c:pt idx="58">
                  <c:v>63797.890000000007</c:v>
                </c:pt>
              </c:numCache>
            </c:numRef>
          </c:yVal>
          <c:smooth val="0"/>
          <c:extLst>
            <c:ext xmlns:c16="http://schemas.microsoft.com/office/drawing/2014/chart" uri="{C3380CC4-5D6E-409C-BE32-E72D297353CC}">
              <c16:uniqueId val="{00000001-4288-41B5-A84B-D690018D9EF2}"/>
            </c:ext>
          </c:extLst>
        </c:ser>
        <c:ser>
          <c:idx val="2"/>
          <c:order val="2"/>
          <c:tx>
            <c:strRef>
              <c:f>FuelAvail!$Y$7</c:f>
              <c:strCache>
                <c:ptCount val="1"/>
                <c:pt idx="0">
                  <c:v>Gasoline</c:v>
                </c:pt>
              </c:strCache>
            </c:strRef>
          </c:tx>
          <c:spPr>
            <a:ln w="19050" cap="rnd">
              <a:solidFill>
                <a:schemeClr val="accent3"/>
              </a:solidFill>
              <a:round/>
            </a:ln>
            <a:effectLst/>
          </c:spPr>
          <c:marker>
            <c:symbol val="none"/>
          </c:marker>
          <c:xVal>
            <c:numRef>
              <c:f>FuelAvail!$P$8:$P$28</c:f>
              <c:numCache>
                <c:formatCode>0</c:formatCode>
                <c:ptCount val="21"/>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numCache>
            </c:numRef>
          </c:xVal>
          <c:yVal>
            <c:numRef>
              <c:f>FuelAvail!$Y$8:$Y$28</c:f>
              <c:numCache>
                <c:formatCode>#,##0</c:formatCode>
                <c:ptCount val="21"/>
                <c:pt idx="4">
                  <c:v>190246</c:v>
                </c:pt>
                <c:pt idx="5">
                  <c:v>187892</c:v>
                </c:pt>
                <c:pt idx="6">
                  <c:v>182596</c:v>
                </c:pt>
                <c:pt idx="7">
                  <c:v>180567</c:v>
                </c:pt>
                <c:pt idx="8">
                  <c:v>175941</c:v>
                </c:pt>
                <c:pt idx="9">
                  <c:v>172169</c:v>
                </c:pt>
                <c:pt idx="10">
                  <c:v>170018</c:v>
                </c:pt>
                <c:pt idx="11">
                  <c:v>167571</c:v>
                </c:pt>
                <c:pt idx="12">
                  <c:v>167346</c:v>
                </c:pt>
                <c:pt idx="13">
                  <c:v>168987</c:v>
                </c:pt>
                <c:pt idx="14">
                  <c:v>167476</c:v>
                </c:pt>
                <c:pt idx="15">
                  <c:v>164292</c:v>
                </c:pt>
                <c:pt idx="16">
                  <c:v>161078</c:v>
                </c:pt>
                <c:pt idx="17">
                  <c:v>162350</c:v>
                </c:pt>
                <c:pt idx="18">
                  <c:v>159006</c:v>
                </c:pt>
                <c:pt idx="19">
                  <c:v>157393</c:v>
                </c:pt>
                <c:pt idx="20">
                  <c:v>156065</c:v>
                </c:pt>
              </c:numCache>
            </c:numRef>
          </c:yVal>
          <c:smooth val="0"/>
          <c:extLst>
            <c:ext xmlns:c16="http://schemas.microsoft.com/office/drawing/2014/chart" uri="{C3380CC4-5D6E-409C-BE32-E72D297353CC}">
              <c16:uniqueId val="{00000002-4288-41B5-A84B-D690018D9EF2}"/>
            </c:ext>
          </c:extLst>
        </c:ser>
        <c:ser>
          <c:idx val="3"/>
          <c:order val="3"/>
          <c:tx>
            <c:v>Gasoline Projection</c:v>
          </c:tx>
          <c:spPr>
            <a:ln w="19050" cap="rnd">
              <a:solidFill>
                <a:schemeClr val="accent3"/>
              </a:solidFill>
              <a:prstDash val="sysDash"/>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FuelAvail!$AE$12:$AE$66</c:f>
              <c:numCache>
                <c:formatCode>General</c:formatCode>
                <c:ptCount val="55"/>
                <c:pt idx="0">
                  <c:v>191052.65611470124</c:v>
                </c:pt>
                <c:pt idx="1">
                  <c:v>186397.89294683232</c:v>
                </c:pt>
                <c:pt idx="2">
                  <c:v>182550.93564944336</c:v>
                </c:pt>
                <c:pt idx="3">
                  <c:v>179282.7845308595</c:v>
                </c:pt>
                <c:pt idx="4">
                  <c:v>176448.67032110461</c:v>
                </c:pt>
                <c:pt idx="5">
                  <c:v>173951.4531654985</c:v>
                </c:pt>
                <c:pt idx="6">
                  <c:v>171722.90532261576</c:v>
                </c:pt>
                <c:pt idx="7">
                  <c:v>169713.33979058723</c:v>
                </c:pt>
                <c:pt idx="8">
                  <c:v>167885.49216988546</c:v>
                </c:pt>
                <c:pt idx="9">
                  <c:v>166210.72524570141</c:v>
                </c:pt>
                <c:pt idx="10">
                  <c:v>164666.57496086106</c:v>
                </c:pt>
                <c:pt idx="11">
                  <c:v>163235.10769709843</c:v>
                </c:pt>
                <c:pt idx="12">
                  <c:v>161901.78771698778</c:v>
                </c:pt>
                <c:pt idx="13">
                  <c:v>160654.67623255038</c:v>
                </c:pt>
                <c:pt idx="14">
                  <c:v>159483.85232243082</c:v>
                </c:pt>
                <c:pt idx="15">
                  <c:v>158380.98602629284</c:v>
                </c:pt>
                <c:pt idx="16">
                  <c:v>157339.01815658301</c:v>
                </c:pt>
                <c:pt idx="17">
                  <c:v>156351.91643049743</c:v>
                </c:pt>
                <c:pt idx="18">
                  <c:v>155414.48714908643</c:v>
                </c:pt>
                <c:pt idx="19">
                  <c:v>154522.22794756008</c:v>
                </c:pt>
                <c:pt idx="20">
                  <c:v>153671.21134999965</c:v>
                </c:pt>
                <c:pt idx="21">
                  <c:v>152857.99172990039</c:v>
                </c:pt>
                <c:pt idx="22">
                  <c:v>152079.53026693707</c:v>
                </c:pt>
                <c:pt idx="23">
                  <c:v>151333.13389175324</c:v>
                </c:pt>
                <c:pt idx="24">
                  <c:v>150616.40521252429</c:v>
                </c:pt>
                <c:pt idx="25">
                  <c:v>149927.20114307356</c:v>
                </c:pt>
                <c:pt idx="26">
                  <c:v>149263.59848496216</c:v>
                </c:pt>
                <c:pt idx="27">
                  <c:v>148623.86511124755</c:v>
                </c:pt>
                <c:pt idx="28">
                  <c:v>148006.43569606714</c:v>
                </c:pt>
                <c:pt idx="29">
                  <c:v>147409.89115877033</c:v>
                </c:pt>
                <c:pt idx="30">
                  <c:v>146832.94116300519</c:v>
                </c:pt>
                <c:pt idx="31">
                  <c:v>146274.4091435555</c:v>
                </c:pt>
                <c:pt idx="32">
                  <c:v>145733.21943664621</c:v>
                </c:pt>
                <c:pt idx="33">
                  <c:v>145208.38617005682</c:v>
                </c:pt>
                <c:pt idx="34">
                  <c:v>144699.00363298977</c:v>
                </c:pt>
                <c:pt idx="35">
                  <c:v>144204.23789616275</c:v>
                </c:pt>
                <c:pt idx="36">
                  <c:v>143723.3194929836</c:v>
                </c:pt>
                <c:pt idx="37">
                  <c:v>143255.53700514263</c:v>
                </c:pt>
                <c:pt idx="38">
                  <c:v>142800.23142222952</c:v>
                </c:pt>
                <c:pt idx="39">
                  <c:v>142356.79116634274</c:v>
                </c:pt>
                <c:pt idx="40">
                  <c:v>141924.64769012132</c:v>
                </c:pt>
                <c:pt idx="41">
                  <c:v>141503.27157097295</c:v>
                </c:pt>
                <c:pt idx="42">
                  <c:v>141092.16903610699</c:v>
                </c:pt>
                <c:pt idx="43">
                  <c:v>140690.87886279408</c:v>
                </c:pt>
                <c:pt idx="44">
                  <c:v>140298.96960644086</c:v>
                </c:pt>
                <c:pt idx="45">
                  <c:v>139916.03711589513</c:v>
                </c:pt>
                <c:pt idx="46">
                  <c:v>139541.70230112463</c:v>
                </c:pt>
                <c:pt idx="47">
                  <c:v>139175.60912323726</c:v>
                </c:pt>
                <c:pt idx="48">
                  <c:v>138817.42278088717</c:v>
                </c:pt>
                <c:pt idx="49">
                  <c:v>138466.82807057025</c:v>
                </c:pt>
                <c:pt idx="50">
                  <c:v>138123.52790125419</c:v>
                </c:pt>
                <c:pt idx="51">
                  <c:v>137787.24194629915</c:v>
                </c:pt>
                <c:pt idx="52">
                  <c:v>137457.70541777695</c:v>
                </c:pt>
                <c:pt idx="53">
                  <c:v>137134.66795014174</c:v>
                </c:pt>
                <c:pt idx="54">
                  <c:v>136817.89258179464</c:v>
                </c:pt>
              </c:numCache>
            </c:numRef>
          </c:yVal>
          <c:smooth val="0"/>
          <c:extLst>
            <c:ext xmlns:c16="http://schemas.microsoft.com/office/drawing/2014/chart" uri="{C3380CC4-5D6E-409C-BE32-E72D297353CC}">
              <c16:uniqueId val="{00000002-9B5C-4753-9D3A-A46C5C700FDD}"/>
            </c:ext>
          </c:extLst>
        </c:ser>
        <c:dLbls>
          <c:showLegendKey val="0"/>
          <c:showVal val="0"/>
          <c:showCatName val="0"/>
          <c:showSerName val="0"/>
          <c:showPercent val="0"/>
          <c:showBubbleSize val="0"/>
        </c:dLbls>
        <c:axId val="1727767695"/>
        <c:axId val="909023343"/>
      </c:scatterChart>
      <c:valAx>
        <c:axId val="1727767695"/>
        <c:scaling>
          <c:orientation val="minMax"/>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909023343"/>
        <c:crosses val="autoZero"/>
        <c:crossBetween val="midCat"/>
      </c:valAx>
      <c:valAx>
        <c:axId val="9090233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277676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c:formatCode>
                <c:ptCount val="44"/>
                <c:pt idx="0">
                  <c:v>0</c:v>
                </c:pt>
                <c:pt idx="1">
                  <c:v>0</c:v>
                </c:pt>
                <c:pt idx="2">
                  <c:v>0</c:v>
                </c:pt>
                <c:pt idx="3">
                  <c:v>0</c:v>
                </c:pt>
                <c:pt idx="4">
                  <c:v>1.5999998720000074E-7</c:v>
                </c:pt>
                <c:pt idx="5">
                  <c:v>4.0959161150653103E-5</c:v>
                </c:pt>
                <c:pt idx="6">
                  <c:v>9.999500016666259E-5</c:v>
                </c:pt>
                <c:pt idx="7">
                  <c:v>2.0733850240113979E-4</c:v>
                </c:pt>
                <c:pt idx="8">
                  <c:v>3.8408621999527803E-4</c:v>
                </c:pt>
                <c:pt idx="9">
                  <c:v>1.5987206823936864E-3</c:v>
                </c:pt>
                <c:pt idx="10">
                  <c:v>2.3398183475694901E-3</c:v>
                </c:pt>
                <c:pt idx="11">
                  <c:v>4.5593345334435922E-3</c:v>
                </c:pt>
                <c:pt idx="12">
                  <c:v>1.0430976069530742E-2</c:v>
                </c:pt>
                <c:pt idx="13">
                  <c:v>2.5275098398206075E-2</c:v>
                </c:pt>
                <c:pt idx="14">
                  <c:v>3.6787242882874376E-2</c:v>
                </c:pt>
                <c:pt idx="15">
                  <c:v>6.0586937186524262E-2</c:v>
                </c:pt>
                <c:pt idx="16">
                  <c:v>9.3663799913688631E-2</c:v>
                </c:pt>
                <c:pt idx="17">
                  <c:v>0.13736477520959006</c:v>
                </c:pt>
                <c:pt idx="18">
                  <c:v>0.17283191670766812</c:v>
                </c:pt>
                <c:pt idx="19">
                  <c:v>0.23565694062183914</c:v>
                </c:pt>
                <c:pt idx="20">
                  <c:v>0.30936965849496828</c:v>
                </c:pt>
                <c:pt idx="21">
                  <c:v>0.39217687976031146</c:v>
                </c:pt>
                <c:pt idx="22">
                  <c:v>0.48112900953454829</c:v>
                </c:pt>
                <c:pt idx="23">
                  <c:v>0.57230568676862981</c:v>
                </c:pt>
                <c:pt idx="24">
                  <c:v>0.66122942140045338</c:v>
                </c:pt>
                <c:pt idx="25">
                  <c:v>0.74346468922347331</c:v>
                </c:pt>
                <c:pt idx="26">
                  <c:v>0.81528850543313935</c:v>
                </c:pt>
                <c:pt idx="27">
                  <c:v>0.85612030212542312</c:v>
                </c:pt>
                <c:pt idx="28">
                  <c:v>0.90597680388751134</c:v>
                </c:pt>
                <c:pt idx="29">
                  <c:v>0.94250745547383585</c:v>
                </c:pt>
                <c:pt idx="30">
                  <c:v>0.96732091996204717</c:v>
                </c:pt>
                <c:pt idx="31">
                  <c:v>0.9828519181996197</c:v>
                </c:pt>
                <c:pt idx="32">
                  <c:v>0.99175255777467719</c:v>
                </c:pt>
                <c:pt idx="33">
                  <c:v>0.9963915846347442</c:v>
                </c:pt>
                <c:pt idx="34">
                  <c:v>0.99857502356180761</c:v>
                </c:pt>
                <c:pt idx="35">
                  <c:v>0.99965291531541611</c:v>
                </c:pt>
                <c:pt idx="36">
                  <c:v>0.999895503999498</c:v>
                </c:pt>
                <c:pt idx="37">
                  <c:v>0.99997239738380339</c:v>
                </c:pt>
                <c:pt idx="38">
                  <c:v>0.9999936612702216</c:v>
                </c:pt>
                <c:pt idx="39">
                  <c:v>0.99999874646745956</c:v>
                </c:pt>
                <c:pt idx="40">
                  <c:v>0.9999997886047346</c:v>
                </c:pt>
                <c:pt idx="41">
                  <c:v>0.99999988746482527</c:v>
                </c:pt>
                <c:pt idx="42">
                  <c:v>0.99999988746482527</c:v>
                </c:pt>
                <c:pt idx="43">
                  <c:v>0.99999988746482527</c:v>
                </c:pt>
              </c:numCache>
            </c:numRef>
          </c:yVal>
          <c:smooth val="0"/>
          <c:extLst>
            <c:ext xmlns:c16="http://schemas.microsoft.com/office/drawing/2014/chart" uri="{C3380CC4-5D6E-409C-BE32-E72D297353CC}">
              <c16:uniqueId val="{00000000-CA25-49D9-89C3-1C3FD9615C22}"/>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1.2959916019562793E-5</c:v>
                </c:pt>
                <c:pt idx="21">
                  <c:v>4.0959161150653103E-5</c:v>
                </c:pt>
                <c:pt idx="22">
                  <c:v>2.0733850240113979E-4</c:v>
                </c:pt>
                <c:pt idx="23">
                  <c:v>3.8408621999527803E-4</c:v>
                </c:pt>
                <c:pt idx="24">
                  <c:v>1.0492091947258413E-3</c:v>
                </c:pt>
                <c:pt idx="25">
                  <c:v>2.3398183475694901E-3</c:v>
                </c:pt>
                <c:pt idx="26">
                  <c:v>3.3122623159705469E-3</c:v>
                </c:pt>
                <c:pt idx="27">
                  <c:v>6.1277085437277685E-3</c:v>
                </c:pt>
                <c:pt idx="28">
                  <c:v>1.0430976069530742E-2</c:v>
                </c:pt>
                <c:pt idx="29">
                  <c:v>1.3274466716304363E-2</c:v>
                </c:pt>
                <c:pt idx="30">
                  <c:v>2.063547350575257E-2</c:v>
                </c:pt>
                <c:pt idx="31">
                  <c:v>3.0637810156220375E-2</c:v>
                </c:pt>
                <c:pt idx="32">
                  <c:v>5.1699799821003561E-2</c:v>
                </c:pt>
                <c:pt idx="33">
                  <c:v>7.0507146135246307E-2</c:v>
                </c:pt>
                <c:pt idx="34">
                  <c:v>9.3663799913688631E-2</c:v>
                </c:pt>
                <c:pt idx="35">
                  <c:v>0.12155326065006883</c:v>
                </c:pt>
                <c:pt idx="36">
                  <c:v>0.15445353795437128</c:v>
                </c:pt>
                <c:pt idx="37">
                  <c:v>0.19250124041164726</c:v>
                </c:pt>
                <c:pt idx="38">
                  <c:v>0.23565694062183914</c:v>
                </c:pt>
                <c:pt idx="39">
                  <c:v>0.28367532636244841</c:v>
                </c:pt>
                <c:pt idx="40">
                  <c:v>0.33608423666452697</c:v>
                </c:pt>
                <c:pt idx="41">
                  <c:v>0.39217687976031146</c:v>
                </c:pt>
                <c:pt idx="42">
                  <c:v>0.45102114846019115</c:v>
                </c:pt>
                <c:pt idx="43">
                  <c:v>0.51148883886909147</c:v>
                </c:pt>
              </c:numCache>
            </c:numRef>
          </c:yVal>
          <c:smooth val="0"/>
          <c:extLst>
            <c:ext xmlns:c16="http://schemas.microsoft.com/office/drawing/2014/chart" uri="{C3380CC4-5D6E-409C-BE32-E72D297353CC}">
              <c16:uniqueId val="{00000001-CA25-49D9-89C3-1C3FD9615C22}"/>
            </c:ext>
          </c:extLst>
        </c:ser>
        <c:dLbls>
          <c:showLegendKey val="0"/>
          <c:showVal val="0"/>
          <c:showCatName val="0"/>
          <c:showSerName val="0"/>
          <c:showPercent val="0"/>
          <c:showBubbleSize val="0"/>
        </c:dLbls>
        <c:axId val="840786880"/>
        <c:axId val="840779992"/>
      </c:scatterChart>
      <c:valAx>
        <c:axId val="840786880"/>
        <c:scaling>
          <c:orientation val="minMax"/>
          <c:max val="2050"/>
          <c:min val="20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840779992"/>
        <c:crosses val="autoZero"/>
        <c:crossBetween val="midCat"/>
      </c:valAx>
      <c:valAx>
        <c:axId val="8407799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Availability</a:t>
                </a:r>
                <a:r>
                  <a:rPr lang="en-US" sz="1100" baseline="0"/>
                  <a:t> relative to diesel</a:t>
                </a:r>
                <a:endParaRPr lang="en-US" sz="1100"/>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40786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forward val="25"/>
            <c:dispRSqr val="1"/>
            <c:dispEq val="1"/>
            <c:trendlineLbl>
              <c:layout>
                <c:manualLayout>
                  <c:x val="1.7050524934383204E-2"/>
                  <c:y val="-0.1606178915135608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FuelAvail!$AB$12:$AB$28</c:f>
              <c:numCache>
                <c:formatCode>0</c:formatCode>
                <c:ptCount val="17"/>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numCache>
            </c:numRef>
          </c:xVal>
          <c:yVal>
            <c:numRef>
              <c:f>FuelAvail!$Y$12:$Y$28</c:f>
              <c:numCache>
                <c:formatCode>#,##0</c:formatCode>
                <c:ptCount val="17"/>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numCache>
            </c:numRef>
          </c:yVal>
          <c:smooth val="0"/>
          <c:extLst>
            <c:ext xmlns:c16="http://schemas.microsoft.com/office/drawing/2014/chart" uri="{C3380CC4-5D6E-409C-BE32-E72D297353CC}">
              <c16:uniqueId val="{00000000-7E37-4F2F-B453-C43D15DB176D}"/>
            </c:ext>
          </c:extLst>
        </c:ser>
        <c:dLbls>
          <c:showLegendKey val="0"/>
          <c:showVal val="0"/>
          <c:showCatName val="0"/>
          <c:showSerName val="0"/>
          <c:showPercent val="0"/>
          <c:showBubbleSize val="0"/>
        </c:dLbls>
        <c:axId val="968409576"/>
        <c:axId val="968411216"/>
      </c:scatterChart>
      <c:scatterChart>
        <c:scatterStyle val="smoothMarker"/>
        <c:varyColors val="0"/>
        <c:dLbls>
          <c:showLegendKey val="0"/>
          <c:showVal val="0"/>
          <c:showCatName val="0"/>
          <c:showSerName val="0"/>
          <c:showPercent val="0"/>
          <c:showBubbleSize val="0"/>
        </c:dLbls>
        <c:axId val="968409576"/>
        <c:axId val="968411216"/>
        <c:extLst>
          <c:ext xmlns:c15="http://schemas.microsoft.com/office/drawing/2012/chart" uri="{02D57815-91ED-43cb-92C2-25804820EDAC}">
            <c15:filteredScatterSeries>
              <c15:ser>
                <c:idx val="1"/>
                <c:order val="1"/>
                <c:spPr>
                  <a:ln w="19050" cap="rnd">
                    <a:solidFill>
                      <a:schemeClr val="accent2"/>
                    </a:solidFill>
                    <a:round/>
                  </a:ln>
                  <a:effectLst/>
                </c:spPr>
                <c:marker>
                  <c:symbol val="none"/>
                </c:marker>
                <c:xVal>
                  <c:numRef>
                    <c:extLst>
                      <c:ext uri="{02D57815-91ED-43cb-92C2-25804820EDAC}">
                        <c15:formulaRef>
                          <c15:sqref>FuelAvail!$AB$12:$AB$28</c15:sqref>
                        </c15:formulaRef>
                      </c:ext>
                    </c:extLst>
                    <c:numCache>
                      <c:formatCode>0</c:formatCode>
                      <c:ptCount val="17"/>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numCache>
                  </c:numRef>
                </c:xVal>
                <c:yVal>
                  <c:numRef>
                    <c:extLst>
                      <c:ext uri="{02D57815-91ED-43cb-92C2-25804820EDAC}">
                        <c15:formulaRef>
                          <c15:sqref>FuelAvail!$AE$12:$AE$28</c15:sqref>
                        </c15:formulaRef>
                      </c:ext>
                    </c:extLst>
                    <c:numCache>
                      <c:formatCode>General</c:formatCode>
                      <c:ptCount val="17"/>
                      <c:pt idx="0">
                        <c:v>191052.65611470124</c:v>
                      </c:pt>
                      <c:pt idx="1">
                        <c:v>186397.89294683232</c:v>
                      </c:pt>
                      <c:pt idx="2">
                        <c:v>182550.93564944336</c:v>
                      </c:pt>
                      <c:pt idx="3">
                        <c:v>179282.7845308595</c:v>
                      </c:pt>
                      <c:pt idx="4">
                        <c:v>176448.67032110461</c:v>
                      </c:pt>
                      <c:pt idx="5">
                        <c:v>173951.4531654985</c:v>
                      </c:pt>
                      <c:pt idx="6">
                        <c:v>171722.90532261576</c:v>
                      </c:pt>
                      <c:pt idx="7">
                        <c:v>169713.33979058723</c:v>
                      </c:pt>
                      <c:pt idx="8">
                        <c:v>167885.49216988546</c:v>
                      </c:pt>
                      <c:pt idx="9">
                        <c:v>166210.72524570141</c:v>
                      </c:pt>
                      <c:pt idx="10">
                        <c:v>164666.57496086106</c:v>
                      </c:pt>
                      <c:pt idx="11">
                        <c:v>163235.10769709843</c:v>
                      </c:pt>
                      <c:pt idx="12">
                        <c:v>161901.78771698778</c:v>
                      </c:pt>
                      <c:pt idx="13">
                        <c:v>160654.67623255038</c:v>
                      </c:pt>
                      <c:pt idx="14">
                        <c:v>159483.85232243082</c:v>
                      </c:pt>
                      <c:pt idx="15">
                        <c:v>158380.98602629284</c:v>
                      </c:pt>
                      <c:pt idx="16">
                        <c:v>157339.01815658301</c:v>
                      </c:pt>
                    </c:numCache>
                  </c:numRef>
                </c:yVal>
                <c:smooth val="1"/>
                <c:extLst>
                  <c:ext xmlns:c16="http://schemas.microsoft.com/office/drawing/2014/chart" uri="{C3380CC4-5D6E-409C-BE32-E72D297353CC}">
                    <c16:uniqueId val="{00000001-7E37-4F2F-B453-C43D15DB176D}"/>
                  </c:ext>
                </c:extLst>
              </c15:ser>
            </c15:filteredScatterSeries>
          </c:ext>
        </c:extLst>
      </c:scatterChart>
      <c:valAx>
        <c:axId val="96840957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411216"/>
        <c:crosses val="autoZero"/>
        <c:crossBetween val="midCat"/>
      </c:valAx>
      <c:valAx>
        <c:axId val="968411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409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forward val="25"/>
            <c:dispRSqr val="1"/>
            <c:dispEq val="1"/>
            <c:trendlineLbl>
              <c:layout>
                <c:manualLayout>
                  <c:x val="1.7050524934383204E-2"/>
                  <c:y val="-0.1606178915135608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FuelAvail!$AU$12:$AU$28</c:f>
              <c:numCache>
                <c:formatCode>0</c:formatCode>
                <c:ptCount val="17"/>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numCache>
            </c:numRef>
          </c:xVal>
          <c:yVal>
            <c:numRef>
              <c:f>FuelAvail!$Y$12:$Y$28</c:f>
              <c:numCache>
                <c:formatCode>#,##0</c:formatCode>
                <c:ptCount val="17"/>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numCache>
            </c:numRef>
          </c:yVal>
          <c:smooth val="0"/>
          <c:extLst>
            <c:ext xmlns:c16="http://schemas.microsoft.com/office/drawing/2014/chart" uri="{C3380CC4-5D6E-409C-BE32-E72D297353CC}">
              <c16:uniqueId val="{00000001-1768-46CE-B758-05B556BF2B01}"/>
            </c:ext>
          </c:extLst>
        </c:ser>
        <c:dLbls>
          <c:showLegendKey val="0"/>
          <c:showVal val="0"/>
          <c:showCatName val="0"/>
          <c:showSerName val="0"/>
          <c:showPercent val="0"/>
          <c:showBubbleSize val="0"/>
        </c:dLbls>
        <c:axId val="968409576"/>
        <c:axId val="968411216"/>
      </c:scatterChart>
      <c:scatterChart>
        <c:scatterStyle val="smoothMarker"/>
        <c:varyColors val="0"/>
        <c:dLbls>
          <c:showLegendKey val="0"/>
          <c:showVal val="0"/>
          <c:showCatName val="0"/>
          <c:showSerName val="0"/>
          <c:showPercent val="0"/>
          <c:showBubbleSize val="0"/>
        </c:dLbls>
        <c:axId val="968409576"/>
        <c:axId val="968411216"/>
        <c:extLst>
          <c:ext xmlns:c15="http://schemas.microsoft.com/office/drawing/2012/chart" uri="{02D57815-91ED-43cb-92C2-25804820EDAC}">
            <c15:filteredScatterSeries>
              <c15:ser>
                <c:idx val="1"/>
                <c:order val="1"/>
                <c:spPr>
                  <a:ln w="19050" cap="rnd">
                    <a:solidFill>
                      <a:schemeClr val="accent2"/>
                    </a:solidFill>
                    <a:round/>
                  </a:ln>
                  <a:effectLst/>
                </c:spPr>
                <c:marker>
                  <c:symbol val="none"/>
                </c:marker>
                <c:xVal>
                  <c:numRef>
                    <c:extLst>
                      <c:ext uri="{02D57815-91ED-43cb-92C2-25804820EDAC}">
                        <c15:formulaRef>
                          <c15:sqref>FuelAvail!$AB$12:$AB$28</c15:sqref>
                        </c15:formulaRef>
                      </c:ext>
                    </c:extLst>
                    <c:numCache>
                      <c:formatCode>0</c:formatCode>
                      <c:ptCount val="17"/>
                      <c:pt idx="0">
                        <c:v>5</c:v>
                      </c:pt>
                      <c:pt idx="1">
                        <c:v>6</c:v>
                      </c:pt>
                      <c:pt idx="2">
                        <c:v>7</c:v>
                      </c:pt>
                      <c:pt idx="3">
                        <c:v>8</c:v>
                      </c:pt>
                      <c:pt idx="4">
                        <c:v>9</c:v>
                      </c:pt>
                      <c:pt idx="5">
                        <c:v>10</c:v>
                      </c:pt>
                      <c:pt idx="6">
                        <c:v>11</c:v>
                      </c:pt>
                      <c:pt idx="7">
                        <c:v>12</c:v>
                      </c:pt>
                      <c:pt idx="8">
                        <c:v>13</c:v>
                      </c:pt>
                      <c:pt idx="9">
                        <c:v>14</c:v>
                      </c:pt>
                      <c:pt idx="10">
                        <c:v>15</c:v>
                      </c:pt>
                      <c:pt idx="11">
                        <c:v>16</c:v>
                      </c:pt>
                      <c:pt idx="12">
                        <c:v>17</c:v>
                      </c:pt>
                      <c:pt idx="13">
                        <c:v>18</c:v>
                      </c:pt>
                      <c:pt idx="14">
                        <c:v>19</c:v>
                      </c:pt>
                      <c:pt idx="15">
                        <c:v>20</c:v>
                      </c:pt>
                      <c:pt idx="16">
                        <c:v>21</c:v>
                      </c:pt>
                    </c:numCache>
                  </c:numRef>
                </c:xVal>
                <c:yVal>
                  <c:numRef>
                    <c:extLst>
                      <c:ext uri="{02D57815-91ED-43cb-92C2-25804820EDAC}">
                        <c15:formulaRef>
                          <c15:sqref>FuelAvail!$AE$12:$AE$28</c15:sqref>
                        </c15:formulaRef>
                      </c:ext>
                    </c:extLst>
                    <c:numCache>
                      <c:formatCode>General</c:formatCode>
                      <c:ptCount val="17"/>
                      <c:pt idx="0">
                        <c:v>191052.65611470124</c:v>
                      </c:pt>
                      <c:pt idx="1">
                        <c:v>186397.89294683232</c:v>
                      </c:pt>
                      <c:pt idx="2">
                        <c:v>182550.93564944336</c:v>
                      </c:pt>
                      <c:pt idx="3">
                        <c:v>179282.7845308595</c:v>
                      </c:pt>
                      <c:pt idx="4">
                        <c:v>176448.67032110461</c:v>
                      </c:pt>
                      <c:pt idx="5">
                        <c:v>173951.4531654985</c:v>
                      </c:pt>
                      <c:pt idx="6">
                        <c:v>171722.90532261576</c:v>
                      </c:pt>
                      <c:pt idx="7">
                        <c:v>169713.33979058723</c:v>
                      </c:pt>
                      <c:pt idx="8">
                        <c:v>167885.49216988546</c:v>
                      </c:pt>
                      <c:pt idx="9">
                        <c:v>166210.72524570141</c:v>
                      </c:pt>
                      <c:pt idx="10">
                        <c:v>164666.57496086106</c:v>
                      </c:pt>
                      <c:pt idx="11">
                        <c:v>163235.10769709843</c:v>
                      </c:pt>
                      <c:pt idx="12">
                        <c:v>161901.78771698778</c:v>
                      </c:pt>
                      <c:pt idx="13">
                        <c:v>160654.67623255038</c:v>
                      </c:pt>
                      <c:pt idx="14">
                        <c:v>159483.85232243082</c:v>
                      </c:pt>
                      <c:pt idx="15">
                        <c:v>158380.98602629284</c:v>
                      </c:pt>
                      <c:pt idx="16">
                        <c:v>157339.01815658301</c:v>
                      </c:pt>
                    </c:numCache>
                  </c:numRef>
                </c:yVal>
                <c:smooth val="1"/>
                <c:extLst>
                  <c:ext xmlns:c16="http://schemas.microsoft.com/office/drawing/2014/chart" uri="{C3380CC4-5D6E-409C-BE32-E72D297353CC}">
                    <c16:uniqueId val="{00000002-1768-46CE-B758-05B556BF2B01}"/>
                  </c:ext>
                </c:extLst>
              </c15:ser>
            </c15:filteredScatterSeries>
          </c:ext>
        </c:extLst>
      </c:scatterChart>
      <c:valAx>
        <c:axId val="96840957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411216"/>
        <c:crosses val="autoZero"/>
        <c:crossBetween val="midCat"/>
      </c:valAx>
      <c:valAx>
        <c:axId val="968411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409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power</c:v>
          </c:tx>
          <c:spPr>
            <a:ln w="19050" cap="rnd">
              <a:solidFill>
                <a:schemeClr val="accent1"/>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FuelAvail!$AE$12:$AE$70</c:f>
              <c:numCache>
                <c:formatCode>General</c:formatCode>
                <c:ptCount val="59"/>
                <c:pt idx="0">
                  <c:v>191052.65611470124</c:v>
                </c:pt>
                <c:pt idx="1">
                  <c:v>186397.89294683232</c:v>
                </c:pt>
                <c:pt idx="2">
                  <c:v>182550.93564944336</c:v>
                </c:pt>
                <c:pt idx="3">
                  <c:v>179282.7845308595</c:v>
                </c:pt>
                <c:pt idx="4">
                  <c:v>176448.67032110461</c:v>
                </c:pt>
                <c:pt idx="5">
                  <c:v>173951.4531654985</c:v>
                </c:pt>
                <c:pt idx="6">
                  <c:v>171722.90532261576</c:v>
                </c:pt>
                <c:pt idx="7">
                  <c:v>169713.33979058723</c:v>
                </c:pt>
                <c:pt idx="8">
                  <c:v>167885.49216988546</c:v>
                </c:pt>
                <c:pt idx="9">
                  <c:v>166210.72524570141</c:v>
                </c:pt>
                <c:pt idx="10">
                  <c:v>164666.57496086106</c:v>
                </c:pt>
                <c:pt idx="11">
                  <c:v>163235.10769709843</c:v>
                </c:pt>
                <c:pt idx="12">
                  <c:v>161901.78771698778</c:v>
                </c:pt>
                <c:pt idx="13">
                  <c:v>160654.67623255038</c:v>
                </c:pt>
                <c:pt idx="14">
                  <c:v>159483.85232243082</c:v>
                </c:pt>
                <c:pt idx="15">
                  <c:v>158380.98602629284</c:v>
                </c:pt>
                <c:pt idx="16">
                  <c:v>157339.01815658301</c:v>
                </c:pt>
                <c:pt idx="17">
                  <c:v>156351.91643049743</c:v>
                </c:pt>
                <c:pt idx="18">
                  <c:v>155414.48714908643</c:v>
                </c:pt>
                <c:pt idx="19">
                  <c:v>154522.22794756008</c:v>
                </c:pt>
                <c:pt idx="20">
                  <c:v>153671.21134999965</c:v>
                </c:pt>
                <c:pt idx="21">
                  <c:v>152857.99172990039</c:v>
                </c:pt>
                <c:pt idx="22">
                  <c:v>152079.53026693707</c:v>
                </c:pt>
                <c:pt idx="23">
                  <c:v>151333.13389175324</c:v>
                </c:pt>
                <c:pt idx="24">
                  <c:v>150616.40521252429</c:v>
                </c:pt>
                <c:pt idx="25">
                  <c:v>149927.20114307356</c:v>
                </c:pt>
                <c:pt idx="26">
                  <c:v>149263.59848496216</c:v>
                </c:pt>
                <c:pt idx="27">
                  <c:v>148623.86511124755</c:v>
                </c:pt>
                <c:pt idx="28">
                  <c:v>148006.43569606714</c:v>
                </c:pt>
                <c:pt idx="29">
                  <c:v>147409.89115877033</c:v>
                </c:pt>
                <c:pt idx="30">
                  <c:v>146832.94116300519</c:v>
                </c:pt>
                <c:pt idx="31">
                  <c:v>146274.4091435555</c:v>
                </c:pt>
                <c:pt idx="32">
                  <c:v>145733.21943664621</c:v>
                </c:pt>
                <c:pt idx="33">
                  <c:v>145208.38617005682</c:v>
                </c:pt>
                <c:pt idx="34">
                  <c:v>144699.00363298977</c:v>
                </c:pt>
                <c:pt idx="35">
                  <c:v>144204.23789616275</c:v>
                </c:pt>
                <c:pt idx="36">
                  <c:v>143723.3194929836</c:v>
                </c:pt>
                <c:pt idx="37">
                  <c:v>143255.53700514263</c:v>
                </c:pt>
                <c:pt idx="38">
                  <c:v>142800.23142222952</c:v>
                </c:pt>
                <c:pt idx="39">
                  <c:v>142356.79116634274</c:v>
                </c:pt>
                <c:pt idx="40">
                  <c:v>141924.64769012132</c:v>
                </c:pt>
                <c:pt idx="41">
                  <c:v>141503.27157097295</c:v>
                </c:pt>
                <c:pt idx="42">
                  <c:v>141092.16903610699</c:v>
                </c:pt>
                <c:pt idx="43">
                  <c:v>140690.87886279408</c:v>
                </c:pt>
                <c:pt idx="44">
                  <c:v>140298.96960644086</c:v>
                </c:pt>
                <c:pt idx="45">
                  <c:v>139916.03711589513</c:v>
                </c:pt>
                <c:pt idx="46">
                  <c:v>139541.70230112463</c:v>
                </c:pt>
                <c:pt idx="47">
                  <c:v>139175.60912323726</c:v>
                </c:pt>
                <c:pt idx="48">
                  <c:v>138817.42278088717</c:v>
                </c:pt>
                <c:pt idx="49">
                  <c:v>138466.82807057025</c:v>
                </c:pt>
                <c:pt idx="50">
                  <c:v>138123.52790125419</c:v>
                </c:pt>
                <c:pt idx="51">
                  <c:v>137787.24194629915</c:v>
                </c:pt>
                <c:pt idx="52">
                  <c:v>137457.70541777695</c:v>
                </c:pt>
                <c:pt idx="53">
                  <c:v>137134.66795014174</c:v>
                </c:pt>
                <c:pt idx="54">
                  <c:v>136817.89258179464</c:v>
                </c:pt>
              </c:numCache>
            </c:numRef>
          </c:yVal>
          <c:smooth val="1"/>
          <c:extLst>
            <c:ext xmlns:c16="http://schemas.microsoft.com/office/drawing/2014/chart" uri="{C3380CC4-5D6E-409C-BE32-E72D297353CC}">
              <c16:uniqueId val="{00000000-4775-41F0-BBD3-9C9E63064265}"/>
            </c:ext>
          </c:extLst>
        </c:ser>
        <c:ser>
          <c:idx val="1"/>
          <c:order val="1"/>
          <c:tx>
            <c:v>log</c:v>
          </c:tx>
          <c:spPr>
            <a:ln w="19050" cap="rnd">
              <a:solidFill>
                <a:schemeClr val="accent2"/>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FuelAvail!$AW$12:$AW$70</c:f>
              <c:numCache>
                <c:formatCode>General</c:formatCode>
                <c:ptCount val="59"/>
                <c:pt idx="0">
                  <c:v>191019.30153774357</c:v>
                </c:pt>
                <c:pt idx="1">
                  <c:v>186335.63689176104</c:v>
                </c:pt>
                <c:pt idx="2">
                  <c:v>182508.80423302145</c:v>
                </c:pt>
                <c:pt idx="3">
                  <c:v>179273.26332220901</c:v>
                </c:pt>
                <c:pt idx="4">
                  <c:v>176470.51030030503</c:v>
                </c:pt>
                <c:pt idx="5">
                  <c:v>173998.30692829937</c:v>
                </c:pt>
                <c:pt idx="6">
                  <c:v>171786.84565432247</c:v>
                </c:pt>
                <c:pt idx="7">
                  <c:v>169786.33559287249</c:v>
                </c:pt>
                <c:pt idx="8">
                  <c:v>167960.01299558289</c:v>
                </c:pt>
                <c:pt idx="9">
                  <c:v>166279.95906665997</c:v>
                </c:pt>
                <c:pt idx="10">
                  <c:v>164724.47208477044</c:v>
                </c:pt>
                <c:pt idx="11">
                  <c:v>163276.34834960036</c:v>
                </c:pt>
                <c:pt idx="12">
                  <c:v>161921.71906286647</c:v>
                </c:pt>
                <c:pt idx="13">
                  <c:v>160649.24044448201</c:v>
                </c:pt>
                <c:pt idx="14">
                  <c:v>159449.5156908608</c:v>
                </c:pt>
                <c:pt idx="15">
                  <c:v>158314.67342775848</c:v>
                </c:pt>
                <c:pt idx="16">
                  <c:v>157238.05441688391</c:v>
                </c:pt>
                <c:pt idx="17">
                  <c:v>156213.97478004836</c:v>
                </c:pt>
                <c:pt idx="18">
                  <c:v>155237.54435543393</c:v>
                </c:pt>
                <c:pt idx="19">
                  <c:v>154304.52546432801</c:v>
                </c:pt>
                <c:pt idx="20">
                  <c:v>153411.22175814433</c:v>
                </c:pt>
                <c:pt idx="21">
                  <c:v>152554.38977090135</c:v>
                </c:pt>
                <c:pt idx="22">
                  <c:v>151731.16782922141</c:v>
                </c:pt>
                <c:pt idx="23">
                  <c:v>150939.01838613869</c:v>
                </c:pt>
                <c:pt idx="24">
                  <c:v>150175.68084733188</c:v>
                </c:pt>
                <c:pt idx="25">
                  <c:v>149439.13267906563</c:v>
                </c:pt>
                <c:pt idx="26">
                  <c:v>148727.5571121618</c:v>
                </c:pt>
                <c:pt idx="27">
                  <c:v>148039.31614351366</c:v>
                </c:pt>
                <c:pt idx="28">
                  <c:v>147372.92782542791</c:v>
                </c:pt>
                <c:pt idx="29">
                  <c:v>146727.04705071182</c:v>
                </c:pt>
                <c:pt idx="30">
                  <c:v>146100.44920704345</c:v>
                </c:pt>
                <c:pt idx="31">
                  <c:v>145492.01620134932</c:v>
                </c:pt>
                <c:pt idx="32">
                  <c:v>144900.72445342224</c:v>
                </c:pt>
                <c:pt idx="33">
                  <c:v>144325.63453491341</c:v>
                </c:pt>
                <c:pt idx="34">
                  <c:v>143765.88219031994</c:v>
                </c:pt>
                <c:pt idx="35">
                  <c:v>143220.67052449929</c:v>
                </c:pt>
                <c:pt idx="36">
                  <c:v>142689.26317944535</c:v>
                </c:pt>
                <c:pt idx="37">
                  <c:v>142170.97835371172</c:v>
                </c:pt>
                <c:pt idx="38">
                  <c:v>141665.1835426098</c:v>
                </c:pt>
                <c:pt idx="39">
                  <c:v>141171.29089738912</c:v>
                </c:pt>
                <c:pt idx="40">
                  <c:v>140688.75311799537</c:v>
                </c:pt>
                <c:pt idx="41">
                  <c:v>140217.05980743968</c:v>
                </c:pt>
                <c:pt idx="42">
                  <c:v>139755.73422688944</c:v>
                </c:pt>
                <c:pt idx="43">
                  <c:v>139304.33039975917</c:v>
                </c:pt>
                <c:pt idx="44">
                  <c:v>138862.43052070576</c:v>
                </c:pt>
                <c:pt idx="45">
                  <c:v>138429.64263179732</c:v>
                </c:pt>
                <c:pt idx="46">
                  <c:v>138005.59853346279</c:v>
                </c:pt>
                <c:pt idx="47">
                  <c:v>137589.95190232137</c:v>
                </c:pt>
                <c:pt idx="48">
                  <c:v>137182.37659178284</c:v>
                </c:pt>
                <c:pt idx="49">
                  <c:v>136782.56509452651</c:v>
                </c:pt>
                <c:pt idx="50">
                  <c:v>136390.22714870013</c:v>
                </c:pt>
                <c:pt idx="51">
                  <c:v>136005.08847201281</c:v>
                </c:pt>
                <c:pt idx="52">
                  <c:v>135626.88960989332</c:v>
                </c:pt>
                <c:pt idx="53">
                  <c:v>135255.3848855978</c:v>
                </c:pt>
                <c:pt idx="54">
                  <c:v>134890.34144162707</c:v>
                </c:pt>
              </c:numCache>
            </c:numRef>
          </c:yVal>
          <c:smooth val="1"/>
          <c:extLst>
            <c:ext xmlns:c16="http://schemas.microsoft.com/office/drawing/2014/chart" uri="{C3380CC4-5D6E-409C-BE32-E72D297353CC}">
              <c16:uniqueId val="{00000001-4775-41F0-BBD3-9C9E63064265}"/>
            </c:ext>
          </c:extLst>
        </c:ser>
        <c:dLbls>
          <c:showLegendKey val="0"/>
          <c:showVal val="0"/>
          <c:showCatName val="0"/>
          <c:showSerName val="0"/>
          <c:showPercent val="0"/>
          <c:showBubbleSize val="0"/>
        </c:dLbls>
        <c:axId val="1063520736"/>
        <c:axId val="1063521064"/>
      </c:scatterChart>
      <c:valAx>
        <c:axId val="106352073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3521064"/>
        <c:crosses val="autoZero"/>
        <c:crossBetween val="midCat"/>
      </c:valAx>
      <c:valAx>
        <c:axId val="1063521064"/>
        <c:scaling>
          <c:orientation val="minMax"/>
          <c:min val="10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3520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U.S. Alternative Fueling Station Count</a:t>
            </a:r>
          </a:p>
        </c:rich>
      </c:tx>
      <c:overlay val="0"/>
    </c:title>
    <c:autoTitleDeleted val="0"/>
    <c:plotArea>
      <c:layout>
        <c:manualLayout>
          <c:layoutTarget val="inner"/>
          <c:xMode val="edge"/>
          <c:yMode val="edge"/>
          <c:x val="9.4021428546985905E-2"/>
          <c:y val="9.7970289355378395E-2"/>
          <c:w val="0.791937774401407"/>
          <c:h val="0.76442591315596797"/>
        </c:manualLayout>
      </c:layout>
      <c:barChart>
        <c:barDir val="col"/>
        <c:grouping val="stacked"/>
        <c:varyColors val="0"/>
        <c:ser>
          <c:idx val="2"/>
          <c:order val="0"/>
          <c:tx>
            <c:strRef>
              <c:f>'Alt Fueling Stations by Fuel'!$J$8</c:f>
              <c:strCache>
                <c:ptCount val="1"/>
                <c:pt idx="0">
                  <c:v> E85 </c:v>
                </c:pt>
              </c:strCache>
            </c:strRef>
          </c:tx>
          <c:invertIfNegative val="0"/>
          <c:cat>
            <c:numRef>
              <c:f>'Alt Fueling Stations by Fuel'!$B$9:$B$36</c:f>
              <c:numCache>
                <c:formatCode>0</c:formatCode>
                <c:ptCount val="28"/>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numCache>
            </c:numRef>
          </c:cat>
          <c:val>
            <c:numRef>
              <c:f>'Alt Fueling Stations by Fuel'!$J$9:$J$36</c:f>
              <c:numCache>
                <c:formatCode>_(* #,##0_);_(* \(#,##0\);_(* "-"??_);_(@_)</c:formatCode>
                <c:ptCount val="28"/>
                <c:pt idx="0">
                  <c:v>2</c:v>
                </c:pt>
                <c:pt idx="1">
                  <c:v>7</c:v>
                </c:pt>
                <c:pt idx="2">
                  <c:v>32</c:v>
                </c:pt>
                <c:pt idx="3">
                  <c:v>37</c:v>
                </c:pt>
                <c:pt idx="4">
                  <c:v>68</c:v>
                </c:pt>
                <c:pt idx="5">
                  <c:v>71</c:v>
                </c:pt>
                <c:pt idx="6">
                  <c:v>40</c:v>
                </c:pt>
                <c:pt idx="7">
                  <c:v>49</c:v>
                </c:pt>
                <c:pt idx="8">
                  <c:v>113</c:v>
                </c:pt>
                <c:pt idx="9">
                  <c:v>154</c:v>
                </c:pt>
                <c:pt idx="10">
                  <c:v>149</c:v>
                </c:pt>
                <c:pt idx="11">
                  <c:v>188</c:v>
                </c:pt>
                <c:pt idx="12">
                  <c:v>200</c:v>
                </c:pt>
                <c:pt idx="13">
                  <c:v>436</c:v>
                </c:pt>
                <c:pt idx="14">
                  <c:v>762</c:v>
                </c:pt>
                <c:pt idx="15">
                  <c:v>1208</c:v>
                </c:pt>
                <c:pt idx="16">
                  <c:v>1644</c:v>
                </c:pt>
                <c:pt idx="17">
                  <c:v>1928</c:v>
                </c:pt>
                <c:pt idx="18">
                  <c:v>2142</c:v>
                </c:pt>
                <c:pt idx="19">
                  <c:v>2442</c:v>
                </c:pt>
                <c:pt idx="20">
                  <c:v>2553</c:v>
                </c:pt>
                <c:pt idx="21">
                  <c:v>2639</c:v>
                </c:pt>
                <c:pt idx="22">
                  <c:v>2840</c:v>
                </c:pt>
                <c:pt idx="23">
                  <c:v>2990</c:v>
                </c:pt>
                <c:pt idx="24">
                  <c:v>3091</c:v>
                </c:pt>
                <c:pt idx="25">
                  <c:v>3322</c:v>
                </c:pt>
                <c:pt idx="26">
                  <c:v>3617</c:v>
                </c:pt>
                <c:pt idx="27">
                  <c:v>3777</c:v>
                </c:pt>
              </c:numCache>
            </c:numRef>
          </c:val>
          <c:extLst>
            <c:ext xmlns:c16="http://schemas.microsoft.com/office/drawing/2014/chart" uri="{C3380CC4-5D6E-409C-BE32-E72D297353CC}">
              <c16:uniqueId val="{00000000-0D2D-418B-8BE8-757B0312E189}"/>
            </c:ext>
          </c:extLst>
        </c:ser>
        <c:ser>
          <c:idx val="3"/>
          <c:order val="1"/>
          <c:tx>
            <c:strRef>
              <c:f>'Alt Fueling Stations by Fuel'!$I$8</c:f>
              <c:strCache>
                <c:ptCount val="1"/>
                <c:pt idx="0">
                  <c:v> CNG </c:v>
                </c:pt>
              </c:strCache>
            </c:strRef>
          </c:tx>
          <c:invertIfNegative val="0"/>
          <c:cat>
            <c:numRef>
              <c:f>'Alt Fueling Stations by Fuel'!$B$9:$B$36</c:f>
              <c:numCache>
                <c:formatCode>0</c:formatCode>
                <c:ptCount val="28"/>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numCache>
            </c:numRef>
          </c:cat>
          <c:val>
            <c:numRef>
              <c:f>'Alt Fueling Stations by Fuel'!$I$9:$I$36</c:f>
              <c:numCache>
                <c:formatCode>_(* #,##0_);_(* \(#,##0\);_(* "-"??_);_(@_)</c:formatCode>
                <c:ptCount val="28"/>
                <c:pt idx="0">
                  <c:v>349</c:v>
                </c:pt>
                <c:pt idx="1">
                  <c:v>497</c:v>
                </c:pt>
                <c:pt idx="2">
                  <c:v>1042</c:v>
                </c:pt>
                <c:pt idx="3">
                  <c:v>1065</c:v>
                </c:pt>
                <c:pt idx="4">
                  <c:v>1419</c:v>
                </c:pt>
                <c:pt idx="5">
                  <c:v>1426</c:v>
                </c:pt>
                <c:pt idx="6">
                  <c:v>1268</c:v>
                </c:pt>
                <c:pt idx="7">
                  <c:v>1267</c:v>
                </c:pt>
                <c:pt idx="8">
                  <c:v>1217</c:v>
                </c:pt>
                <c:pt idx="9">
                  <c:v>1232</c:v>
                </c:pt>
                <c:pt idx="10">
                  <c:v>1166</c:v>
                </c:pt>
                <c:pt idx="11">
                  <c:v>1035</c:v>
                </c:pt>
                <c:pt idx="12">
                  <c:v>917</c:v>
                </c:pt>
                <c:pt idx="13">
                  <c:v>787</c:v>
                </c:pt>
                <c:pt idx="14">
                  <c:v>732</c:v>
                </c:pt>
                <c:pt idx="15">
                  <c:v>721</c:v>
                </c:pt>
                <c:pt idx="16">
                  <c:v>778</c:v>
                </c:pt>
                <c:pt idx="17">
                  <c:v>772</c:v>
                </c:pt>
                <c:pt idx="18">
                  <c:v>841</c:v>
                </c:pt>
                <c:pt idx="19">
                  <c:v>910</c:v>
                </c:pt>
                <c:pt idx="20">
                  <c:v>1107</c:v>
                </c:pt>
                <c:pt idx="21">
                  <c:v>1263</c:v>
                </c:pt>
                <c:pt idx="22">
                  <c:v>1495</c:v>
                </c:pt>
                <c:pt idx="23">
                  <c:v>1563</c:v>
                </c:pt>
                <c:pt idx="24">
                  <c:v>1722</c:v>
                </c:pt>
                <c:pt idx="25">
                  <c:v>1693</c:v>
                </c:pt>
                <c:pt idx="26">
                  <c:v>1659</c:v>
                </c:pt>
                <c:pt idx="27">
                  <c:v>1591</c:v>
                </c:pt>
              </c:numCache>
            </c:numRef>
          </c:val>
          <c:extLst>
            <c:ext xmlns:c16="http://schemas.microsoft.com/office/drawing/2014/chart" uri="{C3380CC4-5D6E-409C-BE32-E72D297353CC}">
              <c16:uniqueId val="{00000001-0D2D-418B-8BE8-757B0312E189}"/>
            </c:ext>
          </c:extLst>
        </c:ser>
        <c:ser>
          <c:idx val="7"/>
          <c:order val="2"/>
          <c:tx>
            <c:strRef>
              <c:f>'Alt Fueling Stations by Fuel'!$H$8</c:f>
              <c:strCache>
                <c:ptCount val="1"/>
                <c:pt idx="0">
                  <c:v> Biodiesel** </c:v>
                </c:pt>
              </c:strCache>
            </c:strRef>
          </c:tx>
          <c:spPr>
            <a:solidFill>
              <a:schemeClr val="accent1">
                <a:lumMod val="40000"/>
                <a:lumOff val="60000"/>
              </a:schemeClr>
            </a:solidFill>
          </c:spPr>
          <c:invertIfNegative val="0"/>
          <c:cat>
            <c:numRef>
              <c:f>'Alt Fueling Stations by Fuel'!$B$9:$B$36</c:f>
              <c:numCache>
                <c:formatCode>0</c:formatCode>
                <c:ptCount val="28"/>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numCache>
            </c:numRef>
          </c:cat>
          <c:val>
            <c:numRef>
              <c:f>'Alt Fueling Stations by Fuel'!$H$9:$H$36</c:f>
              <c:numCache>
                <c:formatCode>_(* #,##0_);_(* \(#,##0\);_(* "-"??_);_(@_)</c:formatCode>
                <c:ptCount val="28"/>
                <c:pt idx="8">
                  <c:v>2</c:v>
                </c:pt>
                <c:pt idx="9">
                  <c:v>16</c:v>
                </c:pt>
                <c:pt idx="10">
                  <c:v>79</c:v>
                </c:pt>
                <c:pt idx="11">
                  <c:v>142</c:v>
                </c:pt>
                <c:pt idx="12">
                  <c:v>176</c:v>
                </c:pt>
                <c:pt idx="13">
                  <c:v>304</c:v>
                </c:pt>
                <c:pt idx="14">
                  <c:v>459</c:v>
                </c:pt>
                <c:pt idx="15">
                  <c:v>742</c:v>
                </c:pt>
                <c:pt idx="16">
                  <c:v>645</c:v>
                </c:pt>
                <c:pt idx="17">
                  <c:v>679</c:v>
                </c:pt>
                <c:pt idx="18">
                  <c:v>644</c:v>
                </c:pt>
                <c:pt idx="19">
                  <c:v>627</c:v>
                </c:pt>
                <c:pt idx="20">
                  <c:v>675</c:v>
                </c:pt>
                <c:pt idx="21">
                  <c:v>757</c:v>
                </c:pt>
                <c:pt idx="22">
                  <c:v>783</c:v>
                </c:pt>
                <c:pt idx="23">
                  <c:v>721</c:v>
                </c:pt>
                <c:pt idx="24">
                  <c:v>697</c:v>
                </c:pt>
                <c:pt idx="25">
                  <c:v>702</c:v>
                </c:pt>
                <c:pt idx="26">
                  <c:v>681</c:v>
                </c:pt>
                <c:pt idx="27">
                  <c:v>613</c:v>
                </c:pt>
              </c:numCache>
            </c:numRef>
          </c:val>
          <c:extLst>
            <c:ext xmlns:c16="http://schemas.microsoft.com/office/drawing/2014/chart" uri="{C3380CC4-5D6E-409C-BE32-E72D297353CC}">
              <c16:uniqueId val="{00000002-0D2D-418B-8BE8-757B0312E189}"/>
            </c:ext>
          </c:extLst>
        </c:ser>
        <c:ser>
          <c:idx val="8"/>
          <c:order val="3"/>
          <c:tx>
            <c:strRef>
              <c:f>'Alt Fueling Stations by Fuel'!$G$8</c:f>
              <c:strCache>
                <c:ptCount val="1"/>
                <c:pt idx="0">
                  <c:v> Hydrogen </c:v>
                </c:pt>
              </c:strCache>
            </c:strRef>
          </c:tx>
          <c:invertIfNegative val="0"/>
          <c:cat>
            <c:numRef>
              <c:f>'Alt Fueling Stations by Fuel'!$B$9:$B$36</c:f>
              <c:numCache>
                <c:formatCode>0</c:formatCode>
                <c:ptCount val="28"/>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numCache>
            </c:numRef>
          </c:cat>
          <c:val>
            <c:numRef>
              <c:f>'Alt Fueling Stations by Fuel'!$G$9:$G$32</c:f>
              <c:numCache>
                <c:formatCode>_(* #,##0_);_(* \(#,##0\);_(* "-"??_);_(@_)</c:formatCode>
                <c:ptCount val="24"/>
                <c:pt idx="10">
                  <c:v>7</c:v>
                </c:pt>
                <c:pt idx="11">
                  <c:v>7</c:v>
                </c:pt>
                <c:pt idx="12">
                  <c:v>9</c:v>
                </c:pt>
                <c:pt idx="13">
                  <c:v>14</c:v>
                </c:pt>
                <c:pt idx="14">
                  <c:v>17</c:v>
                </c:pt>
                <c:pt idx="15">
                  <c:v>32</c:v>
                </c:pt>
                <c:pt idx="16">
                  <c:v>46</c:v>
                </c:pt>
                <c:pt idx="17">
                  <c:v>63</c:v>
                </c:pt>
                <c:pt idx="18">
                  <c:v>58</c:v>
                </c:pt>
                <c:pt idx="19">
                  <c:v>56</c:v>
                </c:pt>
                <c:pt idx="20">
                  <c:v>58</c:v>
                </c:pt>
                <c:pt idx="21">
                  <c:v>53</c:v>
                </c:pt>
                <c:pt idx="22">
                  <c:v>51</c:v>
                </c:pt>
                <c:pt idx="23">
                  <c:v>39</c:v>
                </c:pt>
              </c:numCache>
            </c:numRef>
          </c:val>
          <c:extLst>
            <c:ext xmlns:c16="http://schemas.microsoft.com/office/drawing/2014/chart" uri="{C3380CC4-5D6E-409C-BE32-E72D297353CC}">
              <c16:uniqueId val="{00000003-0D2D-418B-8BE8-757B0312E189}"/>
            </c:ext>
          </c:extLst>
        </c:ser>
        <c:ser>
          <c:idx val="6"/>
          <c:order val="4"/>
          <c:tx>
            <c:strRef>
              <c:f>'Alt Fueling Stations by Fuel'!$F$8</c:f>
              <c:strCache>
                <c:ptCount val="1"/>
                <c:pt idx="0">
                  <c:v> LNG </c:v>
                </c:pt>
              </c:strCache>
            </c:strRef>
          </c:tx>
          <c:spPr>
            <a:solidFill>
              <a:srgbClr val="0070C0"/>
            </a:solidFill>
          </c:spPr>
          <c:invertIfNegative val="0"/>
          <c:cat>
            <c:numRef>
              <c:f>'Alt Fueling Stations by Fuel'!$B$9:$B$36</c:f>
              <c:numCache>
                <c:formatCode>0</c:formatCode>
                <c:ptCount val="28"/>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numCache>
            </c:numRef>
          </c:cat>
          <c:val>
            <c:numRef>
              <c:f>'Alt Fueling Stations by Fuel'!$F$9:$F$36</c:f>
              <c:numCache>
                <c:formatCode>_(* #,##0_);_(* \(#,##0\);_(* "-"??_);_(@_)</c:formatCode>
                <c:ptCount val="28"/>
                <c:pt idx="4">
                  <c:v>72</c:v>
                </c:pt>
                <c:pt idx="5">
                  <c:v>71</c:v>
                </c:pt>
                <c:pt idx="6">
                  <c:v>66</c:v>
                </c:pt>
                <c:pt idx="7">
                  <c:v>46</c:v>
                </c:pt>
                <c:pt idx="8">
                  <c:v>44</c:v>
                </c:pt>
                <c:pt idx="9">
                  <c:v>44</c:v>
                </c:pt>
                <c:pt idx="10">
                  <c:v>36</c:v>
                </c:pt>
                <c:pt idx="11">
                  <c:v>62</c:v>
                </c:pt>
                <c:pt idx="12">
                  <c:v>58</c:v>
                </c:pt>
                <c:pt idx="13">
                  <c:v>40</c:v>
                </c:pt>
                <c:pt idx="14">
                  <c:v>37</c:v>
                </c:pt>
                <c:pt idx="15">
                  <c:v>35</c:v>
                </c:pt>
                <c:pt idx="16">
                  <c:v>38</c:v>
                </c:pt>
                <c:pt idx="17">
                  <c:v>36</c:v>
                </c:pt>
                <c:pt idx="18">
                  <c:v>39</c:v>
                </c:pt>
                <c:pt idx="19">
                  <c:v>45</c:v>
                </c:pt>
                <c:pt idx="20">
                  <c:v>59</c:v>
                </c:pt>
                <c:pt idx="21">
                  <c:v>81</c:v>
                </c:pt>
                <c:pt idx="22">
                  <c:v>103</c:v>
                </c:pt>
                <c:pt idx="23">
                  <c:v>111</c:v>
                </c:pt>
                <c:pt idx="24">
                  <c:v>140</c:v>
                </c:pt>
                <c:pt idx="25">
                  <c:v>131</c:v>
                </c:pt>
                <c:pt idx="26">
                  <c:v>137</c:v>
                </c:pt>
                <c:pt idx="27">
                  <c:v>119</c:v>
                </c:pt>
              </c:numCache>
            </c:numRef>
          </c:val>
          <c:extLst>
            <c:ext xmlns:c16="http://schemas.microsoft.com/office/drawing/2014/chart" uri="{C3380CC4-5D6E-409C-BE32-E72D297353CC}">
              <c16:uniqueId val="{00000004-0D2D-418B-8BE8-757B0312E189}"/>
            </c:ext>
          </c:extLst>
        </c:ser>
        <c:ser>
          <c:idx val="1"/>
          <c:order val="5"/>
          <c:tx>
            <c:strRef>
              <c:f>'Alt Fueling Stations by Fuel'!$E$8</c:f>
              <c:strCache>
                <c:ptCount val="1"/>
                <c:pt idx="0">
                  <c:v> Methanol (M85) </c:v>
                </c:pt>
              </c:strCache>
            </c:strRef>
          </c:tx>
          <c:invertIfNegative val="0"/>
          <c:cat>
            <c:numRef>
              <c:f>'Alt Fueling Stations by Fuel'!$B$9:$B$36</c:f>
              <c:numCache>
                <c:formatCode>0</c:formatCode>
                <c:ptCount val="28"/>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numCache>
            </c:numRef>
          </c:cat>
          <c:val>
            <c:numRef>
              <c:f>'Alt Fueling Stations by Fuel'!$E$9:$E$36</c:f>
              <c:numCache>
                <c:formatCode>_(* #,##0_);_(* \(#,##0\);_(* "-"??_);_(@_)</c:formatCode>
                <c:ptCount val="28"/>
                <c:pt idx="0">
                  <c:v>43</c:v>
                </c:pt>
                <c:pt idx="1">
                  <c:v>50</c:v>
                </c:pt>
                <c:pt idx="2">
                  <c:v>82</c:v>
                </c:pt>
                <c:pt idx="3">
                  <c:v>88</c:v>
                </c:pt>
                <c:pt idx="4">
                  <c:v>95</c:v>
                </c:pt>
                <c:pt idx="5">
                  <c:v>106</c:v>
                </c:pt>
                <c:pt idx="6">
                  <c:v>91</c:v>
                </c:pt>
                <c:pt idx="7">
                  <c:v>51</c:v>
                </c:pt>
                <c:pt idx="8">
                  <c:v>3</c:v>
                </c:pt>
              </c:numCache>
            </c:numRef>
          </c:val>
          <c:extLst>
            <c:ext xmlns:c16="http://schemas.microsoft.com/office/drawing/2014/chart" uri="{C3380CC4-5D6E-409C-BE32-E72D297353CC}">
              <c16:uniqueId val="{00000005-0D2D-418B-8BE8-757B0312E189}"/>
            </c:ext>
          </c:extLst>
        </c:ser>
        <c:ser>
          <c:idx val="4"/>
          <c:order val="6"/>
          <c:tx>
            <c:strRef>
              <c:f>'Alt Fueling Stations by Fuel'!$D$8</c:f>
              <c:strCache>
                <c:ptCount val="1"/>
                <c:pt idx="0">
                  <c:v> Propane </c:v>
                </c:pt>
              </c:strCache>
            </c:strRef>
          </c:tx>
          <c:invertIfNegative val="0"/>
          <c:cat>
            <c:numRef>
              <c:f>'Alt Fueling Stations by Fuel'!$B$9:$B$36</c:f>
              <c:numCache>
                <c:formatCode>0</c:formatCode>
                <c:ptCount val="28"/>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numCache>
            </c:numRef>
          </c:cat>
          <c:val>
            <c:numRef>
              <c:f>'Alt Fueling Stations by Fuel'!$D$9:$D$36</c:f>
              <c:numCache>
                <c:formatCode>_(* #,##0_);_(* \(#,##0\);_(* "-"??_);_(@_)</c:formatCode>
                <c:ptCount val="28"/>
                <c:pt idx="0">
                  <c:v>3297</c:v>
                </c:pt>
                <c:pt idx="1">
                  <c:v>3297</c:v>
                </c:pt>
                <c:pt idx="2">
                  <c:v>3299</c:v>
                </c:pt>
                <c:pt idx="3">
                  <c:v>3299</c:v>
                </c:pt>
                <c:pt idx="4">
                  <c:v>4252</c:v>
                </c:pt>
                <c:pt idx="5">
                  <c:v>4255</c:v>
                </c:pt>
                <c:pt idx="6">
                  <c:v>5318</c:v>
                </c:pt>
                <c:pt idx="7">
                  <c:v>4153</c:v>
                </c:pt>
                <c:pt idx="8">
                  <c:v>3268</c:v>
                </c:pt>
                <c:pt idx="9">
                  <c:v>3403</c:v>
                </c:pt>
                <c:pt idx="10">
                  <c:v>3431</c:v>
                </c:pt>
                <c:pt idx="11">
                  <c:v>3966</c:v>
                </c:pt>
                <c:pt idx="12">
                  <c:v>3689</c:v>
                </c:pt>
                <c:pt idx="13">
                  <c:v>2995</c:v>
                </c:pt>
                <c:pt idx="14">
                  <c:v>2619</c:v>
                </c:pt>
                <c:pt idx="15">
                  <c:v>2371</c:v>
                </c:pt>
                <c:pt idx="16">
                  <c:v>2175</c:v>
                </c:pt>
                <c:pt idx="17">
                  <c:v>2468</c:v>
                </c:pt>
                <c:pt idx="18">
                  <c:v>2647</c:v>
                </c:pt>
                <c:pt idx="19">
                  <c:v>2597</c:v>
                </c:pt>
                <c:pt idx="20">
                  <c:v>2654</c:v>
                </c:pt>
                <c:pt idx="21">
                  <c:v>2956</c:v>
                </c:pt>
                <c:pt idx="22">
                  <c:v>2931</c:v>
                </c:pt>
                <c:pt idx="23">
                  <c:v>3594</c:v>
                </c:pt>
                <c:pt idx="24">
                  <c:v>3665</c:v>
                </c:pt>
                <c:pt idx="25">
                  <c:v>3514</c:v>
                </c:pt>
                <c:pt idx="26">
                  <c:v>3341</c:v>
                </c:pt>
                <c:pt idx="27">
                  <c:v>3178</c:v>
                </c:pt>
              </c:numCache>
            </c:numRef>
          </c:val>
          <c:extLst>
            <c:ext xmlns:c16="http://schemas.microsoft.com/office/drawing/2014/chart" uri="{C3380CC4-5D6E-409C-BE32-E72D297353CC}">
              <c16:uniqueId val="{00000006-0D2D-418B-8BE8-757B0312E189}"/>
            </c:ext>
          </c:extLst>
        </c:ser>
        <c:ser>
          <c:idx val="5"/>
          <c:order val="7"/>
          <c:tx>
            <c:strRef>
              <c:f>'Alt Fueling Stations by Fuel'!$C$8</c:f>
              <c:strCache>
                <c:ptCount val="1"/>
                <c:pt idx="0">
                  <c:v> Electric* </c:v>
                </c:pt>
              </c:strCache>
            </c:strRef>
          </c:tx>
          <c:invertIfNegative val="0"/>
          <c:cat>
            <c:numRef>
              <c:f>'Alt Fueling Stations by Fuel'!$B$9:$B$36</c:f>
              <c:numCache>
                <c:formatCode>0</c:formatCode>
                <c:ptCount val="28"/>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numCache>
            </c:numRef>
          </c:cat>
          <c:val>
            <c:numRef>
              <c:f>'Alt Fueling Stations by Fuel'!$C$9:$C$36</c:f>
              <c:numCache>
                <c:formatCode>_(* #,##0_);_(* \(#,##0\);_(* "-"??_);_(@_)</c:formatCode>
                <c:ptCount val="28"/>
                <c:pt idx="3">
                  <c:v>188</c:v>
                </c:pt>
                <c:pt idx="4">
                  <c:v>194</c:v>
                </c:pt>
                <c:pt idx="5">
                  <c:v>310</c:v>
                </c:pt>
                <c:pt idx="6">
                  <c:v>486</c:v>
                </c:pt>
                <c:pt idx="7">
                  <c:v>490</c:v>
                </c:pt>
                <c:pt idx="8">
                  <c:v>558</c:v>
                </c:pt>
                <c:pt idx="9">
                  <c:v>693</c:v>
                </c:pt>
                <c:pt idx="10">
                  <c:v>873</c:v>
                </c:pt>
                <c:pt idx="11">
                  <c:v>830</c:v>
                </c:pt>
                <c:pt idx="12">
                  <c:v>671</c:v>
                </c:pt>
                <c:pt idx="13">
                  <c:v>588</c:v>
                </c:pt>
                <c:pt idx="14">
                  <c:v>465</c:v>
                </c:pt>
                <c:pt idx="15">
                  <c:v>442</c:v>
                </c:pt>
                <c:pt idx="16">
                  <c:v>430</c:v>
                </c:pt>
                <c:pt idx="17">
                  <c:v>465</c:v>
                </c:pt>
                <c:pt idx="18">
                  <c:v>541</c:v>
                </c:pt>
                <c:pt idx="19">
                  <c:v>3394</c:v>
                </c:pt>
                <c:pt idx="20">
                  <c:v>13392</c:v>
                </c:pt>
                <c:pt idx="21">
                  <c:v>19410</c:v>
                </c:pt>
                <c:pt idx="22">
                  <c:v>25602</c:v>
                </c:pt>
                <c:pt idx="23">
                  <c:v>30945</c:v>
                </c:pt>
                <c:pt idx="24">
                  <c:v>42029</c:v>
                </c:pt>
                <c:pt idx="25">
                  <c:v>50627</c:v>
                </c:pt>
                <c:pt idx="26">
                  <c:v>61067</c:v>
                </c:pt>
                <c:pt idx="27">
                  <c:v>78301</c:v>
                </c:pt>
              </c:numCache>
            </c:numRef>
          </c:val>
          <c:extLst>
            <c:ext xmlns:c16="http://schemas.microsoft.com/office/drawing/2014/chart" uri="{C3380CC4-5D6E-409C-BE32-E72D297353CC}">
              <c16:uniqueId val="{00000007-0D2D-418B-8BE8-757B0312E189}"/>
            </c:ext>
          </c:extLst>
        </c:ser>
        <c:dLbls>
          <c:showLegendKey val="0"/>
          <c:showVal val="0"/>
          <c:showCatName val="0"/>
          <c:showSerName val="0"/>
          <c:showPercent val="0"/>
          <c:showBubbleSize val="0"/>
        </c:dLbls>
        <c:gapWidth val="150"/>
        <c:overlap val="100"/>
        <c:axId val="326751072"/>
        <c:axId val="326753816"/>
      </c:barChart>
      <c:catAx>
        <c:axId val="326751072"/>
        <c:scaling>
          <c:orientation val="minMax"/>
        </c:scaling>
        <c:delete val="0"/>
        <c:axPos val="b"/>
        <c:title>
          <c:tx>
            <c:rich>
              <a:bodyPr/>
              <a:lstStyle/>
              <a:p>
                <a:pPr>
                  <a:defRPr sz="1200" b="1"/>
                </a:pPr>
                <a:r>
                  <a:rPr lang="en-US" sz="1200" b="1"/>
                  <a:t>Year</a:t>
                </a:r>
              </a:p>
            </c:rich>
          </c:tx>
          <c:layout>
            <c:manualLayout>
              <c:xMode val="edge"/>
              <c:yMode val="edge"/>
              <c:x val="0.46909156011257197"/>
              <c:y val="0.948499242388254"/>
            </c:manualLayout>
          </c:layout>
          <c:overlay val="0"/>
        </c:title>
        <c:numFmt formatCode="0" sourceLinked="1"/>
        <c:majorTickMark val="out"/>
        <c:minorTickMark val="none"/>
        <c:tickLblPos val="nextTo"/>
        <c:txPr>
          <a:bodyPr rot="-2700000" vert="horz"/>
          <a:lstStyle/>
          <a:p>
            <a:pPr>
              <a:defRPr sz="1200" b="1" i="0" u="none" strike="noStrike" baseline="0">
                <a:solidFill>
                  <a:srgbClr val="000000"/>
                </a:solidFill>
                <a:latin typeface="Calibri"/>
                <a:ea typeface="Calibri"/>
                <a:cs typeface="Calibri"/>
              </a:defRPr>
            </a:pPr>
            <a:endParaRPr lang="en-US"/>
          </a:p>
        </c:txPr>
        <c:crossAx val="326753816"/>
        <c:crosses val="autoZero"/>
        <c:auto val="1"/>
        <c:lblAlgn val="ctr"/>
        <c:lblOffset val="100"/>
        <c:noMultiLvlLbl val="0"/>
      </c:catAx>
      <c:valAx>
        <c:axId val="326753816"/>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Thousand Stations</a:t>
                </a:r>
              </a:p>
            </c:rich>
          </c:tx>
          <c:overlay val="0"/>
        </c:title>
        <c:numFmt formatCode="_(* #,##0_);_(* \(#,##0\);_(*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26751072"/>
        <c:crosses val="autoZero"/>
        <c:crossBetween val="between"/>
        <c:dispUnits>
          <c:builtInUnit val="thousands"/>
        </c:dispUnits>
      </c:valAx>
    </c:plotArea>
    <c:legend>
      <c:legendPos val="r"/>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 l="0.70000000000000095" r="0.70000000000000095" t="0.750000000000002"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en-US" b="1"/>
              <a:t>Adoption Decision</a:t>
            </a:r>
          </a:p>
        </c:rich>
      </c:tx>
      <c:overlay val="0"/>
      <c:spPr>
        <a:noFill/>
        <a:ln w="25400">
          <a:noFill/>
        </a:ln>
      </c:sp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v>survey data</c:v>
          </c:tx>
          <c:spPr>
            <a:ln w="12700">
              <a:solidFill>
                <a:srgbClr val="000080"/>
              </a:solidFill>
              <a:prstDash val="solid"/>
            </a:ln>
          </c:spPr>
          <c:marker>
            <c:symbol val="diamond"/>
            <c:size val="7"/>
            <c:spPr>
              <a:solidFill>
                <a:srgbClr val="000080"/>
              </a:solidFill>
              <a:ln>
                <a:solidFill>
                  <a:srgbClr val="000080"/>
                </a:solidFill>
                <a:prstDash val="solid"/>
              </a:ln>
            </c:spPr>
          </c:marker>
          <c:dLbls>
            <c:dLbl>
              <c:idx val="12"/>
              <c:layout>
                <c:manualLayout>
                  <c:x val="-2.7784468117955747E-3"/>
                  <c:y val="-5.172399869114503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25400">
              <a:solidFill>
                <a:srgbClr val="800080"/>
              </a:solidFill>
              <a:prstDash val="solid"/>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25400">
              <a:solidFill>
                <a:srgbClr val="FF00FF"/>
              </a:solidFill>
              <a:prstDash val="sysDash"/>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25400">
              <a:solidFill>
                <a:srgbClr val="008000"/>
              </a:solidFill>
              <a:prstDash val="lgDash"/>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title>
          <c:tx>
            <c:rich>
              <a:bodyPr/>
              <a:lstStyle/>
              <a:p>
                <a:pPr>
                  <a:defRPr sz="1100" b="1"/>
                </a:pPr>
                <a:r>
                  <a:rPr lang="en-US" sz="1100" b="1"/>
                  <a:t>Payback Period (months)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0899360"/>
        <c:crosses val="autoZero"/>
        <c:crossBetween val="midCat"/>
        <c:majorUnit val="12"/>
        <c:minorUnit val="4"/>
      </c:valAx>
      <c:valAx>
        <c:axId val="660899360"/>
        <c:scaling>
          <c:orientation val="minMax"/>
        </c:scaling>
        <c:delete val="0"/>
        <c:axPos val="l"/>
        <c:majorGridlines>
          <c:spPr>
            <a:ln w="3175">
              <a:solidFill>
                <a:srgbClr val="000000"/>
              </a:solidFill>
              <a:prstDash val="solid"/>
            </a:ln>
          </c:spPr>
        </c:majorGridlines>
        <c:title>
          <c:tx>
            <c:rich>
              <a:bodyPr rot="-5400000" vert="horz"/>
              <a:lstStyle/>
              <a:p>
                <a:pPr>
                  <a:defRPr sz="1100" b="1"/>
                </a:pPr>
                <a:r>
                  <a:rPr lang="en-US" sz="1100" b="1"/>
                  <a:t>Adoption</a:t>
                </a:r>
                <a:r>
                  <a:rPr lang="en-US" sz="1100" b="1" baseline="0"/>
                  <a:t> Rate</a:t>
                </a:r>
                <a:endParaRPr lang="en-US" sz="1100" b="1"/>
              </a:p>
            </c:rich>
          </c:tx>
          <c:overlay val="0"/>
          <c:spPr>
            <a:noFill/>
            <a:ln w="25400">
              <a:noFill/>
            </a:ln>
          </c:spPr>
        </c:title>
        <c:numFmt formatCode="0%" sourceLinked="0"/>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0898800"/>
        <c:crosses val="autoZero"/>
        <c:crossBetween val="midCat"/>
      </c:valAx>
      <c:spPr>
        <a:noFill/>
        <a:ln w="12700">
          <a:solidFill>
            <a:srgbClr val="000000"/>
          </a:solidFill>
        </a:ln>
      </c:spPr>
    </c:plotArea>
    <c:legend>
      <c:legendPos val="r"/>
      <c:layout>
        <c:manualLayout>
          <c:xMode val="edge"/>
          <c:yMode val="edge"/>
          <c:x val="0.64509927435541148"/>
          <c:y val="0.129973474801061"/>
          <c:w val="0.27254963717770575"/>
          <c:h val="0.2599469496021220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89" r="0.75000000000000089" t="1" header="0.5" footer="0.5"/>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5.3291536050156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9122286323052867"/>
          <c:w val="0.87145638093725963"/>
          <c:h val="0.59247739591098181"/>
        </c:manualLayout>
      </c:layout>
      <c:scatterChart>
        <c:scatterStyle val="lineMarker"/>
        <c:varyColors val="0"/>
        <c:ser>
          <c:idx val="0"/>
          <c:order val="0"/>
          <c:tx>
            <c:strRef>
              <c:f>'S-curves'!$B$8</c:f>
              <c:strCache>
                <c:ptCount val="1"/>
                <c:pt idx="0">
                  <c:v>Factor</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dLbls>
          <c:showLegendKey val="0"/>
          <c:showVal val="0"/>
          <c:showCatName val="0"/>
          <c:showSerName val="0"/>
          <c:showPercent val="0"/>
          <c:showBubbleSize val="0"/>
        </c:dLbls>
        <c:axId val="678077488"/>
        <c:axId val="678078048"/>
      </c:scatterChart>
      <c:valAx>
        <c:axId val="6780774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3837429111531192"/>
              <c:y val="0.9059561128526645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Elec Price Factor</c:v>
          </c:tx>
          <c:spPr>
            <a:ln w="19050" cap="rnd">
              <a:solidFill>
                <a:schemeClr val="accent1"/>
              </a:solidFill>
              <a:round/>
            </a:ln>
            <a:effectLst/>
          </c:spPr>
          <c:marker>
            <c:symbol val="none"/>
          </c:marker>
          <c:xVal>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xVal>
          <c:yVal>
            <c:numLit>
              <c:formatCode>General</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Lit>
          </c:yVal>
          <c:smooth val="0"/>
          <c:extLst>
            <c:ext xmlns:c16="http://schemas.microsoft.com/office/drawing/2014/chart" uri="{C3380CC4-5D6E-409C-BE32-E72D297353CC}">
              <c16:uniqueId val="{00000000-FF3C-45DE-BAA5-17BF8FE077CD}"/>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image" Target="../media/image3.png"/><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hyperlink" Target="https://afdc.energy.gov/data" TargetMode="External"/></Relationships>
</file>

<file path=xl/drawings/_rels/drawing11.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5" Type="http://schemas.openxmlformats.org/officeDocument/2006/relationships/chart" Target="../charts/chart23.xml"/><Relationship Id="rId4"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6</xdr:row>
          <xdr:rowOff>133350</xdr:rowOff>
        </xdr:from>
        <xdr:to>
          <xdr:col>20</xdr:col>
          <xdr:colOff>257175</xdr:colOff>
          <xdr:row>7</xdr:row>
          <xdr:rowOff>152400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300-0000074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33</xdr:col>
      <xdr:colOff>95249</xdr:colOff>
      <xdr:row>23</xdr:row>
      <xdr:rowOff>127000</xdr:rowOff>
    </xdr:from>
    <xdr:to>
      <xdr:col>40</xdr:col>
      <xdr:colOff>370416</xdr:colOff>
      <xdr:row>41</xdr:row>
      <xdr:rowOff>12700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37</xdr:col>
      <xdr:colOff>439831</xdr:colOff>
      <xdr:row>188</xdr:row>
      <xdr:rowOff>132230</xdr:rowOff>
    </xdr:from>
    <xdr:to>
      <xdr:col>46</xdr:col>
      <xdr:colOff>101702</xdr:colOff>
      <xdr:row>192</xdr:row>
      <xdr:rowOff>141756</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6269390" y="30982024"/>
          <a:ext cx="5264812" cy="637055"/>
        </a:xfrm>
        <a:prstGeom prst="rect">
          <a:avLst/>
        </a:prstGeom>
      </xdr:spPr>
    </xdr:pic>
    <xdr:clientData/>
  </xdr:twoCellAnchor>
  <xdr:twoCellAnchor editAs="oneCell">
    <xdr:from>
      <xdr:col>39</xdr:col>
      <xdr:colOff>8964</xdr:colOff>
      <xdr:row>185</xdr:row>
      <xdr:rowOff>71158</xdr:rowOff>
    </xdr:from>
    <xdr:to>
      <xdr:col>43</xdr:col>
      <xdr:colOff>271182</xdr:colOff>
      <xdr:row>188</xdr:row>
      <xdr:rowOff>60750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26959111" y="30439099"/>
          <a:ext cx="2839571" cy="47144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100852</xdr:colOff>
      <xdr:row>11</xdr:row>
      <xdr:rowOff>44824</xdr:rowOff>
    </xdr:from>
    <xdr:to>
      <xdr:col>6</xdr:col>
      <xdr:colOff>571499</xdr:colOff>
      <xdr:row>25</xdr:row>
      <xdr:rowOff>112059</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345315</xdr:colOff>
      <xdr:row>9</xdr:row>
      <xdr:rowOff>117402</xdr:rowOff>
    </xdr:from>
    <xdr:to>
      <xdr:col>13</xdr:col>
      <xdr:colOff>171588</xdr:colOff>
      <xdr:row>23</xdr:row>
      <xdr:rowOff>180155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72836</xdr:colOff>
      <xdr:row>11</xdr:row>
      <xdr:rowOff>118782</xdr:rowOff>
    </xdr:from>
    <xdr:to>
      <xdr:col>22</xdr:col>
      <xdr:colOff>661145</xdr:colOff>
      <xdr:row>26</xdr:row>
      <xdr:rowOff>4482</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63311</xdr:colOff>
      <xdr:row>11</xdr:row>
      <xdr:rowOff>52107</xdr:rowOff>
    </xdr:from>
    <xdr:to>
      <xdr:col>31</xdr:col>
      <xdr:colOff>574861</xdr:colOff>
      <xdr:row>28</xdr:row>
      <xdr:rowOff>3442</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336177</xdr:colOff>
      <xdr:row>25</xdr:row>
      <xdr:rowOff>33618</xdr:rowOff>
    </xdr:from>
    <xdr:to>
      <xdr:col>13</xdr:col>
      <xdr:colOff>179571</xdr:colOff>
      <xdr:row>39</xdr:row>
      <xdr:rowOff>103959</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5"/>
        <a:stretch>
          <a:fillRect/>
        </a:stretch>
      </xdr:blipFill>
      <xdr:spPr>
        <a:xfrm>
          <a:off x="5345206" y="5199530"/>
          <a:ext cx="4224894" cy="2737341"/>
        </a:xfrm>
        <a:prstGeom prst="rect">
          <a:avLst/>
        </a:prstGeom>
      </xdr:spPr>
    </xdr:pic>
    <xdr:clientData/>
  </xdr:twoCellAnchor>
  <xdr:oneCellAnchor>
    <xdr:from>
      <xdr:col>7</xdr:col>
      <xdr:colOff>773206</xdr:colOff>
      <xdr:row>26</xdr:row>
      <xdr:rowOff>100853</xdr:rowOff>
    </xdr:from>
    <xdr:ext cx="3536224" cy="436786"/>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5782235" y="5457265"/>
          <a:ext cx="3536224"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FF0000"/>
              </a:solidFill>
            </a:rPr>
            <a:t>9/26</a:t>
          </a:r>
          <a:r>
            <a:rPr lang="en-US" sz="1100" baseline="0">
              <a:solidFill>
                <a:srgbClr val="FF0000"/>
              </a:solidFill>
            </a:rPr>
            <a:t> results - different idle rates&amp;cost and 2050 CdA &amp; Crr</a:t>
          </a:r>
        </a:p>
        <a:p>
          <a:r>
            <a:rPr lang="en-US" sz="1100" baseline="0">
              <a:solidFill>
                <a:srgbClr val="FF0000"/>
              </a:solidFill>
            </a:rPr>
            <a:t>adv conv frozen at 2035.</a:t>
          </a:r>
          <a:endParaRPr lang="en-US" sz="1100">
            <a:solidFill>
              <a:srgbClr val="FF0000"/>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13</xdr:col>
      <xdr:colOff>407894</xdr:colOff>
      <xdr:row>9</xdr:row>
      <xdr:rowOff>26895</xdr:rowOff>
    </xdr:from>
    <xdr:to>
      <xdr:col>22</xdr:col>
      <xdr:colOff>385482</xdr:colOff>
      <xdr:row>26</xdr:row>
      <xdr:rowOff>82924</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268940</xdr:colOff>
      <xdr:row>8</xdr:row>
      <xdr:rowOff>125513</xdr:rowOff>
    </xdr:from>
    <xdr:to>
      <xdr:col>30</xdr:col>
      <xdr:colOff>324970</xdr:colOff>
      <xdr:row>32</xdr:row>
      <xdr:rowOff>69477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133350</xdr:colOff>
      <xdr:row>9</xdr:row>
      <xdr:rowOff>123825</xdr:rowOff>
    </xdr:from>
    <xdr:to>
      <xdr:col>9</xdr:col>
      <xdr:colOff>285750</xdr:colOff>
      <xdr:row>26</xdr:row>
      <xdr:rowOff>95250</xdr:rowOff>
    </xdr:to>
    <xdr:graphicFrame macro="">
      <xdr:nvGraphicFramePr>
        <xdr:cNvPr id="5" name="Chart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49696</xdr:colOff>
      <xdr:row>6</xdr:row>
      <xdr:rowOff>45968</xdr:rowOff>
    </xdr:from>
    <xdr:to>
      <xdr:col>20</xdr:col>
      <xdr:colOff>617882</xdr:colOff>
      <xdr:row>23</xdr:row>
      <xdr:rowOff>40171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123825</xdr:colOff>
      <xdr:row>27</xdr:row>
      <xdr:rowOff>85725</xdr:rowOff>
    </xdr:from>
    <xdr:to>
      <xdr:col>9</xdr:col>
      <xdr:colOff>276225</xdr:colOff>
      <xdr:row>44</xdr:row>
      <xdr:rowOff>76200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32</xdr:col>
      <xdr:colOff>295275</xdr:colOff>
      <xdr:row>7</xdr:row>
      <xdr:rowOff>28575</xdr:rowOff>
    </xdr:from>
    <xdr:to>
      <xdr:col>39</xdr:col>
      <xdr:colOff>200025</xdr:colOff>
      <xdr:row>23</xdr:row>
      <xdr:rowOff>142875</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53</xdr:col>
      <xdr:colOff>381000</xdr:colOff>
      <xdr:row>2</xdr:row>
      <xdr:rowOff>76200</xdr:rowOff>
    </xdr:from>
    <xdr:to>
      <xdr:col>61</xdr:col>
      <xdr:colOff>76200</xdr:colOff>
      <xdr:row>19</xdr:row>
      <xdr:rowOff>19050</xdr:rowOff>
    </xdr:to>
    <xdr:graphicFrame macro="">
      <xdr:nvGraphicFramePr>
        <xdr:cNvPr id="7" name="Chart 6">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53</xdr:col>
      <xdr:colOff>481012</xdr:colOff>
      <xdr:row>29</xdr:row>
      <xdr:rowOff>38100</xdr:rowOff>
    </xdr:from>
    <xdr:to>
      <xdr:col>61</xdr:col>
      <xdr:colOff>176212</xdr:colOff>
      <xdr:row>46</xdr:row>
      <xdr:rowOff>28575</xdr:rowOff>
    </xdr:to>
    <xdr:graphicFrame macro="">
      <xdr:nvGraphicFramePr>
        <xdr:cNvPr id="8" name="Chart 7">
          <a:extLst>
            <a:ext uri="{FF2B5EF4-FFF2-40B4-BE49-F238E27FC236}">
              <a16:creationId xmlns:a16="http://schemas.microsoft.com/office/drawing/2014/main" id="{00000000-0008-0000-0E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11</xdr:col>
      <xdr:colOff>238125</xdr:colOff>
      <xdr:row>6</xdr:row>
      <xdr:rowOff>17145</xdr:rowOff>
    </xdr:from>
    <xdr:to>
      <xdr:col>26</xdr:col>
      <xdr:colOff>59055</xdr:colOff>
      <xdr:row>41</xdr:row>
      <xdr:rowOff>419100</xdr:rowOff>
    </xdr:to>
    <xdr:graphicFrame macro="">
      <xdr:nvGraphicFramePr>
        <xdr:cNvPr id="2" name="Chart 2">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0.71022</cdr:x>
      <cdr:y>0.95825</cdr:y>
    </cdr:from>
    <cdr:to>
      <cdr:x>1</cdr:x>
      <cdr:y>1</cdr:y>
    </cdr:to>
    <cdr:sp macro="" textlink="">
      <cdr:nvSpPr>
        <cdr:cNvPr id="2" name="Text Box 1">
          <a:hlinkClick xmlns:a="http://schemas.openxmlformats.org/drawingml/2006/main" xmlns:r="http://schemas.openxmlformats.org/officeDocument/2006/relationships" r:id="rId1"/>
        </cdr:cNvPr>
        <cdr:cNvSpPr txBox="1">
          <a:spLocks xmlns:a="http://schemas.openxmlformats.org/drawingml/2006/main" noChangeArrowheads="1"/>
        </cdr:cNvSpPr>
      </cdr:nvSpPr>
      <cdr:spPr bwMode="auto">
        <a:xfrm xmlns:a="http://schemas.openxmlformats.org/drawingml/2006/main">
          <a:off x="4755696" y="4162425"/>
          <a:ext cx="1940379" cy="180522"/>
        </a:xfrm>
        <a:prstGeom xmlns:a="http://schemas.openxmlformats.org/drawingml/2006/main" prst="rect">
          <a:avLst/>
        </a:prstGeom>
        <a:solidFill xmlns:a="http://schemas.openxmlformats.org/drawingml/2006/main">
          <a:srgbClr val="FFFFFF">
            <a:alpha val="0"/>
          </a:srgbClr>
        </a:solidFill>
        <a:ln xmlns:a="http://schemas.openxmlformats.org/drawingml/2006/main" w="9525">
          <a:noFill/>
          <a:miter lim="800000"/>
          <a:headEnd/>
          <a:tailEnd/>
        </a:ln>
      </cdr:spPr>
      <cdr:txBody>
        <a:bodyPr xmlns:a="http://schemas.openxmlformats.org/drawingml/2006/main" wrap="square" lIns="0" tIns="0" rIns="27432" bIns="22860" anchor="b"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r" rtl="0">
            <a:defRPr sz="1000"/>
          </a:pPr>
          <a:r>
            <a:rPr lang="en-US" sz="975" b="0" i="0" u="none" strike="noStrike" baseline="0">
              <a:solidFill>
                <a:srgbClr val="000000"/>
              </a:solidFill>
              <a:latin typeface="Arial"/>
              <a:cs typeface="Arial"/>
            </a:rPr>
            <a:t>afdc.energy.gov/data</a:t>
          </a:r>
        </a:p>
      </cdr:txBody>
    </cdr:sp>
  </cdr:relSizeAnchor>
</c:userShapes>
</file>

<file path=xl/drawings/drawing11.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2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2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2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304800</xdr:colOff>
      <xdr:row>7</xdr:row>
      <xdr:rowOff>95250</xdr:rowOff>
    </xdr:from>
    <xdr:to>
      <xdr:col>10</xdr:col>
      <xdr:colOff>466725</xdr:colOff>
      <xdr:row>21</xdr:row>
      <xdr:rowOff>85725</xdr:rowOff>
    </xdr:to>
    <xdr:graphicFrame macro="">
      <xdr:nvGraphicFramePr>
        <xdr:cNvPr id="7411" name="Chart 1">
          <a:extLst>
            <a:ext uri="{FF2B5EF4-FFF2-40B4-BE49-F238E27FC236}">
              <a16:creationId xmlns:a16="http://schemas.microsoft.com/office/drawing/2014/main" id="{00000000-0008-0000-13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3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3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257175</xdr:colOff>
      <xdr:row>7</xdr:row>
      <xdr:rowOff>47625</xdr:rowOff>
    </xdr:from>
    <xdr:to>
      <xdr:col>34</xdr:col>
      <xdr:colOff>419100</xdr:colOff>
      <xdr:row>21</xdr:row>
      <xdr:rowOff>38100</xdr:rowOff>
    </xdr:to>
    <xdr:graphicFrame macro="">
      <xdr:nvGraphicFramePr>
        <xdr:cNvPr id="7414" name="Chart 1">
          <a:extLst>
            <a:ext uri="{FF2B5EF4-FFF2-40B4-BE49-F238E27FC236}">
              <a16:creationId xmlns:a16="http://schemas.microsoft.com/office/drawing/2014/main" id="{00000000-0008-0000-13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6" name="Chart 5">
          <a:extLst>
            <a:ext uri="{FF2B5EF4-FFF2-40B4-BE49-F238E27FC236}">
              <a16:creationId xmlns:a16="http://schemas.microsoft.com/office/drawing/2014/main" id="{00000000-0008-0000-1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dwyer@energetics.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ia.gov/outlooks/aeo/" TargetMode="External"/><Relationship Id="rId1" Type="http://schemas.openxmlformats.org/officeDocument/2006/relationships/hyperlink" Target="https://www.eia.gov/outlooks/aeo/data/browser/" TargetMode="External"/><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hyperlink" Target="https://www.afdc.energy.gov/data/10332" TargetMode="External"/><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hyperlink" Target="https://afdc.energy.gov/stations/states" TargetMode="External"/><Relationship Id="rId1" Type="http://schemas.openxmlformats.org/officeDocument/2006/relationships/hyperlink" Target="https://www.afdc.energy.gov/data/10332"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00873-A9A8-44A6-9DC0-A2CE4149F393}">
  <sheetPr codeName="Sheet2"/>
  <dimension ref="B2:D16"/>
  <sheetViews>
    <sheetView workbookViewId="0">
      <selection activeCell="D6" sqref="D6"/>
    </sheetView>
  </sheetViews>
  <sheetFormatPr defaultRowHeight="12.75" x14ac:dyDescent="0.2"/>
  <cols>
    <col min="2" max="2" width="15.140625" customWidth="1"/>
    <col min="3" max="3" width="22.42578125" customWidth="1"/>
    <col min="4" max="4" width="53.85546875" customWidth="1"/>
  </cols>
  <sheetData>
    <row r="2" spans="2:4" x14ac:dyDescent="0.2">
      <c r="B2" s="1285" t="s">
        <v>360</v>
      </c>
      <c r="C2" s="1286"/>
      <c r="D2" s="1286"/>
    </row>
    <row r="3" spans="2:4" x14ac:dyDescent="0.2">
      <c r="B3" s="1286"/>
      <c r="C3" s="1286"/>
      <c r="D3" s="1286"/>
    </row>
    <row r="4" spans="2:4" x14ac:dyDescent="0.2">
      <c r="B4" s="1285" t="s">
        <v>350</v>
      </c>
      <c r="C4" s="1285" t="s">
        <v>351</v>
      </c>
      <c r="D4" s="1285" t="s">
        <v>352</v>
      </c>
    </row>
    <row r="5" spans="2:4" ht="51" x14ac:dyDescent="0.2">
      <c r="B5" s="1288">
        <v>43763</v>
      </c>
      <c r="C5" s="1285" t="s">
        <v>353</v>
      </c>
      <c r="D5" s="1287" t="s">
        <v>354</v>
      </c>
    </row>
    <row r="6" spans="2:4" ht="25.5" x14ac:dyDescent="0.2">
      <c r="B6" s="1288">
        <v>43763</v>
      </c>
      <c r="C6" s="1285" t="s">
        <v>372</v>
      </c>
      <c r="D6" s="1287" t="s">
        <v>365</v>
      </c>
    </row>
    <row r="7" spans="2:4" ht="25.5" x14ac:dyDescent="0.2">
      <c r="B7" s="1288">
        <v>43768</v>
      </c>
      <c r="C7" s="1285" t="s">
        <v>355</v>
      </c>
      <c r="D7" s="1287" t="s">
        <v>356</v>
      </c>
    </row>
    <row r="8" spans="2:4" ht="25.5" x14ac:dyDescent="0.2">
      <c r="B8" s="1285" t="s">
        <v>357</v>
      </c>
      <c r="C8" s="1285" t="s">
        <v>358</v>
      </c>
      <c r="D8" s="1287" t="s">
        <v>359</v>
      </c>
    </row>
    <row r="9" spans="2:4" x14ac:dyDescent="0.2">
      <c r="B9" s="1288">
        <v>43770</v>
      </c>
      <c r="C9" s="1285" t="s">
        <v>358</v>
      </c>
      <c r="D9" s="1287" t="s">
        <v>367</v>
      </c>
    </row>
    <row r="10" spans="2:4" ht="25.5" x14ac:dyDescent="0.2">
      <c r="B10" s="1288">
        <v>43770</v>
      </c>
      <c r="C10" s="1285" t="s">
        <v>372</v>
      </c>
      <c r="D10" s="1287" t="s">
        <v>369</v>
      </c>
    </row>
    <row r="11" spans="2:4" x14ac:dyDescent="0.2">
      <c r="B11" s="1288">
        <v>43775</v>
      </c>
      <c r="C11" s="1285" t="s">
        <v>355</v>
      </c>
      <c r="D11" s="1287" t="s">
        <v>370</v>
      </c>
    </row>
    <row r="12" spans="2:4" ht="25.5" x14ac:dyDescent="0.2">
      <c r="B12" s="1288">
        <v>43775</v>
      </c>
      <c r="C12" s="1285" t="s">
        <v>372</v>
      </c>
      <c r="D12" s="1287" t="s">
        <v>371</v>
      </c>
    </row>
    <row r="13" spans="2:4" ht="25.5" x14ac:dyDescent="0.2">
      <c r="B13" s="1288">
        <v>43775</v>
      </c>
      <c r="C13" s="1285" t="s">
        <v>353</v>
      </c>
      <c r="D13" s="1287" t="s">
        <v>374</v>
      </c>
    </row>
    <row r="14" spans="2:4" x14ac:dyDescent="0.2">
      <c r="B14" s="1288">
        <v>43775</v>
      </c>
      <c r="C14" s="1285" t="s">
        <v>376</v>
      </c>
      <c r="D14" s="1287" t="s">
        <v>377</v>
      </c>
    </row>
    <row r="15" spans="2:4" ht="63.75" x14ac:dyDescent="0.2">
      <c r="B15" s="1288">
        <v>43775</v>
      </c>
      <c r="C15" s="1285" t="s">
        <v>368</v>
      </c>
      <c r="D15" s="1287" t="s">
        <v>378</v>
      </c>
    </row>
    <row r="16" spans="2:4" x14ac:dyDescent="0.2">
      <c r="B16" s="1288"/>
      <c r="C16" s="1285"/>
      <c r="D16" s="128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28" sqref="B28"/>
    </sheetView>
  </sheetViews>
  <sheetFormatPr defaultColWidth="9.140625" defaultRowHeight="12.75" x14ac:dyDescent="0.2"/>
  <cols>
    <col min="1" max="1" width="3" style="1245" customWidth="1"/>
    <col min="2" max="2" width="120" style="1273" customWidth="1"/>
    <col min="3" max="16384" width="9.140625" style="1245"/>
  </cols>
  <sheetData>
    <row r="1" spans="1:3" ht="15.75" x14ac:dyDescent="0.2">
      <c r="A1" s="1591" t="s">
        <v>345</v>
      </c>
      <c r="B1" s="1591"/>
    </row>
    <row r="2" spans="1:3" x14ac:dyDescent="0.2">
      <c r="A2" s="1592" t="s">
        <v>344</v>
      </c>
      <c r="B2" s="1593"/>
    </row>
    <row r="3" spans="1:3" x14ac:dyDescent="0.2">
      <c r="A3" s="1246"/>
      <c r="B3" s="1247"/>
    </row>
    <row r="4" spans="1:3" ht="15" x14ac:dyDescent="0.2">
      <c r="A4" s="1248" t="s">
        <v>134</v>
      </c>
      <c r="B4" s="1249"/>
    </row>
    <row r="5" spans="1:3" ht="38.25" x14ac:dyDescent="0.2">
      <c r="A5" s="1250">
        <v>1</v>
      </c>
      <c r="B5" s="1251" t="s">
        <v>343</v>
      </c>
      <c r="C5" s="1252"/>
    </row>
    <row r="6" spans="1:3" x14ac:dyDescent="0.2">
      <c r="A6" s="1253">
        <v>2</v>
      </c>
      <c r="B6" s="1254" t="s">
        <v>135</v>
      </c>
    </row>
    <row r="7" spans="1:3" x14ac:dyDescent="0.2">
      <c r="A7" s="1253">
        <v>3</v>
      </c>
      <c r="B7" s="1255" t="s">
        <v>136</v>
      </c>
    </row>
    <row r="8" spans="1:3" ht="25.5" x14ac:dyDescent="0.2">
      <c r="A8" s="1256"/>
      <c r="B8" s="1254" t="s">
        <v>137</v>
      </c>
    </row>
    <row r="9" spans="1:3" ht="38.25" x14ac:dyDescent="0.2">
      <c r="A9" s="1257">
        <v>4</v>
      </c>
      <c r="B9" s="1258" t="s">
        <v>158</v>
      </c>
    </row>
    <row r="10" spans="1:3" x14ac:dyDescent="0.2">
      <c r="A10" s="1257">
        <v>5</v>
      </c>
      <c r="B10" s="1258" t="s">
        <v>139</v>
      </c>
    </row>
    <row r="11" spans="1:3" ht="25.5" x14ac:dyDescent="0.2">
      <c r="A11" s="1257">
        <v>6</v>
      </c>
      <c r="B11" s="1258" t="s">
        <v>159</v>
      </c>
    </row>
    <row r="12" spans="1:3" ht="25.5" x14ac:dyDescent="0.2">
      <c r="A12" s="1257">
        <v>7</v>
      </c>
      <c r="B12" s="1258" t="s">
        <v>154</v>
      </c>
    </row>
    <row r="13" spans="1:3" ht="25.5" x14ac:dyDescent="0.2">
      <c r="A13" s="1259">
        <v>8</v>
      </c>
      <c r="B13" s="1260" t="s">
        <v>337</v>
      </c>
    </row>
    <row r="14" spans="1:3" ht="16.5" customHeight="1" x14ac:dyDescent="0.2">
      <c r="A14" s="1259"/>
      <c r="B14" s="1260" t="s">
        <v>201</v>
      </c>
    </row>
    <row r="15" spans="1:3" x14ac:dyDescent="0.2">
      <c r="A15" s="1259"/>
      <c r="B15" s="1260" t="s">
        <v>202</v>
      </c>
    </row>
    <row r="16" spans="1:3" x14ac:dyDescent="0.2">
      <c r="A16" s="1259"/>
      <c r="B16" s="1260" t="s">
        <v>203</v>
      </c>
    </row>
    <row r="17" spans="1:3" x14ac:dyDescent="0.2">
      <c r="A17" s="1259"/>
      <c r="B17" s="1260"/>
    </row>
    <row r="18" spans="1:3" x14ac:dyDescent="0.2">
      <c r="A18" s="1261"/>
      <c r="B18" s="1262" t="s">
        <v>338</v>
      </c>
    </row>
    <row r="20" spans="1:3" ht="15" x14ac:dyDescent="0.2">
      <c r="A20" s="1248" t="s">
        <v>138</v>
      </c>
      <c r="B20" s="1249"/>
    </row>
    <row r="21" spans="1:3" ht="18.75" customHeight="1" x14ac:dyDescent="0.2">
      <c r="A21" s="1263">
        <v>1</v>
      </c>
      <c r="B21" s="1264" t="s">
        <v>140</v>
      </c>
    </row>
    <row r="22" spans="1:3" x14ac:dyDescent="0.2">
      <c r="A22" s="1261"/>
      <c r="B22" s="1265" t="s">
        <v>151</v>
      </c>
    </row>
    <row r="23" spans="1:3" ht="18.75" customHeight="1" x14ac:dyDescent="0.2">
      <c r="A23" s="1263">
        <v>2</v>
      </c>
      <c r="B23" s="1264" t="s">
        <v>152</v>
      </c>
      <c r="C23" s="1252"/>
    </row>
    <row r="24" spans="1:3" x14ac:dyDescent="0.2">
      <c r="A24" s="1259"/>
      <c r="B24" s="1266" t="s">
        <v>153</v>
      </c>
    </row>
    <row r="25" spans="1:3" x14ac:dyDescent="0.2">
      <c r="A25" s="1259"/>
      <c r="B25" s="1266" t="s">
        <v>145</v>
      </c>
    </row>
    <row r="26" spans="1:3" ht="25.5" x14ac:dyDescent="0.2">
      <c r="A26" s="1261"/>
      <c r="B26" s="1267" t="s">
        <v>146</v>
      </c>
    </row>
    <row r="27" spans="1:3" ht="18.75" customHeight="1" x14ac:dyDescent="0.2">
      <c r="A27" s="1263">
        <v>3</v>
      </c>
      <c r="B27" s="1264" t="s">
        <v>147</v>
      </c>
    </row>
    <row r="28" spans="1:3" x14ac:dyDescent="0.2">
      <c r="A28" s="1259"/>
      <c r="B28" s="1260" t="s">
        <v>339</v>
      </c>
    </row>
    <row r="29" spans="1:3" x14ac:dyDescent="0.2">
      <c r="A29" s="1259"/>
      <c r="B29" s="1266"/>
    </row>
    <row r="30" spans="1:3" x14ac:dyDescent="0.2">
      <c r="A30" s="1259"/>
      <c r="B30" s="1266" t="s">
        <v>155</v>
      </c>
    </row>
    <row r="31" spans="1:3" x14ac:dyDescent="0.2">
      <c r="A31" s="1259"/>
      <c r="B31" s="1268" t="s">
        <v>340</v>
      </c>
    </row>
    <row r="32" spans="1:3" x14ac:dyDescent="0.2">
      <c r="A32" s="1261"/>
      <c r="B32" s="1269"/>
    </row>
    <row r="33" spans="1:2" ht="18.75" customHeight="1" x14ac:dyDescent="0.2">
      <c r="A33" s="1263">
        <v>4</v>
      </c>
      <c r="B33" s="1264" t="s">
        <v>148</v>
      </c>
    </row>
    <row r="34" spans="1:2" x14ac:dyDescent="0.2">
      <c r="A34" s="1259"/>
      <c r="B34" s="1258" t="s">
        <v>341</v>
      </c>
    </row>
    <row r="35" spans="1:2" x14ac:dyDescent="0.2">
      <c r="A35" s="1259"/>
      <c r="B35" s="1258" t="s">
        <v>342</v>
      </c>
    </row>
    <row r="36" spans="1:2" x14ac:dyDescent="0.2">
      <c r="A36" s="1259"/>
      <c r="B36" s="1270"/>
    </row>
    <row r="37" spans="1:2" x14ac:dyDescent="0.2">
      <c r="A37" s="1259"/>
      <c r="B37" s="1258"/>
    </row>
    <row r="38" spans="1:2" x14ac:dyDescent="0.2">
      <c r="A38" s="1259"/>
      <c r="B38" s="1270"/>
    </row>
    <row r="39" spans="1:2" x14ac:dyDescent="0.2">
      <c r="A39" s="1261"/>
      <c r="B39" s="1271"/>
    </row>
    <row r="40" spans="1:2" ht="18.75" customHeight="1" x14ac:dyDescent="0.2">
      <c r="A40" s="1263">
        <v>5</v>
      </c>
      <c r="B40" s="1264" t="s">
        <v>149</v>
      </c>
    </row>
    <row r="41" spans="1:2" x14ac:dyDescent="0.2">
      <c r="A41" s="1259"/>
      <c r="B41" s="1272" t="s">
        <v>150</v>
      </c>
    </row>
  </sheetData>
  <mergeCells count="2">
    <mergeCell ref="A1:B1"/>
    <mergeCell ref="A2:B2"/>
  </mergeCells>
  <phoneticPr fontId="59" type="noConversion"/>
  <hyperlinks>
    <hyperlink ref="B18" r:id="rId1" xr:uid="{00000000-0004-0000-0000-000000000000}"/>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1"/>
  <sheetViews>
    <sheetView workbookViewId="0">
      <selection activeCell="D27" sqref="D27"/>
    </sheetView>
  </sheetViews>
  <sheetFormatPr defaultColWidth="9.140625" defaultRowHeight="12.75" x14ac:dyDescent="0.2"/>
  <cols>
    <col min="1" max="1" width="3" style="878" customWidth="1"/>
    <col min="2" max="2" width="20.28515625" style="875" customWidth="1"/>
    <col min="3" max="3" width="15.28515625" style="875" customWidth="1"/>
    <col min="4" max="4" width="18.42578125" style="875" customWidth="1"/>
    <col min="5" max="5" width="14.85546875" style="875" customWidth="1"/>
    <col min="6" max="16384" width="9.140625" style="875"/>
  </cols>
  <sheetData>
    <row r="1" spans="1:7" x14ac:dyDescent="0.2">
      <c r="A1" s="456"/>
      <c r="B1" s="457"/>
      <c r="C1" s="457"/>
      <c r="D1" s="457"/>
      <c r="E1" s="458"/>
    </row>
    <row r="2" spans="1:7" s="883" customFormat="1" ht="15" x14ac:dyDescent="0.25">
      <c r="A2" s="879">
        <v>1</v>
      </c>
      <c r="B2" s="880" t="s">
        <v>119</v>
      </c>
      <c r="C2" s="880"/>
      <c r="D2" s="881"/>
      <c r="E2" s="882"/>
    </row>
    <row r="3" spans="1:7" x14ac:dyDescent="0.2">
      <c r="A3" s="460"/>
      <c r="B3" s="1594" t="s">
        <v>346</v>
      </c>
      <c r="C3" s="1595"/>
      <c r="D3" s="1596"/>
      <c r="E3" s="461"/>
      <c r="F3" s="876"/>
    </row>
    <row r="4" spans="1:7" x14ac:dyDescent="0.2">
      <c r="A4" s="460"/>
      <c r="B4" s="455"/>
      <c r="C4" s="455"/>
      <c r="D4" s="455"/>
      <c r="E4" s="459"/>
    </row>
    <row r="5" spans="1:7" s="883" customFormat="1" ht="15" x14ac:dyDescent="0.25">
      <c r="A5" s="879">
        <v>2</v>
      </c>
      <c r="B5" s="880" t="s">
        <v>118</v>
      </c>
      <c r="C5" s="880"/>
      <c r="D5" s="881"/>
      <c r="E5" s="882"/>
    </row>
    <row r="6" spans="1:7" x14ac:dyDescent="0.2">
      <c r="A6" s="460"/>
      <c r="B6" s="462" t="s">
        <v>55</v>
      </c>
      <c r="C6" s="873">
        <v>7.4999999999999997E-2</v>
      </c>
      <c r="D6" s="455"/>
      <c r="E6" s="459"/>
    </row>
    <row r="7" spans="1:7" x14ac:dyDescent="0.2">
      <c r="A7" s="460"/>
      <c r="B7" s="462" t="s">
        <v>56</v>
      </c>
      <c r="C7" s="874" t="s">
        <v>115</v>
      </c>
      <c r="D7" s="455"/>
      <c r="E7" s="459"/>
    </row>
    <row r="8" spans="1:7" x14ac:dyDescent="0.2">
      <c r="A8" s="460"/>
      <c r="B8" s="463"/>
      <c r="C8" s="463"/>
      <c r="D8" s="463"/>
      <c r="E8" s="464"/>
    </row>
    <row r="9" spans="1:7" s="883" customFormat="1" ht="15" x14ac:dyDescent="0.25">
      <c r="A9" s="879">
        <v>3</v>
      </c>
      <c r="B9" s="884" t="s">
        <v>175</v>
      </c>
      <c r="C9" s="884"/>
      <c r="D9" s="881"/>
      <c r="E9" s="882"/>
    </row>
    <row r="10" spans="1:7" x14ac:dyDescent="0.2">
      <c r="A10" s="460"/>
      <c r="B10" s="455"/>
      <c r="C10" s="455"/>
      <c r="D10" s="455"/>
      <c r="E10" s="459"/>
    </row>
    <row r="11" spans="1:7" x14ac:dyDescent="0.2">
      <c r="A11" s="460"/>
      <c r="B11" s="455"/>
      <c r="C11" s="455"/>
      <c r="D11" s="455"/>
      <c r="E11" s="459"/>
    </row>
    <row r="12" spans="1:7" x14ac:dyDescent="0.2">
      <c r="A12" s="871"/>
      <c r="B12" s="455"/>
      <c r="C12" s="455"/>
      <c r="D12" s="455"/>
      <c r="E12" s="459"/>
    </row>
    <row r="13" spans="1:7" x14ac:dyDescent="0.2">
      <c r="A13" s="871"/>
      <c r="B13" s="870"/>
      <c r="C13" s="455"/>
      <c r="D13" s="465"/>
      <c r="E13" s="459"/>
    </row>
    <row r="14" spans="1:7" x14ac:dyDescent="0.2">
      <c r="A14" s="460"/>
      <c r="B14" s="870"/>
      <c r="C14" s="462" t="s">
        <v>261</v>
      </c>
      <c r="D14" s="872">
        <v>44139.613217592596</v>
      </c>
      <c r="E14" s="459"/>
    </row>
    <row r="15" spans="1:7" x14ac:dyDescent="0.2">
      <c r="A15" s="460"/>
      <c r="B15" s="870"/>
      <c r="C15" s="462" t="s">
        <v>262</v>
      </c>
      <c r="D15" s="872">
        <v>44139.613217592596</v>
      </c>
      <c r="E15" s="459"/>
      <c r="G15" s="877"/>
    </row>
    <row r="16" spans="1:7" x14ac:dyDescent="0.2">
      <c r="A16" s="460"/>
      <c r="B16" s="870"/>
      <c r="C16" s="462" t="s">
        <v>263</v>
      </c>
      <c r="D16" s="872">
        <v>44139.613229166665</v>
      </c>
      <c r="E16" s="459"/>
      <c r="G16" s="877"/>
    </row>
    <row r="17" spans="1:7" x14ac:dyDescent="0.2">
      <c r="A17" s="460"/>
      <c r="B17" s="870"/>
      <c r="C17" s="462" t="s">
        <v>264</v>
      </c>
      <c r="D17" s="872">
        <v>44139.613229166665</v>
      </c>
      <c r="E17" s="459"/>
      <c r="G17" s="877"/>
    </row>
    <row r="18" spans="1:7" x14ac:dyDescent="0.2">
      <c r="A18" s="818"/>
      <c r="B18" s="819"/>
      <c r="C18" s="819"/>
      <c r="D18" s="819"/>
      <c r="E18" s="820"/>
    </row>
    <row r="23" spans="1:7" ht="12.75" customHeight="1" x14ac:dyDescent="0.2"/>
    <row r="31" spans="1:7"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B1:BF296"/>
  <sheetViews>
    <sheetView showGridLines="0" showOutlineSymbols="0" topLeftCell="B11" zoomScaleNormal="100" workbookViewId="0">
      <selection activeCell="D37" sqref="D37"/>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8.710937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style="3" customWidth="1" outlineLevel="1"/>
    <col min="18" max="18" width="7.85546875" style="3" customWidth="1" outlineLevel="1"/>
    <col min="19" max="19" width="6.28515625" style="3" customWidth="1"/>
    <col min="20" max="20" width="7.85546875" style="3" customWidth="1"/>
    <col min="21" max="21" width="5.85546875" style="3" customWidth="1" outlineLevel="1"/>
    <col min="22" max="22" width="7.42578125" style="3" customWidth="1" outlineLevel="1"/>
    <col min="23" max="23" width="6.85546875" style="3" customWidth="1"/>
    <col min="24" max="24" width="7.85546875" style="3" customWidth="1"/>
    <col min="25" max="25" width="7.140625" style="3" customWidth="1"/>
    <col min="26" max="26" width="6.42578125" style="3" customWidth="1"/>
    <col min="27" max="27" width="7.140625" style="3" customWidth="1"/>
    <col min="28" max="28" width="7.85546875" style="3" customWidth="1"/>
    <col min="29" max="29" width="5.85546875" style="3" customWidth="1"/>
    <col min="30" max="30" width="6.7109375" style="3" customWidth="1"/>
    <col min="31" max="31" width="5.85546875" style="3" customWidth="1"/>
    <col min="32" max="32" width="7.85546875" style="3" customWidth="1"/>
    <col min="33" max="33" width="4.42578125" style="3" hidden="1" customWidth="1"/>
    <col min="34" max="34" width="6.5703125" style="3" hidden="1" customWidth="1"/>
    <col min="35" max="46" width="7.140625" style="3" hidden="1" customWidth="1"/>
    <col min="47" max="58" width="6.5703125" style="3" hidden="1" customWidth="1"/>
    <col min="59" max="67" width="0" style="3" hidden="1" customWidth="1"/>
    <col min="68" max="16384" width="9.140625" style="3"/>
  </cols>
  <sheetData>
    <row r="1" spans="2:27" ht="15.75" x14ac:dyDescent="0.25">
      <c r="B1" s="53" t="s">
        <v>317</v>
      </c>
      <c r="C1" s="1"/>
      <c r="D1" s="1"/>
      <c r="F1" s="1"/>
    </row>
    <row r="2" spans="2:27" ht="5.25" customHeight="1" thickBot="1" x14ac:dyDescent="0.3">
      <c r="B2" s="53"/>
      <c r="C2" s="1"/>
      <c r="D2" s="1"/>
      <c r="F2" s="1"/>
    </row>
    <row r="3" spans="2:27" ht="13.5" thickBot="1" x14ac:dyDescent="0.25">
      <c r="B3" s="1" t="s">
        <v>193</v>
      </c>
      <c r="D3" s="731" t="s">
        <v>194</v>
      </c>
      <c r="E3" s="1363">
        <v>250</v>
      </c>
      <c r="F3" s="1"/>
    </row>
    <row r="4" spans="2:27" ht="15.75" x14ac:dyDescent="0.25">
      <c r="B4" s="11"/>
      <c r="C4" s="1"/>
      <c r="D4" s="1"/>
      <c r="F4" s="1"/>
    </row>
    <row r="5" spans="2:27" ht="15.75" thickBot="1" x14ac:dyDescent="0.3">
      <c r="B5" s="35" t="s">
        <v>77</v>
      </c>
      <c r="E5" s="3"/>
      <c r="G5" s="3"/>
      <c r="N5" s="1364"/>
      <c r="O5" s="1364"/>
    </row>
    <row r="6" spans="2:27" ht="24" customHeight="1" x14ac:dyDescent="0.2">
      <c r="B6" s="36"/>
      <c r="C6" s="37"/>
      <c r="D6" s="38"/>
      <c r="E6" s="38"/>
      <c r="F6" s="37"/>
      <c r="G6" s="37"/>
      <c r="H6" s="1365"/>
      <c r="I6" s="681"/>
      <c r="J6" s="1600" t="s">
        <v>79</v>
      </c>
      <c r="K6" s="1601"/>
      <c r="L6" s="1602" t="s">
        <v>87</v>
      </c>
      <c r="M6" s="1603"/>
      <c r="N6" s="1602" t="s">
        <v>113</v>
      </c>
      <c r="O6" s="1603"/>
    </row>
    <row r="7" spans="2:27" ht="27" customHeight="1" thickBot="1" x14ac:dyDescent="0.3">
      <c r="B7" s="39"/>
      <c r="C7" s="685" t="s">
        <v>78</v>
      </c>
      <c r="D7" s="683"/>
      <c r="E7" s="684"/>
      <c r="F7" s="40" t="s">
        <v>187</v>
      </c>
      <c r="G7" s="40" t="s">
        <v>186</v>
      </c>
      <c r="H7" s="1366" t="s">
        <v>208</v>
      </c>
      <c r="I7" s="682" t="s">
        <v>85</v>
      </c>
      <c r="J7" s="1367" t="s">
        <v>224</v>
      </c>
      <c r="K7" s="1368" t="s">
        <v>225</v>
      </c>
      <c r="L7" s="41" t="s">
        <v>117</v>
      </c>
      <c r="M7" s="42" t="s">
        <v>88</v>
      </c>
      <c r="N7" s="43" t="s">
        <v>99</v>
      </c>
      <c r="O7" s="44" t="s">
        <v>116</v>
      </c>
    </row>
    <row r="8" spans="2:27" ht="13.5" thickTop="1" x14ac:dyDescent="0.2">
      <c r="B8" s="226" t="s">
        <v>72</v>
      </c>
      <c r="C8" s="1330" t="s">
        <v>171</v>
      </c>
      <c r="D8" s="1331"/>
      <c r="E8" s="1332"/>
      <c r="F8" s="1333" t="s">
        <v>5</v>
      </c>
      <c r="G8" s="1333" t="s">
        <v>195</v>
      </c>
      <c r="H8" s="1369" t="b">
        <f>IF(AND(F8="Electricity",G8="N/A"),TRUE,FALSE)</f>
        <v>0</v>
      </c>
      <c r="I8" s="229"/>
      <c r="J8" s="230"/>
      <c r="K8" s="231"/>
      <c r="L8" s="232"/>
      <c r="M8" s="233"/>
      <c r="N8" s="1361">
        <v>0</v>
      </c>
      <c r="O8" s="1362">
        <v>175</v>
      </c>
    </row>
    <row r="9" spans="2:27" x14ac:dyDescent="0.2">
      <c r="B9" s="227" t="s">
        <v>68</v>
      </c>
      <c r="C9" s="1370" t="s">
        <v>326</v>
      </c>
      <c r="D9" s="1371"/>
      <c r="E9" s="1372"/>
      <c r="F9" s="1334" t="s">
        <v>5</v>
      </c>
      <c r="G9" s="1334" t="s">
        <v>195</v>
      </c>
      <c r="H9" s="1373" t="b">
        <f t="shared" ref="H9:H13" si="0">IF(AND(F9="Electricity",G9="N/A"),TRUE,FALSE)</f>
        <v>0</v>
      </c>
      <c r="I9" s="1340">
        <v>2025</v>
      </c>
      <c r="J9" s="1341">
        <v>0</v>
      </c>
      <c r="K9" s="1342">
        <v>0.5</v>
      </c>
      <c r="L9" s="1343">
        <v>5</v>
      </c>
      <c r="M9" s="1344">
        <v>5</v>
      </c>
      <c r="N9" s="1345">
        <v>0</v>
      </c>
      <c r="O9" s="1346">
        <v>350</v>
      </c>
    </row>
    <row r="10" spans="2:27" x14ac:dyDescent="0.2">
      <c r="B10" s="227" t="s">
        <v>69</v>
      </c>
      <c r="C10" s="1370" t="s">
        <v>327</v>
      </c>
      <c r="D10" s="1371"/>
      <c r="E10" s="1372"/>
      <c r="F10" s="1334" t="s">
        <v>5</v>
      </c>
      <c r="G10" s="1334" t="s">
        <v>195</v>
      </c>
      <c r="H10" s="1373" t="b">
        <f t="shared" si="0"/>
        <v>0</v>
      </c>
      <c r="I10" s="1340">
        <v>2025</v>
      </c>
      <c r="J10" s="1341">
        <v>0</v>
      </c>
      <c r="K10" s="1342">
        <v>0.5</v>
      </c>
      <c r="L10" s="1343">
        <v>5</v>
      </c>
      <c r="M10" s="1344">
        <v>5</v>
      </c>
      <c r="N10" s="1345">
        <v>0</v>
      </c>
      <c r="O10" s="1346">
        <v>350</v>
      </c>
    </row>
    <row r="11" spans="2:27" x14ac:dyDescent="0.2">
      <c r="B11" s="523" t="s">
        <v>70</v>
      </c>
      <c r="C11" s="1374" t="s">
        <v>318</v>
      </c>
      <c r="D11" s="1375"/>
      <c r="E11" s="1376"/>
      <c r="F11" s="1335" t="s">
        <v>6</v>
      </c>
      <c r="G11" s="1335" t="s">
        <v>195</v>
      </c>
      <c r="H11" s="1377" t="b">
        <f t="shared" si="0"/>
        <v>1</v>
      </c>
      <c r="I11" s="1340">
        <v>2025</v>
      </c>
      <c r="J11" s="1347">
        <v>0</v>
      </c>
      <c r="K11" s="1348">
        <v>0.5</v>
      </c>
      <c r="L11" s="1349">
        <v>5</v>
      </c>
      <c r="M11" s="1350">
        <v>5</v>
      </c>
      <c r="N11" s="1351">
        <v>0</v>
      </c>
      <c r="O11" s="1352">
        <v>350</v>
      </c>
    </row>
    <row r="12" spans="2:27" x14ac:dyDescent="0.2">
      <c r="B12" s="523" t="s">
        <v>178</v>
      </c>
      <c r="C12" s="1374" t="s">
        <v>402</v>
      </c>
      <c r="D12" s="1375"/>
      <c r="E12" s="1376"/>
      <c r="F12" s="1335" t="s">
        <v>181</v>
      </c>
      <c r="G12" s="1335" t="s">
        <v>195</v>
      </c>
      <c r="H12" s="1377" t="b">
        <f t="shared" si="0"/>
        <v>0</v>
      </c>
      <c r="I12" s="1353">
        <v>2025</v>
      </c>
      <c r="J12" s="1347">
        <v>0</v>
      </c>
      <c r="K12" s="1348">
        <v>0.5</v>
      </c>
      <c r="L12" s="1349">
        <v>5</v>
      </c>
      <c r="M12" s="1350">
        <v>5</v>
      </c>
      <c r="N12" s="1351">
        <v>0</v>
      </c>
      <c r="O12" s="1352">
        <v>350</v>
      </c>
    </row>
    <row r="13" spans="2:27" ht="13.5" thickBot="1" x14ac:dyDescent="0.25">
      <c r="B13" s="228" t="s">
        <v>179</v>
      </c>
      <c r="C13" s="1336" t="s">
        <v>435</v>
      </c>
      <c r="D13" s="1337"/>
      <c r="E13" s="1338"/>
      <c r="F13" s="1339" t="s">
        <v>5</v>
      </c>
      <c r="G13" s="1339" t="s">
        <v>6</v>
      </c>
      <c r="H13" s="1378" t="b">
        <f t="shared" si="0"/>
        <v>0</v>
      </c>
      <c r="I13" s="1354">
        <v>2025</v>
      </c>
      <c r="J13" s="1355">
        <v>0</v>
      </c>
      <c r="K13" s="1356">
        <v>0.5</v>
      </c>
      <c r="L13" s="1357">
        <v>5</v>
      </c>
      <c r="M13" s="1358">
        <v>5</v>
      </c>
      <c r="N13" s="1359">
        <v>0</v>
      </c>
      <c r="O13" s="1360">
        <v>350</v>
      </c>
    </row>
    <row r="14" spans="2:27" ht="15.75" x14ac:dyDescent="0.25">
      <c r="B14" s="11"/>
      <c r="C14" s="477" t="s">
        <v>209</v>
      </c>
      <c r="D14" s="1"/>
      <c r="F14" s="1"/>
    </row>
    <row r="15" spans="2:27" ht="15.75" thickBot="1" x14ac:dyDescent="0.25">
      <c r="B15" s="45" t="s">
        <v>123</v>
      </c>
      <c r="C15" s="4"/>
      <c r="D15" s="4"/>
      <c r="G15" s="5"/>
      <c r="H15" s="6"/>
      <c r="I15" s="1604"/>
      <c r="J15" s="1604"/>
      <c r="K15" s="6"/>
      <c r="L15" s="6"/>
      <c r="M15" s="6"/>
      <c r="N15" s="6"/>
      <c r="O15" s="6"/>
      <c r="P15" s="6"/>
    </row>
    <row r="16" spans="2:27" ht="13.5" thickBot="1" x14ac:dyDescent="0.25">
      <c r="B16" s="240"/>
      <c r="C16" s="4"/>
      <c r="G16" s="5"/>
      <c r="H16" s="6"/>
      <c r="I16" s="1294"/>
      <c r="J16" s="1294"/>
      <c r="K16" s="6"/>
      <c r="L16" s="6"/>
      <c r="M16" s="6"/>
      <c r="N16" s="6"/>
      <c r="O16" s="6"/>
      <c r="P16" s="6"/>
      <c r="T16" s="1379" t="s">
        <v>196</v>
      </c>
      <c r="U16" s="3" t="s">
        <v>197</v>
      </c>
      <c r="Z16" s="1380"/>
      <c r="AA16" s="3" t="s">
        <v>206</v>
      </c>
    </row>
    <row r="17" spans="2:31" x14ac:dyDescent="0.2">
      <c r="B17" s="240"/>
      <c r="C17" s="242"/>
      <c r="G17" s="5"/>
      <c r="H17" s="6"/>
      <c r="I17" s="1294"/>
      <c r="J17" s="1294"/>
      <c r="K17" s="6"/>
      <c r="L17" s="6"/>
      <c r="M17" s="6"/>
      <c r="N17" s="6"/>
      <c r="O17" s="6"/>
      <c r="P17" s="6"/>
      <c r="U17" s="3" t="s">
        <v>198</v>
      </c>
      <c r="AA17" s="3" t="s">
        <v>401</v>
      </c>
    </row>
    <row r="18" spans="2:31" ht="13.5" thickBot="1" x14ac:dyDescent="0.25">
      <c r="B18" s="239"/>
      <c r="C18" s="238"/>
      <c r="F18" s="238"/>
      <c r="G18" s="5"/>
      <c r="H18" s="6"/>
      <c r="I18" s="1294"/>
      <c r="J18" s="1294"/>
      <c r="K18" s="6"/>
      <c r="L18" s="6"/>
      <c r="M18" s="6"/>
      <c r="N18" s="6"/>
      <c r="O18" s="6"/>
      <c r="P18" s="6"/>
    </row>
    <row r="19" spans="2:31" ht="16.5" thickBot="1" x14ac:dyDescent="0.3">
      <c r="B19" s="1381"/>
      <c r="C19" s="1605" t="s">
        <v>189</v>
      </c>
      <c r="D19" s="1606"/>
      <c r="E19" s="1606"/>
      <c r="F19" s="1606"/>
      <c r="G19" s="1606"/>
      <c r="H19" s="1606"/>
      <c r="I19" s="1606" t="s">
        <v>190</v>
      </c>
      <c r="J19" s="1606"/>
      <c r="K19" s="1606"/>
      <c r="L19" s="1606"/>
      <c r="M19" s="1607"/>
      <c r="N19" s="1597" t="s">
        <v>321</v>
      </c>
      <c r="O19" s="1598"/>
      <c r="P19" s="1598"/>
      <c r="Q19" s="1598"/>
      <c r="R19" s="1598"/>
      <c r="S19" s="1599"/>
      <c r="T19" s="1597" t="s">
        <v>322</v>
      </c>
      <c r="U19" s="1598"/>
      <c r="V19" s="1598"/>
      <c r="W19" s="1598"/>
      <c r="X19" s="1598"/>
      <c r="Y19" s="1599"/>
      <c r="Z19" s="1597" t="s">
        <v>192</v>
      </c>
      <c r="AA19" s="1598"/>
      <c r="AB19" s="1598"/>
      <c r="AC19" s="1598"/>
      <c r="AD19" s="1598"/>
      <c r="AE19" s="1599"/>
    </row>
    <row r="20" spans="2:31" ht="13.5" thickBot="1" x14ac:dyDescent="0.25">
      <c r="B20" s="1382" t="s">
        <v>191</v>
      </c>
      <c r="C20" s="1383" t="s">
        <v>72</v>
      </c>
      <c r="D20" s="1384" t="s">
        <v>68</v>
      </c>
      <c r="E20" s="1385" t="s">
        <v>69</v>
      </c>
      <c r="F20" s="1384" t="s">
        <v>70</v>
      </c>
      <c r="G20" s="1385" t="s">
        <v>178</v>
      </c>
      <c r="H20" s="1384" t="s">
        <v>179</v>
      </c>
      <c r="I20" s="1384" t="s">
        <v>68</v>
      </c>
      <c r="J20" s="1385" t="s">
        <v>69</v>
      </c>
      <c r="K20" s="1384" t="s">
        <v>70</v>
      </c>
      <c r="L20" s="1385" t="s">
        <v>178</v>
      </c>
      <c r="M20" s="1386" t="s">
        <v>179</v>
      </c>
      <c r="N20" s="1387" t="s">
        <v>72</v>
      </c>
      <c r="O20" s="1388" t="s">
        <v>68</v>
      </c>
      <c r="P20" s="1389" t="s">
        <v>69</v>
      </c>
      <c r="Q20" s="1388" t="s">
        <v>70</v>
      </c>
      <c r="R20" s="1389" t="s">
        <v>178</v>
      </c>
      <c r="S20" s="1390" t="s">
        <v>179</v>
      </c>
      <c r="T20" s="1387" t="s">
        <v>72</v>
      </c>
      <c r="U20" s="1388" t="s">
        <v>68</v>
      </c>
      <c r="V20" s="1389" t="s">
        <v>69</v>
      </c>
      <c r="W20" s="1388" t="s">
        <v>70</v>
      </c>
      <c r="X20" s="1389" t="s">
        <v>178</v>
      </c>
      <c r="Y20" s="1391" t="s">
        <v>179</v>
      </c>
      <c r="Z20" s="1388" t="s">
        <v>72</v>
      </c>
      <c r="AA20" s="1388" t="s">
        <v>68</v>
      </c>
      <c r="AB20" s="1389" t="s">
        <v>69</v>
      </c>
      <c r="AC20" s="1388" t="s">
        <v>70</v>
      </c>
      <c r="AD20" s="1389" t="s">
        <v>178</v>
      </c>
      <c r="AE20" s="1391" t="s">
        <v>179</v>
      </c>
    </row>
    <row r="21" spans="2:31" s="477" customFormat="1" ht="13.5" thickBot="1" x14ac:dyDescent="0.25">
      <c r="B21" s="726" t="s">
        <v>3</v>
      </c>
      <c r="C21" s="727"/>
      <c r="D21" s="1459" t="str">
        <f>INDEX($C$9:$C$13,MATCH(D20,$B$9:$B$13,0))</f>
        <v>Adv Conv</v>
      </c>
      <c r="E21" s="1459" t="str">
        <f t="shared" ref="E21:H21" si="1">INDEX($C$9:$C$13,MATCH(E20,$B$9:$B$13,0))</f>
        <v>HEV</v>
      </c>
      <c r="F21" s="1459" t="str">
        <f t="shared" si="1"/>
        <v>BEV</v>
      </c>
      <c r="G21" s="1459" t="str">
        <f t="shared" si="1"/>
        <v>FCEV</v>
      </c>
      <c r="H21" s="1460" t="str">
        <f t="shared" si="1"/>
        <v>PHEV</v>
      </c>
      <c r="I21" s="1461">
        <v>0</v>
      </c>
      <c r="J21" s="1462">
        <v>0</v>
      </c>
      <c r="K21" s="1462">
        <v>0</v>
      </c>
      <c r="L21" s="1462">
        <v>0</v>
      </c>
      <c r="M21" s="1463">
        <v>0</v>
      </c>
      <c r="N21" s="716"/>
      <c r="O21" s="1459" t="str">
        <f>INDEX($C$9:$C$13,MATCH(O20,$B$9:$B$13,0))</f>
        <v>Adv Conv</v>
      </c>
      <c r="P21" s="1459" t="str">
        <f t="shared" ref="P21:S21" si="2">INDEX($C$9:$C$13,MATCH(P20,$B$9:$B$13,0))</f>
        <v>HEV</v>
      </c>
      <c r="Q21" s="1459" t="str">
        <f t="shared" si="2"/>
        <v>BEV</v>
      </c>
      <c r="R21" s="1459" t="str">
        <f t="shared" si="2"/>
        <v>FCEV</v>
      </c>
      <c r="S21" s="1460" t="str">
        <f t="shared" si="2"/>
        <v>PHEV</v>
      </c>
      <c r="T21" s="717"/>
      <c r="U21" s="1459" t="str">
        <f>INDEX($C$9:$C$13,MATCH(U20,$B$9:$B$13,0))</f>
        <v>Adv Conv</v>
      </c>
      <c r="V21" s="1459" t="str">
        <f t="shared" ref="V21:Y21" si="3">INDEX($C$9:$C$13,MATCH(V20,$B$9:$B$13,0))</f>
        <v>HEV</v>
      </c>
      <c r="W21" s="1459" t="str">
        <f t="shared" si="3"/>
        <v>BEV</v>
      </c>
      <c r="X21" s="1459" t="str">
        <f t="shared" si="3"/>
        <v>FCEV</v>
      </c>
      <c r="Y21" s="1460" t="str">
        <f t="shared" si="3"/>
        <v>PHEV</v>
      </c>
      <c r="Z21" s="716"/>
      <c r="AA21" s="1459" t="str">
        <f>INDEX($C$9:$C$13,MATCH(AA20,$B$9:$B$13,0))</f>
        <v>Adv Conv</v>
      </c>
      <c r="AB21" s="1459" t="str">
        <f t="shared" ref="AB21:AE21" si="4">INDEX($C$9:$C$13,MATCH(AB20,$B$9:$B$13,0))</f>
        <v>HEV</v>
      </c>
      <c r="AC21" s="1459" t="str">
        <f t="shared" si="4"/>
        <v>BEV</v>
      </c>
      <c r="AD21" s="1459" t="str">
        <f t="shared" si="4"/>
        <v>FCEV</v>
      </c>
      <c r="AE21" s="1460" t="str">
        <f t="shared" si="4"/>
        <v>PHEV</v>
      </c>
    </row>
    <row r="22" spans="2:31" x14ac:dyDescent="0.2">
      <c r="B22" s="1392">
        <v>2007</v>
      </c>
      <c r="C22" s="1413">
        <v>72485</v>
      </c>
      <c r="D22" s="1414">
        <v>1000000</v>
      </c>
      <c r="E22" s="1414">
        <v>1000000</v>
      </c>
      <c r="F22" s="1414">
        <v>1000000</v>
      </c>
      <c r="G22" s="1414">
        <v>1000000</v>
      </c>
      <c r="H22" s="1415">
        <v>1000000</v>
      </c>
      <c r="I22" s="1393">
        <f>D22*I$21</f>
        <v>0</v>
      </c>
      <c r="J22" s="1394">
        <f t="shared" ref="J22:M37" si="5">E22*J$21</f>
        <v>0</v>
      </c>
      <c r="K22" s="1394">
        <f t="shared" si="5"/>
        <v>0</v>
      </c>
      <c r="L22" s="1394">
        <f t="shared" si="5"/>
        <v>0</v>
      </c>
      <c r="M22" s="1395">
        <f t="shared" si="5"/>
        <v>0</v>
      </c>
      <c r="N22" s="1427">
        <v>8.5199064512918756</v>
      </c>
      <c r="O22" s="1428">
        <v>1</v>
      </c>
      <c r="P22" s="1428">
        <v>1</v>
      </c>
      <c r="Q22" s="1428">
        <v>1</v>
      </c>
      <c r="R22" s="1428">
        <v>1</v>
      </c>
      <c r="S22" s="1429">
        <v>1</v>
      </c>
      <c r="T22" s="1427">
        <v>1</v>
      </c>
      <c r="U22" s="1430">
        <v>1</v>
      </c>
      <c r="V22" s="1430">
        <v>1</v>
      </c>
      <c r="W22" s="1430">
        <v>1</v>
      </c>
      <c r="X22" s="1430">
        <v>1</v>
      </c>
      <c r="Y22" s="1431">
        <v>1</v>
      </c>
      <c r="Z22" s="1427">
        <v>0</v>
      </c>
      <c r="AA22" s="1430">
        <v>0</v>
      </c>
      <c r="AB22" s="1430">
        <v>0</v>
      </c>
      <c r="AC22" s="1430">
        <v>0</v>
      </c>
      <c r="AD22" s="1430">
        <v>0</v>
      </c>
      <c r="AE22" s="1431">
        <v>0</v>
      </c>
    </row>
    <row r="23" spans="2:31" x14ac:dyDescent="0.2">
      <c r="B23" s="1396">
        <v>2008</v>
      </c>
      <c r="C23" s="1416">
        <v>72485</v>
      </c>
      <c r="D23" s="1417">
        <v>1000000</v>
      </c>
      <c r="E23" s="1417">
        <v>1000000</v>
      </c>
      <c r="F23" s="1417">
        <v>1000000</v>
      </c>
      <c r="G23" s="1417">
        <v>1000000</v>
      </c>
      <c r="H23" s="1418">
        <v>1000000</v>
      </c>
      <c r="I23" s="1397">
        <f t="shared" ref="I23:M65" si="6">D23*I$21</f>
        <v>0</v>
      </c>
      <c r="J23" s="1398">
        <f t="shared" si="5"/>
        <v>0</v>
      </c>
      <c r="K23" s="1398">
        <f t="shared" si="5"/>
        <v>0</v>
      </c>
      <c r="L23" s="1398">
        <f t="shared" si="5"/>
        <v>0</v>
      </c>
      <c r="M23" s="1399">
        <f t="shared" si="5"/>
        <v>0</v>
      </c>
      <c r="N23" s="1432">
        <v>8.7326121505203531</v>
      </c>
      <c r="O23" s="1433">
        <v>1</v>
      </c>
      <c r="P23" s="1433">
        <v>1</v>
      </c>
      <c r="Q23" s="1433">
        <v>1</v>
      </c>
      <c r="R23" s="1433">
        <v>1</v>
      </c>
      <c r="S23" s="1434">
        <v>1</v>
      </c>
      <c r="T23" s="1432">
        <v>1</v>
      </c>
      <c r="U23" s="1435">
        <v>1</v>
      </c>
      <c r="V23" s="1435">
        <v>1</v>
      </c>
      <c r="W23" s="1435">
        <v>1</v>
      </c>
      <c r="X23" s="1435">
        <v>1</v>
      </c>
      <c r="Y23" s="1436">
        <v>1</v>
      </c>
      <c r="Z23" s="1432">
        <v>0</v>
      </c>
      <c r="AA23" s="1435">
        <v>0</v>
      </c>
      <c r="AB23" s="1435">
        <v>0</v>
      </c>
      <c r="AC23" s="1435">
        <v>0</v>
      </c>
      <c r="AD23" s="1435">
        <v>0</v>
      </c>
      <c r="AE23" s="1436">
        <v>0</v>
      </c>
    </row>
    <row r="24" spans="2:31" x14ac:dyDescent="0.2">
      <c r="B24" s="1396">
        <v>2009</v>
      </c>
      <c r="C24" s="1416">
        <v>72485</v>
      </c>
      <c r="D24" s="1417">
        <v>1000000</v>
      </c>
      <c r="E24" s="1417">
        <v>1000000</v>
      </c>
      <c r="F24" s="1417">
        <v>1000000</v>
      </c>
      <c r="G24" s="1417">
        <v>1000000</v>
      </c>
      <c r="H24" s="1418">
        <v>1000000</v>
      </c>
      <c r="I24" s="1397">
        <f t="shared" si="6"/>
        <v>0</v>
      </c>
      <c r="J24" s="1398">
        <f t="shared" si="5"/>
        <v>0</v>
      </c>
      <c r="K24" s="1398">
        <f t="shared" si="5"/>
        <v>0</v>
      </c>
      <c r="L24" s="1398">
        <f t="shared" si="5"/>
        <v>0</v>
      </c>
      <c r="M24" s="1399">
        <f t="shared" si="5"/>
        <v>0</v>
      </c>
      <c r="N24" s="1432">
        <v>8.2410214410336931</v>
      </c>
      <c r="O24" s="1433">
        <v>1</v>
      </c>
      <c r="P24" s="1433">
        <v>1</v>
      </c>
      <c r="Q24" s="1433">
        <v>1</v>
      </c>
      <c r="R24" s="1433">
        <v>1</v>
      </c>
      <c r="S24" s="1434">
        <v>1</v>
      </c>
      <c r="T24" s="1432">
        <v>1</v>
      </c>
      <c r="U24" s="1435">
        <v>1</v>
      </c>
      <c r="V24" s="1435">
        <v>1</v>
      </c>
      <c r="W24" s="1435">
        <v>1</v>
      </c>
      <c r="X24" s="1435">
        <v>1</v>
      </c>
      <c r="Y24" s="1436">
        <v>1</v>
      </c>
      <c r="Z24" s="1432">
        <v>0</v>
      </c>
      <c r="AA24" s="1435">
        <v>0</v>
      </c>
      <c r="AB24" s="1435">
        <v>0</v>
      </c>
      <c r="AC24" s="1435">
        <v>0</v>
      </c>
      <c r="AD24" s="1435">
        <v>0</v>
      </c>
      <c r="AE24" s="1436">
        <v>0</v>
      </c>
    </row>
    <row r="25" spans="2:31" ht="13.5" thickBot="1" x14ac:dyDescent="0.25">
      <c r="B25" s="1400">
        <v>2010</v>
      </c>
      <c r="C25" s="1419">
        <v>72485</v>
      </c>
      <c r="D25" s="1420">
        <v>1000000</v>
      </c>
      <c r="E25" s="1420">
        <v>1000000</v>
      </c>
      <c r="F25" s="1420">
        <v>1000000</v>
      </c>
      <c r="G25" s="1420">
        <v>1000000</v>
      </c>
      <c r="H25" s="1421">
        <v>1000000</v>
      </c>
      <c r="I25" s="1401">
        <f t="shared" si="6"/>
        <v>0</v>
      </c>
      <c r="J25" s="1402">
        <f t="shared" si="5"/>
        <v>0</v>
      </c>
      <c r="K25" s="1402">
        <f t="shared" si="5"/>
        <v>0</v>
      </c>
      <c r="L25" s="1402">
        <f t="shared" si="5"/>
        <v>0</v>
      </c>
      <c r="M25" s="1403">
        <f t="shared" si="5"/>
        <v>0</v>
      </c>
      <c r="N25" s="1437">
        <v>8.339898006379256</v>
      </c>
      <c r="O25" s="1438">
        <v>1</v>
      </c>
      <c r="P25" s="1438">
        <v>1</v>
      </c>
      <c r="Q25" s="1438">
        <v>1</v>
      </c>
      <c r="R25" s="1438">
        <v>1</v>
      </c>
      <c r="S25" s="1439">
        <v>1</v>
      </c>
      <c r="T25" s="1437">
        <v>1</v>
      </c>
      <c r="U25" s="1440">
        <v>1</v>
      </c>
      <c r="V25" s="1440">
        <v>1</v>
      </c>
      <c r="W25" s="1440">
        <v>1</v>
      </c>
      <c r="X25" s="1440">
        <v>1</v>
      </c>
      <c r="Y25" s="1441">
        <v>1</v>
      </c>
      <c r="Z25" s="1437">
        <v>0</v>
      </c>
      <c r="AA25" s="1440">
        <v>0</v>
      </c>
      <c r="AB25" s="1440">
        <v>0</v>
      </c>
      <c r="AC25" s="1440">
        <v>0</v>
      </c>
      <c r="AD25" s="1440">
        <v>0</v>
      </c>
      <c r="AE25" s="1441">
        <v>0</v>
      </c>
    </row>
    <row r="26" spans="2:31" x14ac:dyDescent="0.2">
      <c r="B26" s="1392">
        <v>2011</v>
      </c>
      <c r="C26" s="1422">
        <v>72485</v>
      </c>
      <c r="D26" s="1423">
        <v>1000000</v>
      </c>
      <c r="E26" s="1423">
        <v>1000000</v>
      </c>
      <c r="F26" s="1423">
        <v>1000000</v>
      </c>
      <c r="G26" s="1423">
        <v>1000000</v>
      </c>
      <c r="H26" s="1424">
        <v>1000000</v>
      </c>
      <c r="I26" s="1393">
        <f t="shared" si="6"/>
        <v>0</v>
      </c>
      <c r="J26" s="1394">
        <f t="shared" si="5"/>
        <v>0</v>
      </c>
      <c r="K26" s="1394">
        <f t="shared" si="5"/>
        <v>0</v>
      </c>
      <c r="L26" s="1394">
        <f t="shared" si="5"/>
        <v>0</v>
      </c>
      <c r="M26" s="1395">
        <f t="shared" si="5"/>
        <v>0</v>
      </c>
      <c r="N26" s="1442">
        <v>8.4749377994563453</v>
      </c>
      <c r="O26" s="1443">
        <v>1</v>
      </c>
      <c r="P26" s="1443">
        <v>1</v>
      </c>
      <c r="Q26" s="1443">
        <v>1</v>
      </c>
      <c r="R26" s="1443">
        <v>1</v>
      </c>
      <c r="S26" s="1444">
        <v>1</v>
      </c>
      <c r="T26" s="1442">
        <v>1</v>
      </c>
      <c r="U26" s="1445">
        <v>1</v>
      </c>
      <c r="V26" s="1445">
        <v>1</v>
      </c>
      <c r="W26" s="1445">
        <v>1</v>
      </c>
      <c r="X26" s="1445">
        <v>1</v>
      </c>
      <c r="Y26" s="1446">
        <v>1</v>
      </c>
      <c r="Z26" s="1442">
        <v>0</v>
      </c>
      <c r="AA26" s="1445">
        <v>0</v>
      </c>
      <c r="AB26" s="1445">
        <v>0</v>
      </c>
      <c r="AC26" s="1445">
        <v>0</v>
      </c>
      <c r="AD26" s="1445">
        <v>0</v>
      </c>
      <c r="AE26" s="1446">
        <v>0</v>
      </c>
    </row>
    <row r="27" spans="2:31" x14ac:dyDescent="0.2">
      <c r="B27" s="1396">
        <v>2012</v>
      </c>
      <c r="C27" s="1416">
        <v>72485</v>
      </c>
      <c r="D27" s="1417">
        <v>1000000</v>
      </c>
      <c r="E27" s="1417">
        <v>1000000</v>
      </c>
      <c r="F27" s="1417">
        <v>1000000</v>
      </c>
      <c r="G27" s="1417">
        <v>1000000</v>
      </c>
      <c r="H27" s="1418">
        <v>1000000</v>
      </c>
      <c r="I27" s="1397">
        <f t="shared" si="6"/>
        <v>0</v>
      </c>
      <c r="J27" s="1398">
        <f t="shared" si="5"/>
        <v>0</v>
      </c>
      <c r="K27" s="1398">
        <f t="shared" si="5"/>
        <v>0</v>
      </c>
      <c r="L27" s="1398">
        <f t="shared" si="5"/>
        <v>0</v>
      </c>
      <c r="M27" s="1399">
        <f t="shared" si="5"/>
        <v>0</v>
      </c>
      <c r="N27" s="1432">
        <v>8.5141119237684286</v>
      </c>
      <c r="O27" s="1433">
        <v>1</v>
      </c>
      <c r="P27" s="1433">
        <v>1</v>
      </c>
      <c r="Q27" s="1433">
        <v>1</v>
      </c>
      <c r="R27" s="1433">
        <v>1</v>
      </c>
      <c r="S27" s="1434">
        <v>1</v>
      </c>
      <c r="T27" s="1432">
        <v>1</v>
      </c>
      <c r="U27" s="1435">
        <v>1</v>
      </c>
      <c r="V27" s="1435">
        <v>1</v>
      </c>
      <c r="W27" s="1435">
        <v>1</v>
      </c>
      <c r="X27" s="1435">
        <v>1</v>
      </c>
      <c r="Y27" s="1436">
        <v>1</v>
      </c>
      <c r="Z27" s="1432">
        <v>0</v>
      </c>
      <c r="AA27" s="1435">
        <v>0</v>
      </c>
      <c r="AB27" s="1435">
        <v>0</v>
      </c>
      <c r="AC27" s="1435">
        <v>0</v>
      </c>
      <c r="AD27" s="1435">
        <v>0</v>
      </c>
      <c r="AE27" s="1436">
        <v>0</v>
      </c>
    </row>
    <row r="28" spans="2:31" x14ac:dyDescent="0.2">
      <c r="B28" s="1396">
        <v>2013</v>
      </c>
      <c r="C28" s="1416">
        <v>72485</v>
      </c>
      <c r="D28" s="1417">
        <v>1000000</v>
      </c>
      <c r="E28" s="1417">
        <v>1000000</v>
      </c>
      <c r="F28" s="1417">
        <v>1000000</v>
      </c>
      <c r="G28" s="1417">
        <v>1000000</v>
      </c>
      <c r="H28" s="1418">
        <v>1000000</v>
      </c>
      <c r="I28" s="1397">
        <f t="shared" si="6"/>
        <v>0</v>
      </c>
      <c r="J28" s="1398">
        <f t="shared" si="5"/>
        <v>0</v>
      </c>
      <c r="K28" s="1398">
        <f t="shared" si="5"/>
        <v>0</v>
      </c>
      <c r="L28" s="1398">
        <f t="shared" si="5"/>
        <v>0</v>
      </c>
      <c r="M28" s="1399">
        <f t="shared" si="5"/>
        <v>0</v>
      </c>
      <c r="N28" s="1432">
        <v>8.5514060910502749</v>
      </c>
      <c r="O28" s="1433">
        <v>1</v>
      </c>
      <c r="P28" s="1433">
        <v>1</v>
      </c>
      <c r="Q28" s="1433">
        <v>1</v>
      </c>
      <c r="R28" s="1433">
        <v>1</v>
      </c>
      <c r="S28" s="1434">
        <v>1</v>
      </c>
      <c r="T28" s="1432">
        <v>1</v>
      </c>
      <c r="U28" s="1435">
        <v>1</v>
      </c>
      <c r="V28" s="1435">
        <v>1</v>
      </c>
      <c r="W28" s="1435">
        <v>1</v>
      </c>
      <c r="X28" s="1435">
        <v>1</v>
      </c>
      <c r="Y28" s="1436">
        <v>1</v>
      </c>
      <c r="Z28" s="1432">
        <v>0</v>
      </c>
      <c r="AA28" s="1435">
        <v>0</v>
      </c>
      <c r="AB28" s="1435">
        <v>0</v>
      </c>
      <c r="AC28" s="1435">
        <v>0</v>
      </c>
      <c r="AD28" s="1435">
        <v>0</v>
      </c>
      <c r="AE28" s="1436">
        <v>0</v>
      </c>
    </row>
    <row r="29" spans="2:31" x14ac:dyDescent="0.2">
      <c r="B29" s="1396">
        <v>2014</v>
      </c>
      <c r="C29" s="1416">
        <v>72485</v>
      </c>
      <c r="D29" s="1417">
        <v>1000000</v>
      </c>
      <c r="E29" s="1417">
        <v>1000000</v>
      </c>
      <c r="F29" s="1417">
        <v>1000000</v>
      </c>
      <c r="G29" s="1417">
        <v>1000000</v>
      </c>
      <c r="H29" s="1418">
        <v>1000000</v>
      </c>
      <c r="I29" s="1397">
        <f t="shared" si="6"/>
        <v>0</v>
      </c>
      <c r="J29" s="1398">
        <f t="shared" si="5"/>
        <v>0</v>
      </c>
      <c r="K29" s="1398">
        <f t="shared" si="5"/>
        <v>0</v>
      </c>
      <c r="L29" s="1398">
        <f t="shared" si="5"/>
        <v>0</v>
      </c>
      <c r="M29" s="1399">
        <f t="shared" si="5"/>
        <v>0</v>
      </c>
      <c r="N29" s="1432">
        <v>8.7227014874833682</v>
      </c>
      <c r="O29" s="1433">
        <v>1</v>
      </c>
      <c r="P29" s="1433">
        <v>1</v>
      </c>
      <c r="Q29" s="1433">
        <v>1</v>
      </c>
      <c r="R29" s="1433">
        <v>1</v>
      </c>
      <c r="S29" s="1434">
        <v>1</v>
      </c>
      <c r="T29" s="1432">
        <v>1</v>
      </c>
      <c r="U29" s="1435">
        <v>1</v>
      </c>
      <c r="V29" s="1435">
        <v>1</v>
      </c>
      <c r="W29" s="1435">
        <v>1</v>
      </c>
      <c r="X29" s="1435">
        <v>1</v>
      </c>
      <c r="Y29" s="1436">
        <v>1</v>
      </c>
      <c r="Z29" s="1432">
        <v>0</v>
      </c>
      <c r="AA29" s="1435">
        <v>0</v>
      </c>
      <c r="AB29" s="1435">
        <v>0</v>
      </c>
      <c r="AC29" s="1435">
        <v>0</v>
      </c>
      <c r="AD29" s="1435">
        <v>0</v>
      </c>
      <c r="AE29" s="1436">
        <v>0</v>
      </c>
    </row>
    <row r="30" spans="2:31" ht="13.5" thickBot="1" x14ac:dyDescent="0.25">
      <c r="B30" s="1400">
        <v>2015</v>
      </c>
      <c r="C30" s="1419">
        <v>72485</v>
      </c>
      <c r="D30" s="1420">
        <v>1000000</v>
      </c>
      <c r="E30" s="1420">
        <v>1000000</v>
      </c>
      <c r="F30" s="1420">
        <v>1000000</v>
      </c>
      <c r="G30" s="1420">
        <v>1000000</v>
      </c>
      <c r="H30" s="1421">
        <v>1000000</v>
      </c>
      <c r="I30" s="1401">
        <f t="shared" si="6"/>
        <v>0</v>
      </c>
      <c r="J30" s="1402">
        <f t="shared" si="5"/>
        <v>0</v>
      </c>
      <c r="K30" s="1402">
        <f t="shared" si="5"/>
        <v>0</v>
      </c>
      <c r="L30" s="1402">
        <f t="shared" si="5"/>
        <v>0</v>
      </c>
      <c r="M30" s="1403">
        <f t="shared" si="5"/>
        <v>0</v>
      </c>
      <c r="N30" s="1437">
        <v>8.7965277517014524</v>
      </c>
      <c r="O30" s="1438">
        <v>1</v>
      </c>
      <c r="P30" s="1438">
        <v>1</v>
      </c>
      <c r="Q30" s="1447">
        <v>1</v>
      </c>
      <c r="R30" s="1447">
        <v>1</v>
      </c>
      <c r="S30" s="1448">
        <v>1</v>
      </c>
      <c r="T30" s="1437">
        <v>1</v>
      </c>
      <c r="U30" s="1440">
        <v>1</v>
      </c>
      <c r="V30" s="1440">
        <v>1</v>
      </c>
      <c r="W30" s="1440">
        <v>1</v>
      </c>
      <c r="X30" s="1440">
        <v>1</v>
      </c>
      <c r="Y30" s="1441">
        <v>1</v>
      </c>
      <c r="Z30" s="1437">
        <v>0</v>
      </c>
      <c r="AA30" s="1440">
        <v>0</v>
      </c>
      <c r="AB30" s="1440">
        <v>0</v>
      </c>
      <c r="AC30" s="1440">
        <v>0</v>
      </c>
      <c r="AD30" s="1440">
        <v>0</v>
      </c>
      <c r="AE30" s="1441">
        <v>0</v>
      </c>
    </row>
    <row r="31" spans="2:31" x14ac:dyDescent="0.2">
      <c r="B31" s="1392">
        <v>2016</v>
      </c>
      <c r="C31" s="1422">
        <v>72485</v>
      </c>
      <c r="D31" s="1423">
        <v>1000000</v>
      </c>
      <c r="E31" s="1423">
        <v>1000000</v>
      </c>
      <c r="F31" s="1423">
        <v>1000000</v>
      </c>
      <c r="G31" s="1423">
        <v>1000000</v>
      </c>
      <c r="H31" s="1424">
        <v>1000000</v>
      </c>
      <c r="I31" s="1393">
        <f t="shared" si="6"/>
        <v>0</v>
      </c>
      <c r="J31" s="1394">
        <f t="shared" si="5"/>
        <v>0</v>
      </c>
      <c r="K31" s="1394">
        <f t="shared" si="5"/>
        <v>0</v>
      </c>
      <c r="L31" s="1394">
        <f t="shared" si="5"/>
        <v>0</v>
      </c>
      <c r="M31" s="1395">
        <f t="shared" si="5"/>
        <v>0</v>
      </c>
      <c r="N31" s="1442">
        <v>8.9084074164027136</v>
      </c>
      <c r="O31" s="1433">
        <v>1</v>
      </c>
      <c r="P31" s="1433">
        <v>1</v>
      </c>
      <c r="Q31" s="1449">
        <v>1</v>
      </c>
      <c r="R31" s="1449">
        <v>1</v>
      </c>
      <c r="S31" s="1450">
        <v>1</v>
      </c>
      <c r="T31" s="1442">
        <v>1</v>
      </c>
      <c r="U31" s="1445">
        <v>1</v>
      </c>
      <c r="V31" s="1445">
        <v>1</v>
      </c>
      <c r="W31" s="1445">
        <v>1</v>
      </c>
      <c r="X31" s="1445">
        <v>1</v>
      </c>
      <c r="Y31" s="1446">
        <v>1</v>
      </c>
      <c r="Z31" s="1442">
        <v>0</v>
      </c>
      <c r="AA31" s="1445">
        <v>0</v>
      </c>
      <c r="AB31" s="1445">
        <v>0</v>
      </c>
      <c r="AC31" s="1445">
        <v>0</v>
      </c>
      <c r="AD31" s="1445">
        <v>0</v>
      </c>
      <c r="AE31" s="1446">
        <v>0</v>
      </c>
    </row>
    <row r="32" spans="2:31" x14ac:dyDescent="0.2">
      <c r="B32" s="1396">
        <v>2017</v>
      </c>
      <c r="C32" s="1416">
        <v>72485</v>
      </c>
      <c r="D32" s="1417">
        <v>1000000</v>
      </c>
      <c r="E32" s="1417">
        <v>1000000</v>
      </c>
      <c r="F32" s="1417">
        <v>1000000</v>
      </c>
      <c r="G32" s="1417">
        <v>1000000</v>
      </c>
      <c r="H32" s="1418">
        <v>1000000</v>
      </c>
      <c r="I32" s="1397">
        <f t="shared" si="6"/>
        <v>0</v>
      </c>
      <c r="J32" s="1398">
        <f t="shared" si="5"/>
        <v>0</v>
      </c>
      <c r="K32" s="1398">
        <f t="shared" si="5"/>
        <v>0</v>
      </c>
      <c r="L32" s="1398">
        <f t="shared" si="5"/>
        <v>0</v>
      </c>
      <c r="M32" s="1399">
        <f t="shared" si="5"/>
        <v>0</v>
      </c>
      <c r="N32" s="1432">
        <v>9.1113967350237353</v>
      </c>
      <c r="O32" s="1433">
        <v>1</v>
      </c>
      <c r="P32" s="1433">
        <v>1</v>
      </c>
      <c r="Q32" s="1449">
        <v>1</v>
      </c>
      <c r="R32" s="1449">
        <v>1</v>
      </c>
      <c r="S32" s="1450">
        <v>1</v>
      </c>
      <c r="T32" s="1432">
        <v>1</v>
      </c>
      <c r="U32" s="1435">
        <v>1</v>
      </c>
      <c r="V32" s="1435">
        <v>1</v>
      </c>
      <c r="W32" s="1435">
        <v>1</v>
      </c>
      <c r="X32" s="1435">
        <v>1</v>
      </c>
      <c r="Y32" s="1436">
        <v>1</v>
      </c>
      <c r="Z32" s="1432">
        <v>0</v>
      </c>
      <c r="AA32" s="1435">
        <v>0</v>
      </c>
      <c r="AB32" s="1435">
        <v>0</v>
      </c>
      <c r="AC32" s="1435">
        <v>0</v>
      </c>
      <c r="AD32" s="1435">
        <v>0</v>
      </c>
      <c r="AE32" s="1436">
        <v>0</v>
      </c>
    </row>
    <row r="33" spans="2:31" x14ac:dyDescent="0.2">
      <c r="B33" s="1396">
        <v>2018</v>
      </c>
      <c r="C33" s="1416">
        <v>72485</v>
      </c>
      <c r="D33" s="1417">
        <v>1000000</v>
      </c>
      <c r="E33" s="1417">
        <v>1000000</v>
      </c>
      <c r="F33" s="1417">
        <v>1000000</v>
      </c>
      <c r="G33" s="1417">
        <v>1000000</v>
      </c>
      <c r="H33" s="1418">
        <v>1000000</v>
      </c>
      <c r="I33" s="1397">
        <f t="shared" si="6"/>
        <v>0</v>
      </c>
      <c r="J33" s="1398">
        <f t="shared" si="5"/>
        <v>0</v>
      </c>
      <c r="K33" s="1398">
        <f t="shared" si="5"/>
        <v>0</v>
      </c>
      <c r="L33" s="1398">
        <f t="shared" si="5"/>
        <v>0</v>
      </c>
      <c r="M33" s="1399">
        <f t="shared" si="5"/>
        <v>0</v>
      </c>
      <c r="N33" s="1432">
        <v>9.6034986562454456</v>
      </c>
      <c r="O33" s="1433">
        <v>1</v>
      </c>
      <c r="P33" s="1433">
        <v>1</v>
      </c>
      <c r="Q33" s="1449">
        <v>1</v>
      </c>
      <c r="R33" s="1449">
        <v>1</v>
      </c>
      <c r="S33" s="1450">
        <v>1</v>
      </c>
      <c r="T33" s="1432">
        <v>1</v>
      </c>
      <c r="U33" s="1435">
        <v>1</v>
      </c>
      <c r="V33" s="1435">
        <v>1</v>
      </c>
      <c r="W33" s="1435">
        <v>1</v>
      </c>
      <c r="X33" s="1435">
        <v>1</v>
      </c>
      <c r="Y33" s="1436">
        <v>1</v>
      </c>
      <c r="Z33" s="1432">
        <v>0</v>
      </c>
      <c r="AA33" s="1435">
        <v>0</v>
      </c>
      <c r="AB33" s="1435">
        <v>0</v>
      </c>
      <c r="AC33" s="1435">
        <v>0</v>
      </c>
      <c r="AD33" s="1435">
        <v>0</v>
      </c>
      <c r="AE33" s="1436">
        <v>0</v>
      </c>
    </row>
    <row r="34" spans="2:31" x14ac:dyDescent="0.2">
      <c r="B34" s="1396">
        <v>2019</v>
      </c>
      <c r="C34" s="1416">
        <v>72485</v>
      </c>
      <c r="D34" s="1417">
        <v>1000000</v>
      </c>
      <c r="E34" s="1417">
        <v>1000000</v>
      </c>
      <c r="F34" s="1417">
        <v>1000000</v>
      </c>
      <c r="G34" s="1417">
        <v>1000000</v>
      </c>
      <c r="H34" s="1418">
        <v>1000000</v>
      </c>
      <c r="I34" s="1397">
        <f t="shared" si="6"/>
        <v>0</v>
      </c>
      <c r="J34" s="1398">
        <f t="shared" si="5"/>
        <v>0</v>
      </c>
      <c r="K34" s="1398">
        <f t="shared" si="5"/>
        <v>0</v>
      </c>
      <c r="L34" s="1398">
        <f t="shared" si="5"/>
        <v>0</v>
      </c>
      <c r="M34" s="1399">
        <f t="shared" si="5"/>
        <v>0</v>
      </c>
      <c r="N34" s="1432">
        <v>9.6335882118658933</v>
      </c>
      <c r="O34" s="1433">
        <v>1</v>
      </c>
      <c r="P34" s="1433">
        <v>1</v>
      </c>
      <c r="Q34" s="1449">
        <v>1</v>
      </c>
      <c r="R34" s="1449">
        <v>1</v>
      </c>
      <c r="S34" s="1450">
        <v>1</v>
      </c>
      <c r="T34" s="1432">
        <v>1</v>
      </c>
      <c r="U34" s="1435">
        <v>1</v>
      </c>
      <c r="V34" s="1435">
        <v>1</v>
      </c>
      <c r="W34" s="1435">
        <v>1</v>
      </c>
      <c r="X34" s="1435">
        <v>1</v>
      </c>
      <c r="Y34" s="1436">
        <v>1</v>
      </c>
      <c r="Z34" s="1432">
        <v>0</v>
      </c>
      <c r="AA34" s="1435">
        <v>0</v>
      </c>
      <c r="AB34" s="1435">
        <v>0</v>
      </c>
      <c r="AC34" s="1435">
        <v>0</v>
      </c>
      <c r="AD34" s="1435">
        <v>0</v>
      </c>
      <c r="AE34" s="1436">
        <v>0</v>
      </c>
    </row>
    <row r="35" spans="2:31" ht="13.5" thickBot="1" x14ac:dyDescent="0.25">
      <c r="B35" s="1400">
        <v>2020</v>
      </c>
      <c r="C35" s="1419">
        <v>72485</v>
      </c>
      <c r="D35" s="1420">
        <v>1000000</v>
      </c>
      <c r="E35" s="1420">
        <v>1000000</v>
      </c>
      <c r="F35" s="1420">
        <v>1000000</v>
      </c>
      <c r="G35" s="1420">
        <v>1000000</v>
      </c>
      <c r="H35" s="1421">
        <v>1000000</v>
      </c>
      <c r="I35" s="1401">
        <f t="shared" si="6"/>
        <v>0</v>
      </c>
      <c r="J35" s="1402">
        <f t="shared" si="5"/>
        <v>0</v>
      </c>
      <c r="K35" s="1402">
        <f t="shared" si="5"/>
        <v>0</v>
      </c>
      <c r="L35" s="1402">
        <f t="shared" si="5"/>
        <v>0</v>
      </c>
      <c r="M35" s="1403">
        <f t="shared" si="5"/>
        <v>0</v>
      </c>
      <c r="N35" s="1437">
        <v>9.6735766739433959</v>
      </c>
      <c r="O35" s="1438">
        <v>1</v>
      </c>
      <c r="P35" s="1438">
        <v>1</v>
      </c>
      <c r="Q35" s="1447">
        <v>1</v>
      </c>
      <c r="R35" s="1447">
        <v>1</v>
      </c>
      <c r="S35" s="1448">
        <v>1</v>
      </c>
      <c r="T35" s="1437">
        <v>1</v>
      </c>
      <c r="U35" s="1440">
        <v>1</v>
      </c>
      <c r="V35" s="1440">
        <v>1</v>
      </c>
      <c r="W35" s="1440">
        <v>1</v>
      </c>
      <c r="X35" s="1440">
        <v>1</v>
      </c>
      <c r="Y35" s="1441">
        <v>1</v>
      </c>
      <c r="Z35" s="1437">
        <v>0</v>
      </c>
      <c r="AA35" s="1440">
        <v>0</v>
      </c>
      <c r="AB35" s="1440">
        <v>0</v>
      </c>
      <c r="AC35" s="1440">
        <v>0</v>
      </c>
      <c r="AD35" s="1440">
        <v>0</v>
      </c>
      <c r="AE35" s="1441">
        <v>0</v>
      </c>
    </row>
    <row r="36" spans="2:31" x14ac:dyDescent="0.2">
      <c r="B36" s="1392">
        <v>2021</v>
      </c>
      <c r="C36" s="1422">
        <v>72485</v>
      </c>
      <c r="D36" s="1423">
        <v>1</v>
      </c>
      <c r="E36" s="1423">
        <v>9418</v>
      </c>
      <c r="F36" s="1423">
        <v>136424</v>
      </c>
      <c r="G36" s="1423">
        <v>65531</v>
      </c>
      <c r="H36" s="1424">
        <v>95332</v>
      </c>
      <c r="I36" s="1393">
        <f t="shared" si="6"/>
        <v>0</v>
      </c>
      <c r="J36" s="1394">
        <f t="shared" si="5"/>
        <v>0</v>
      </c>
      <c r="K36" s="1394">
        <f t="shared" si="5"/>
        <v>0</v>
      </c>
      <c r="L36" s="1394">
        <f t="shared" si="5"/>
        <v>0</v>
      </c>
      <c r="M36" s="1395">
        <f t="shared" si="5"/>
        <v>0</v>
      </c>
      <c r="N36" s="1442">
        <v>9.993194235359379</v>
      </c>
      <c r="O36" s="1443">
        <v>10.304038120914081</v>
      </c>
      <c r="P36" s="1443">
        <v>13.675732492191562</v>
      </c>
      <c r="Q36" s="1449">
        <v>40.61312264587923</v>
      </c>
      <c r="R36" s="1449">
        <v>26.229683816945673</v>
      </c>
      <c r="S36" s="1450">
        <v>16.349747111813308</v>
      </c>
      <c r="T36" s="1442">
        <v>1</v>
      </c>
      <c r="U36" s="1445">
        <v>1</v>
      </c>
      <c r="V36" s="1445">
        <v>1</v>
      </c>
      <c r="W36" s="1445">
        <v>1</v>
      </c>
      <c r="X36" s="1445">
        <v>1</v>
      </c>
      <c r="Y36" s="1446">
        <v>42.784010068826888</v>
      </c>
      <c r="Z36" s="1442">
        <v>0</v>
      </c>
      <c r="AA36" s="1445">
        <v>0</v>
      </c>
      <c r="AB36" s="1445">
        <v>0</v>
      </c>
      <c r="AC36" s="1445">
        <v>161.60834206002016</v>
      </c>
      <c r="AD36" s="1445">
        <v>0</v>
      </c>
      <c r="AE36" s="1446">
        <v>97.936945819151191</v>
      </c>
    </row>
    <row r="37" spans="2:31" x14ac:dyDescent="0.2">
      <c r="B37" s="1396">
        <v>2022</v>
      </c>
      <c r="C37" s="1416">
        <v>72620.744633328519</v>
      </c>
      <c r="D37" s="1417">
        <v>70.55283588947735</v>
      </c>
      <c r="E37" s="1417">
        <v>9114.1056435640749</v>
      </c>
      <c r="F37" s="1417">
        <v>130472.26874539544</v>
      </c>
      <c r="G37" s="1417">
        <v>63074.933320567739</v>
      </c>
      <c r="H37" s="1418">
        <v>90823.441267557195</v>
      </c>
      <c r="I37" s="1397">
        <f t="shared" si="6"/>
        <v>0</v>
      </c>
      <c r="J37" s="1398">
        <f t="shared" si="5"/>
        <v>0</v>
      </c>
      <c r="K37" s="1398">
        <f t="shared" si="5"/>
        <v>0</v>
      </c>
      <c r="L37" s="1398">
        <f t="shared" si="5"/>
        <v>0</v>
      </c>
      <c r="M37" s="1399">
        <f t="shared" si="5"/>
        <v>0</v>
      </c>
      <c r="N37" s="1432">
        <v>10.175060148623018</v>
      </c>
      <c r="O37" s="1433">
        <v>10.505288885033838</v>
      </c>
      <c r="P37" s="1433">
        <v>13.943139911251487</v>
      </c>
      <c r="Q37" s="1451">
        <v>41.281389157268507</v>
      </c>
      <c r="R37" s="1451">
        <v>26.731829805284821</v>
      </c>
      <c r="S37" s="1452">
        <v>16.808018193491709</v>
      </c>
      <c r="T37" s="1432">
        <v>1</v>
      </c>
      <c r="U37" s="1435">
        <v>1</v>
      </c>
      <c r="V37" s="1435">
        <v>1</v>
      </c>
      <c r="W37" s="1435">
        <v>1</v>
      </c>
      <c r="X37" s="1435">
        <v>1</v>
      </c>
      <c r="Y37" s="1436">
        <v>43.398692097879525</v>
      </c>
      <c r="Z37" s="1432">
        <v>0</v>
      </c>
      <c r="AA37" s="1435">
        <v>0</v>
      </c>
      <c r="AB37" s="1435">
        <v>0</v>
      </c>
      <c r="AC37" s="1435">
        <v>163.14716467717039</v>
      </c>
      <c r="AD37" s="1435">
        <v>0</v>
      </c>
      <c r="AE37" s="1436">
        <v>97.416309398077175</v>
      </c>
    </row>
    <row r="38" spans="2:31" x14ac:dyDescent="0.2">
      <c r="B38" s="1396">
        <v>2023</v>
      </c>
      <c r="C38" s="1416">
        <v>72796.268589987303</v>
      </c>
      <c r="D38" s="1417">
        <v>141.63323909287007</v>
      </c>
      <c r="E38" s="1417">
        <v>8807.9388805364415</v>
      </c>
      <c r="F38" s="1417">
        <v>124476.03270467505</v>
      </c>
      <c r="G38" s="1417">
        <v>60600.501107212876</v>
      </c>
      <c r="H38" s="1418">
        <v>86281.16924506567</v>
      </c>
      <c r="I38" s="1397">
        <f t="shared" si="6"/>
        <v>0</v>
      </c>
      <c r="J38" s="1398">
        <f t="shared" si="6"/>
        <v>0</v>
      </c>
      <c r="K38" s="1398">
        <f t="shared" si="6"/>
        <v>0</v>
      </c>
      <c r="L38" s="1398">
        <f t="shared" si="6"/>
        <v>0</v>
      </c>
      <c r="M38" s="1399">
        <f t="shared" si="6"/>
        <v>0</v>
      </c>
      <c r="N38" s="1432">
        <v>10.410221008353947</v>
      </c>
      <c r="O38" s="1433">
        <v>10.708044525941489</v>
      </c>
      <c r="P38" s="1433">
        <v>14.212546901441556</v>
      </c>
      <c r="Q38" s="1451">
        <v>41.954652711851686</v>
      </c>
      <c r="R38" s="1451">
        <v>27.237730650631789</v>
      </c>
      <c r="S38" s="1452">
        <v>17.269716052287681</v>
      </c>
      <c r="T38" s="1432">
        <v>1</v>
      </c>
      <c r="U38" s="1435">
        <v>1</v>
      </c>
      <c r="V38" s="1435">
        <v>1</v>
      </c>
      <c r="W38" s="1435">
        <v>1</v>
      </c>
      <c r="X38" s="1435">
        <v>1</v>
      </c>
      <c r="Y38" s="1436">
        <v>44.017970485716198</v>
      </c>
      <c r="Z38" s="1432">
        <v>0</v>
      </c>
      <c r="AA38" s="1435">
        <v>0</v>
      </c>
      <c r="AB38" s="1435">
        <v>0</v>
      </c>
      <c r="AC38" s="1435">
        <v>164.69749402547444</v>
      </c>
      <c r="AD38" s="1435">
        <v>0</v>
      </c>
      <c r="AE38" s="1436">
        <v>96.891779855561197</v>
      </c>
    </row>
    <row r="39" spans="2:31" x14ac:dyDescent="0.2">
      <c r="B39" s="1396">
        <v>2024</v>
      </c>
      <c r="C39" s="1416">
        <v>73008.659892584197</v>
      </c>
      <c r="D39" s="1417">
        <v>251.94828311464903</v>
      </c>
      <c r="E39" s="1417">
        <v>8332.7755666093362</v>
      </c>
      <c r="F39" s="1417">
        <v>115170.02130088082</v>
      </c>
      <c r="G39" s="1417">
        <v>56760.242945422884</v>
      </c>
      <c r="H39" s="1418">
        <v>79231.674369716726</v>
      </c>
      <c r="I39" s="1397">
        <f t="shared" si="6"/>
        <v>0</v>
      </c>
      <c r="J39" s="1398">
        <f t="shared" si="6"/>
        <v>0</v>
      </c>
      <c r="K39" s="1398">
        <f t="shared" si="6"/>
        <v>0</v>
      </c>
      <c r="L39" s="1398">
        <f t="shared" si="6"/>
        <v>0</v>
      </c>
      <c r="M39" s="1399">
        <f t="shared" si="6"/>
        <v>0</v>
      </c>
      <c r="N39" s="1432">
        <v>10.694775449062888</v>
      </c>
      <c r="O39" s="1433">
        <v>11.022716312318241</v>
      </c>
      <c r="P39" s="1433">
        <v>14.630659948684006</v>
      </c>
      <c r="Q39" s="1451">
        <v>42.999541250955524</v>
      </c>
      <c r="R39" s="1451">
        <v>28.022876366046678</v>
      </c>
      <c r="S39" s="1452">
        <v>17.986259815722725</v>
      </c>
      <c r="T39" s="1432">
        <v>1</v>
      </c>
      <c r="U39" s="1435">
        <v>1</v>
      </c>
      <c r="V39" s="1435">
        <v>1</v>
      </c>
      <c r="W39" s="1435">
        <v>1</v>
      </c>
      <c r="X39" s="1435">
        <v>1</v>
      </c>
      <c r="Y39" s="1436">
        <v>44.979075368878682</v>
      </c>
      <c r="Z39" s="1432">
        <v>0</v>
      </c>
      <c r="AA39" s="1435">
        <v>0</v>
      </c>
      <c r="AB39" s="1435">
        <v>0</v>
      </c>
      <c r="AC39" s="1435">
        <v>167.10356718486611</v>
      </c>
      <c r="AD39" s="1435">
        <v>0</v>
      </c>
      <c r="AE39" s="1436">
        <v>96.077722858616468</v>
      </c>
    </row>
    <row r="40" spans="2:31" ht="13.5" thickBot="1" x14ac:dyDescent="0.25">
      <c r="B40" s="1400">
        <v>2025</v>
      </c>
      <c r="C40" s="1419">
        <v>73248.90154129338</v>
      </c>
      <c r="D40" s="1420">
        <v>380.87366745952386</v>
      </c>
      <c r="E40" s="1420">
        <v>7777.451372906964</v>
      </c>
      <c r="F40" s="1420">
        <v>104294.06954297661</v>
      </c>
      <c r="G40" s="1420">
        <v>52272.126534078619</v>
      </c>
      <c r="H40" s="1421">
        <v>70992.917414118245</v>
      </c>
      <c r="I40" s="1401">
        <f t="shared" si="6"/>
        <v>0</v>
      </c>
      <c r="J40" s="1402">
        <f t="shared" si="6"/>
        <v>0</v>
      </c>
      <c r="K40" s="1402">
        <f t="shared" si="6"/>
        <v>0</v>
      </c>
      <c r="L40" s="1402">
        <f t="shared" si="6"/>
        <v>0</v>
      </c>
      <c r="M40" s="1403">
        <f t="shared" si="6"/>
        <v>0</v>
      </c>
      <c r="N40" s="1437">
        <v>11.01664280967314</v>
      </c>
      <c r="O40" s="1438">
        <v>11.390473777864843</v>
      </c>
      <c r="P40" s="1438">
        <v>15.119309396212641</v>
      </c>
      <c r="Q40" s="1447">
        <v>44.220704308959832</v>
      </c>
      <c r="R40" s="1447">
        <v>28.940477532997313</v>
      </c>
      <c r="S40" s="1448">
        <v>18.823685761748251</v>
      </c>
      <c r="T40" s="1437">
        <v>1</v>
      </c>
      <c r="U40" s="1440">
        <v>1</v>
      </c>
      <c r="V40" s="1440">
        <v>1</v>
      </c>
      <c r="W40" s="1440">
        <v>1</v>
      </c>
      <c r="X40" s="1440">
        <v>1</v>
      </c>
      <c r="Y40" s="1441">
        <v>46.102320322060194</v>
      </c>
      <c r="Z40" s="1437">
        <v>0</v>
      </c>
      <c r="AA40" s="1440">
        <v>0</v>
      </c>
      <c r="AB40" s="1440">
        <v>0</v>
      </c>
      <c r="AC40" s="1440">
        <v>169.91554908259545</v>
      </c>
      <c r="AD40" s="1440">
        <v>0</v>
      </c>
      <c r="AE40" s="1441">
        <v>95.126333026518751</v>
      </c>
    </row>
    <row r="41" spans="2:31" x14ac:dyDescent="0.2">
      <c r="B41" s="1392">
        <v>2026</v>
      </c>
      <c r="C41" s="1422">
        <v>73485.218560996014</v>
      </c>
      <c r="D41" s="1423">
        <v>489.80027820504768</v>
      </c>
      <c r="E41" s="1423">
        <v>7308.2684994770025</v>
      </c>
      <c r="F41" s="1423">
        <v>95105.184284730509</v>
      </c>
      <c r="G41" s="1423">
        <v>48480.202144608818</v>
      </c>
      <c r="H41" s="1424">
        <v>64032.14800094466</v>
      </c>
      <c r="I41" s="1393">
        <f t="shared" si="6"/>
        <v>0</v>
      </c>
      <c r="J41" s="1394">
        <f t="shared" si="6"/>
        <v>0</v>
      </c>
      <c r="K41" s="1394">
        <f t="shared" si="6"/>
        <v>0</v>
      </c>
      <c r="L41" s="1394">
        <f t="shared" si="6"/>
        <v>0</v>
      </c>
      <c r="M41" s="1395">
        <f t="shared" si="6"/>
        <v>0</v>
      </c>
      <c r="N41" s="1442">
        <v>11.333252089569644</v>
      </c>
      <c r="O41" s="1443">
        <v>11.701185081941304</v>
      </c>
      <c r="P41" s="1443">
        <v>15.532160041820067</v>
      </c>
      <c r="Q41" s="1449">
        <v>45.252441803883478</v>
      </c>
      <c r="R41" s="1449">
        <v>29.715741346558669</v>
      </c>
      <c r="S41" s="1450">
        <v>19.531211052554575</v>
      </c>
      <c r="T41" s="1442">
        <v>1</v>
      </c>
      <c r="U41" s="1445">
        <v>1</v>
      </c>
      <c r="V41" s="1445">
        <v>1</v>
      </c>
      <c r="W41" s="1445">
        <v>1</v>
      </c>
      <c r="X41" s="1445">
        <v>1</v>
      </c>
      <c r="Y41" s="1446">
        <v>47.051328668312529</v>
      </c>
      <c r="Z41" s="1442">
        <v>0</v>
      </c>
      <c r="AA41" s="1445">
        <v>0</v>
      </c>
      <c r="AB41" s="1445">
        <v>0</v>
      </c>
      <c r="AC41" s="1445">
        <v>172.29133922783228</v>
      </c>
      <c r="AD41" s="1445">
        <v>0</v>
      </c>
      <c r="AE41" s="1446">
        <v>94.322521810948174</v>
      </c>
    </row>
    <row r="42" spans="2:31" x14ac:dyDescent="0.2">
      <c r="B42" s="1396">
        <v>2027</v>
      </c>
      <c r="C42" s="1416">
        <v>73740.621908786765</v>
      </c>
      <c r="D42" s="1417">
        <v>627.81095439339697</v>
      </c>
      <c r="E42" s="1417">
        <v>6713.810954393397</v>
      </c>
      <c r="F42" s="1417">
        <v>83462.810954393412</v>
      </c>
      <c r="G42" s="1417">
        <v>43675.810954393397</v>
      </c>
      <c r="H42" s="1418">
        <v>55212.810954393397</v>
      </c>
      <c r="I42" s="1397">
        <f t="shared" si="6"/>
        <v>0</v>
      </c>
      <c r="J42" s="1398">
        <f t="shared" si="6"/>
        <v>0</v>
      </c>
      <c r="K42" s="1398">
        <f t="shared" si="6"/>
        <v>0</v>
      </c>
      <c r="L42" s="1398">
        <f t="shared" si="6"/>
        <v>0</v>
      </c>
      <c r="M42" s="1399">
        <f t="shared" si="6"/>
        <v>0</v>
      </c>
      <c r="N42" s="1432">
        <v>11.675432564462836</v>
      </c>
      <c r="O42" s="1433">
        <v>12.094858187911127</v>
      </c>
      <c r="P42" s="1433">
        <v>16.055244312735187</v>
      </c>
      <c r="Q42" s="1451">
        <v>46.559659464918958</v>
      </c>
      <c r="R42" s="1451">
        <v>30.698005298421851</v>
      </c>
      <c r="S42" s="1452">
        <v>20.427649885418489</v>
      </c>
      <c r="T42" s="1432">
        <v>1</v>
      </c>
      <c r="U42" s="1435">
        <v>1</v>
      </c>
      <c r="V42" s="1435">
        <v>1</v>
      </c>
      <c r="W42" s="1435">
        <v>1</v>
      </c>
      <c r="X42" s="1435">
        <v>1</v>
      </c>
      <c r="Y42" s="1436">
        <v>48.253727996431302</v>
      </c>
      <c r="Z42" s="1432">
        <v>0</v>
      </c>
      <c r="AA42" s="1435">
        <v>0</v>
      </c>
      <c r="AB42" s="1435">
        <v>0</v>
      </c>
      <c r="AC42" s="1435">
        <v>175.30147974521014</v>
      </c>
      <c r="AD42" s="1435">
        <v>0</v>
      </c>
      <c r="AE42" s="1436">
        <v>93.304088127669061</v>
      </c>
    </row>
    <row r="43" spans="2:31" x14ac:dyDescent="0.2">
      <c r="B43" s="1396">
        <v>2028</v>
      </c>
      <c r="C43" s="1416">
        <v>73882.509578698271</v>
      </c>
      <c r="D43" s="1417">
        <v>655.85717329989723</v>
      </c>
      <c r="E43" s="1417">
        <v>6265.0926457175628</v>
      </c>
      <c r="F43" s="1417">
        <v>77895.56271297994</v>
      </c>
      <c r="G43" s="1417">
        <v>42579.564251770265</v>
      </c>
      <c r="H43" s="1418">
        <v>52101.901513320539</v>
      </c>
      <c r="I43" s="1397">
        <f t="shared" si="6"/>
        <v>0</v>
      </c>
      <c r="J43" s="1398">
        <f t="shared" si="6"/>
        <v>0</v>
      </c>
      <c r="K43" s="1398">
        <f t="shared" si="6"/>
        <v>0</v>
      </c>
      <c r="L43" s="1398">
        <f t="shared" si="6"/>
        <v>0</v>
      </c>
      <c r="M43" s="1399">
        <f t="shared" si="6"/>
        <v>0</v>
      </c>
      <c r="N43" s="1432">
        <v>11.84954821073023</v>
      </c>
      <c r="O43" s="1433">
        <v>12.475570520767198</v>
      </c>
      <c r="P43" s="1433">
        <v>16.558861731746493</v>
      </c>
      <c r="Q43" s="1451">
        <v>47.286552695485071</v>
      </c>
      <c r="R43" s="1451">
        <v>31.18971658494371</v>
      </c>
      <c r="S43" s="1452">
        <v>20.856306082965069</v>
      </c>
      <c r="T43" s="1432">
        <v>1</v>
      </c>
      <c r="U43" s="1435">
        <v>1</v>
      </c>
      <c r="V43" s="1435">
        <v>1</v>
      </c>
      <c r="W43" s="1435">
        <v>1</v>
      </c>
      <c r="X43" s="1435">
        <v>1</v>
      </c>
      <c r="Y43" s="1436">
        <v>48.693295724408749</v>
      </c>
      <c r="Z43" s="1432">
        <v>0</v>
      </c>
      <c r="AA43" s="1435">
        <v>0</v>
      </c>
      <c r="AB43" s="1435">
        <v>0</v>
      </c>
      <c r="AC43" s="1435">
        <v>176.82655375594865</v>
      </c>
      <c r="AD43" s="1435">
        <v>0</v>
      </c>
      <c r="AE43" s="1436">
        <v>93.507512325177643</v>
      </c>
    </row>
    <row r="44" spans="2:31" x14ac:dyDescent="0.2">
      <c r="B44" s="1396">
        <v>2029</v>
      </c>
      <c r="C44" s="1416">
        <v>74128.712778923815</v>
      </c>
      <c r="D44" s="1417">
        <v>673.02335059742791</v>
      </c>
      <c r="E44" s="1417">
        <v>5990.4467810091464</v>
      </c>
      <c r="F44" s="1417">
        <v>74488.031355898507</v>
      </c>
      <c r="G44" s="1417">
        <v>41908.587343196661</v>
      </c>
      <c r="H44" s="1418">
        <v>50197.815147880334</v>
      </c>
      <c r="I44" s="1397">
        <f t="shared" si="6"/>
        <v>0</v>
      </c>
      <c r="J44" s="1398">
        <f t="shared" si="6"/>
        <v>0</v>
      </c>
      <c r="K44" s="1398">
        <f t="shared" si="6"/>
        <v>0</v>
      </c>
      <c r="L44" s="1398">
        <f t="shared" si="6"/>
        <v>0</v>
      </c>
      <c r="M44" s="1399">
        <f t="shared" si="6"/>
        <v>0</v>
      </c>
      <c r="N44" s="1432">
        <v>12.151673330884138</v>
      </c>
      <c r="O44" s="1433">
        <v>12.708592142218249</v>
      </c>
      <c r="P44" s="1433">
        <v>16.867109554160407</v>
      </c>
      <c r="Q44" s="1451">
        <v>47.731460371413561</v>
      </c>
      <c r="R44" s="1451">
        <v>31.490677051371318</v>
      </c>
      <c r="S44" s="1452">
        <v>21.118672582752477</v>
      </c>
      <c r="T44" s="1432">
        <v>1</v>
      </c>
      <c r="U44" s="1435">
        <v>1</v>
      </c>
      <c r="V44" s="1435">
        <v>1</v>
      </c>
      <c r="W44" s="1435">
        <v>1</v>
      </c>
      <c r="X44" s="1435">
        <v>1</v>
      </c>
      <c r="Y44" s="1436">
        <v>48.962340816650574</v>
      </c>
      <c r="Z44" s="1432">
        <v>0</v>
      </c>
      <c r="AA44" s="1435">
        <v>0</v>
      </c>
      <c r="AB44" s="1435">
        <v>0</v>
      </c>
      <c r="AC44" s="1435">
        <v>177.76000189551675</v>
      </c>
      <c r="AD44" s="1435">
        <v>0</v>
      </c>
      <c r="AE44" s="1436">
        <v>93.632021652181109</v>
      </c>
    </row>
    <row r="45" spans="2:31" ht="13.5" thickBot="1" x14ac:dyDescent="0.25">
      <c r="B45" s="1400">
        <v>2030</v>
      </c>
      <c r="C45" s="1419">
        <v>74351.18429638313</v>
      </c>
      <c r="D45" s="1420">
        <v>696.30264544640011</v>
      </c>
      <c r="E45" s="1420">
        <v>5617.9956550081297</v>
      </c>
      <c r="F45" s="1420">
        <v>69867.030081489662</v>
      </c>
      <c r="G45" s="1420">
        <v>40998.666105590448</v>
      </c>
      <c r="H45" s="1421">
        <v>47615.656805302373</v>
      </c>
      <c r="I45" s="1401">
        <f t="shared" si="6"/>
        <v>0</v>
      </c>
      <c r="J45" s="1402">
        <f t="shared" si="6"/>
        <v>0</v>
      </c>
      <c r="K45" s="1402">
        <f t="shared" si="6"/>
        <v>0</v>
      </c>
      <c r="L45" s="1402">
        <f t="shared" si="6"/>
        <v>0</v>
      </c>
      <c r="M45" s="1403">
        <f t="shared" si="6"/>
        <v>0</v>
      </c>
      <c r="N45" s="1437">
        <v>12.424676418909172</v>
      </c>
      <c r="O45" s="1438">
        <v>13.024596045587286</v>
      </c>
      <c r="P45" s="1438">
        <v>17.28512876834851</v>
      </c>
      <c r="Q45" s="1447">
        <v>48.334805938047097</v>
      </c>
      <c r="R45" s="1447">
        <v>31.898813779451153</v>
      </c>
      <c r="S45" s="1448">
        <v>21.474471489007662</v>
      </c>
      <c r="T45" s="1437">
        <v>1</v>
      </c>
      <c r="U45" s="1440">
        <v>1</v>
      </c>
      <c r="V45" s="1440">
        <v>1</v>
      </c>
      <c r="W45" s="1440">
        <v>1</v>
      </c>
      <c r="X45" s="1440">
        <v>1</v>
      </c>
      <c r="Y45" s="1441">
        <v>49.327196656212905</v>
      </c>
      <c r="Z45" s="1437">
        <v>0</v>
      </c>
      <c r="AA45" s="1440">
        <v>0</v>
      </c>
      <c r="AB45" s="1440">
        <v>0</v>
      </c>
      <c r="AC45" s="1440">
        <v>179.02586406684347</v>
      </c>
      <c r="AD45" s="1440">
        <v>0</v>
      </c>
      <c r="AE45" s="1441">
        <v>93.800870504463305</v>
      </c>
    </row>
    <row r="46" spans="2:31" x14ac:dyDescent="0.2">
      <c r="B46" s="1392">
        <v>2031</v>
      </c>
      <c r="C46" s="1422">
        <v>74555.375417589617</v>
      </c>
      <c r="D46" s="1423">
        <v>723.7269827081326</v>
      </c>
      <c r="E46" s="1423">
        <v>5179.2269827081309</v>
      </c>
      <c r="F46" s="1423">
        <v>64423.22698270814</v>
      </c>
      <c r="G46" s="1423">
        <v>39926.726982708133</v>
      </c>
      <c r="H46" s="1424">
        <v>44573.726982708147</v>
      </c>
      <c r="I46" s="1393">
        <f t="shared" si="6"/>
        <v>0</v>
      </c>
      <c r="J46" s="1394">
        <f t="shared" si="6"/>
        <v>0</v>
      </c>
      <c r="K46" s="1394">
        <f t="shared" si="6"/>
        <v>0</v>
      </c>
      <c r="L46" s="1394">
        <f t="shared" si="6"/>
        <v>0</v>
      </c>
      <c r="M46" s="1395">
        <f t="shared" si="6"/>
        <v>0</v>
      </c>
      <c r="N46" s="1442">
        <v>12.675246951592575</v>
      </c>
      <c r="O46" s="1443">
        <v>13.396866669686494</v>
      </c>
      <c r="P46" s="1443">
        <v>17.777579247890628</v>
      </c>
      <c r="Q46" s="1449">
        <v>49.045581432411339</v>
      </c>
      <c r="R46" s="1449">
        <v>32.379622126627339</v>
      </c>
      <c r="S46" s="1450">
        <v>21.893622896548184</v>
      </c>
      <c r="T46" s="1442">
        <v>1</v>
      </c>
      <c r="U46" s="1445">
        <v>1</v>
      </c>
      <c r="V46" s="1445">
        <v>1</v>
      </c>
      <c r="W46" s="1445">
        <v>1</v>
      </c>
      <c r="X46" s="1445">
        <v>1</v>
      </c>
      <c r="Y46" s="1446">
        <v>49.757017647827318</v>
      </c>
      <c r="Z46" s="1442">
        <v>0</v>
      </c>
      <c r="AA46" s="1445">
        <v>0</v>
      </c>
      <c r="AB46" s="1445">
        <v>0</v>
      </c>
      <c r="AC46" s="1445">
        <v>180.51712191372212</v>
      </c>
      <c r="AD46" s="1445">
        <v>0</v>
      </c>
      <c r="AE46" s="1446">
        <v>93.999784084160837</v>
      </c>
    </row>
    <row r="47" spans="2:31" x14ac:dyDescent="0.2">
      <c r="B47" s="1396">
        <v>2032</v>
      </c>
      <c r="C47" s="1416">
        <v>74576.943363239174</v>
      </c>
      <c r="D47" s="1423">
        <v>751.15131996986531</v>
      </c>
      <c r="E47" s="1423">
        <v>4740.4583104081321</v>
      </c>
      <c r="F47" s="1423">
        <v>58979.423883926662</v>
      </c>
      <c r="G47" s="1423">
        <v>38854.787859825825</v>
      </c>
      <c r="H47" s="1424">
        <v>41531.797160113892</v>
      </c>
      <c r="I47" s="1397">
        <f t="shared" si="6"/>
        <v>0</v>
      </c>
      <c r="J47" s="1404">
        <f t="shared" si="6"/>
        <v>0</v>
      </c>
      <c r="K47" s="1398">
        <f t="shared" si="6"/>
        <v>0</v>
      </c>
      <c r="L47" s="1404">
        <f t="shared" si="6"/>
        <v>0</v>
      </c>
      <c r="M47" s="1399">
        <f t="shared" si="6"/>
        <v>0</v>
      </c>
      <c r="N47" s="1442">
        <v>12.701713781288014</v>
      </c>
      <c r="O47" s="1433">
        <v>13.769137293785704</v>
      </c>
      <c r="P47" s="1433">
        <v>18.270029727432746</v>
      </c>
      <c r="Q47" s="1451">
        <v>49.756356926775574</v>
      </c>
      <c r="R47" s="1451">
        <v>32.860430473803525</v>
      </c>
      <c r="S47" s="1452">
        <v>22.312774304088709</v>
      </c>
      <c r="T47" s="1442">
        <v>1</v>
      </c>
      <c r="U47" s="1445">
        <v>1</v>
      </c>
      <c r="V47" s="1445">
        <v>1</v>
      </c>
      <c r="W47" s="1445">
        <v>1</v>
      </c>
      <c r="X47" s="1445">
        <v>1</v>
      </c>
      <c r="Y47" s="1446">
        <v>50.186838639441746</v>
      </c>
      <c r="Z47" s="1442">
        <v>0</v>
      </c>
      <c r="AA47" s="1445">
        <v>0</v>
      </c>
      <c r="AB47" s="1445">
        <v>0</v>
      </c>
      <c r="AC47" s="1445">
        <v>182.0083797606008</v>
      </c>
      <c r="AD47" s="1445">
        <v>0</v>
      </c>
      <c r="AE47" s="1446">
        <v>94.198697663858383</v>
      </c>
    </row>
    <row r="48" spans="2:31" x14ac:dyDescent="0.2">
      <c r="B48" s="1396">
        <v>2033</v>
      </c>
      <c r="C48" s="1416">
        <v>74598.511308888716</v>
      </c>
      <c r="D48" s="1423">
        <v>774.43061481883785</v>
      </c>
      <c r="E48" s="1423">
        <v>4368.007184407119</v>
      </c>
      <c r="F48" s="1423">
        <v>54358.422609517715</v>
      </c>
      <c r="G48" s="1423">
        <v>37944.86662221959</v>
      </c>
      <c r="H48" s="1424">
        <v>38949.638817535902</v>
      </c>
      <c r="I48" s="1397">
        <f t="shared" si="6"/>
        <v>0</v>
      </c>
      <c r="J48" s="1398">
        <f t="shared" si="6"/>
        <v>0</v>
      </c>
      <c r="K48" s="1398">
        <f t="shared" si="6"/>
        <v>0</v>
      </c>
      <c r="L48" s="1398">
        <f t="shared" si="6"/>
        <v>0</v>
      </c>
      <c r="M48" s="1399">
        <f t="shared" si="6"/>
        <v>0</v>
      </c>
      <c r="N48" s="1442">
        <v>12.728180610983452</v>
      </c>
      <c r="O48" s="1433">
        <v>14.085141197154744</v>
      </c>
      <c r="P48" s="1433">
        <v>18.688048941620846</v>
      </c>
      <c r="Q48" s="1451">
        <v>50.359702493409124</v>
      </c>
      <c r="R48" s="1451">
        <v>33.268567201883371</v>
      </c>
      <c r="S48" s="1452">
        <v>22.668573210343897</v>
      </c>
      <c r="T48" s="1442">
        <v>1</v>
      </c>
      <c r="U48" s="1445">
        <v>1</v>
      </c>
      <c r="V48" s="1445">
        <v>1</v>
      </c>
      <c r="W48" s="1445">
        <v>1</v>
      </c>
      <c r="X48" s="1445">
        <v>1</v>
      </c>
      <c r="Y48" s="1446">
        <v>50.551694479004077</v>
      </c>
      <c r="Z48" s="1442">
        <v>0</v>
      </c>
      <c r="AA48" s="1445">
        <v>0</v>
      </c>
      <c r="AB48" s="1445">
        <v>0</v>
      </c>
      <c r="AC48" s="1445">
        <v>183.27424193192752</v>
      </c>
      <c r="AD48" s="1445">
        <v>0</v>
      </c>
      <c r="AE48" s="1446">
        <v>94.367546516140578</v>
      </c>
    </row>
    <row r="49" spans="2:31" x14ac:dyDescent="0.2">
      <c r="B49" s="1396">
        <v>2034</v>
      </c>
      <c r="C49" s="1416">
        <v>74620.079254538257</v>
      </c>
      <c r="D49" s="1423">
        <v>791.59679211636831</v>
      </c>
      <c r="E49" s="1423">
        <v>4093.361319698703</v>
      </c>
      <c r="F49" s="1423">
        <v>50950.891252436399</v>
      </c>
      <c r="G49" s="1423">
        <v>37273.889713646015</v>
      </c>
      <c r="H49" s="1424">
        <v>37045.552452095726</v>
      </c>
      <c r="I49" s="1397">
        <f t="shared" si="6"/>
        <v>0</v>
      </c>
      <c r="J49" s="1398">
        <f t="shared" si="6"/>
        <v>0</v>
      </c>
      <c r="K49" s="1398">
        <f t="shared" si="6"/>
        <v>0</v>
      </c>
      <c r="L49" s="1398">
        <f t="shared" si="6"/>
        <v>0</v>
      </c>
      <c r="M49" s="1399">
        <f t="shared" si="6"/>
        <v>0</v>
      </c>
      <c r="N49" s="1442">
        <v>12.754647440678891</v>
      </c>
      <c r="O49" s="1433">
        <v>14.318162818605792</v>
      </c>
      <c r="P49" s="1433">
        <v>18.99629676403476</v>
      </c>
      <c r="Q49" s="1451">
        <v>50.8046101693376</v>
      </c>
      <c r="R49" s="1451">
        <v>33.569527668310968</v>
      </c>
      <c r="S49" s="1452">
        <v>22.930939710131302</v>
      </c>
      <c r="T49" s="1442">
        <v>1</v>
      </c>
      <c r="U49" s="1445">
        <v>1</v>
      </c>
      <c r="V49" s="1445">
        <v>1</v>
      </c>
      <c r="W49" s="1445">
        <v>1</v>
      </c>
      <c r="X49" s="1445">
        <v>1</v>
      </c>
      <c r="Y49" s="1446">
        <v>50.820739571245902</v>
      </c>
      <c r="Z49" s="1442">
        <v>0</v>
      </c>
      <c r="AA49" s="1445">
        <v>0</v>
      </c>
      <c r="AB49" s="1445">
        <v>0</v>
      </c>
      <c r="AC49" s="1445">
        <v>184.20769007149562</v>
      </c>
      <c r="AD49" s="1445">
        <v>0</v>
      </c>
      <c r="AE49" s="1446">
        <v>94.492055843144044</v>
      </c>
    </row>
    <row r="50" spans="2:31" ht="13.5" thickBot="1" x14ac:dyDescent="0.25">
      <c r="B50" s="1405">
        <v>2035</v>
      </c>
      <c r="C50" s="1425">
        <v>74641.647200187799</v>
      </c>
      <c r="D50" s="1426">
        <v>819.64301102286845</v>
      </c>
      <c r="E50" s="1426">
        <v>3644.6430110228684</v>
      </c>
      <c r="F50" s="1426">
        <v>45383.643011022868</v>
      </c>
      <c r="G50" s="1426">
        <v>36177.643011022868</v>
      </c>
      <c r="H50" s="1458">
        <v>33934.643011022868</v>
      </c>
      <c r="I50" s="1406">
        <f t="shared" si="6"/>
        <v>0</v>
      </c>
      <c r="J50" s="1407">
        <f t="shared" si="6"/>
        <v>0</v>
      </c>
      <c r="K50" s="1407">
        <f t="shared" si="6"/>
        <v>0</v>
      </c>
      <c r="L50" s="1407">
        <f t="shared" si="6"/>
        <v>0</v>
      </c>
      <c r="M50" s="1408">
        <f t="shared" si="6"/>
        <v>0</v>
      </c>
      <c r="N50" s="1453">
        <v>12.781114270374328</v>
      </c>
      <c r="O50" s="1438">
        <v>14.698875151461863</v>
      </c>
      <c r="P50" s="1438">
        <v>19.499914183046066</v>
      </c>
      <c r="Q50" s="1447">
        <v>51.53150339990372</v>
      </c>
      <c r="R50" s="1447">
        <v>34.061238954832831</v>
      </c>
      <c r="S50" s="1448">
        <v>23.359595907677882</v>
      </c>
      <c r="T50" s="1453">
        <v>1</v>
      </c>
      <c r="U50" s="1454">
        <v>1</v>
      </c>
      <c r="V50" s="1454">
        <v>1</v>
      </c>
      <c r="W50" s="1454">
        <v>1</v>
      </c>
      <c r="X50" s="1454">
        <v>1</v>
      </c>
      <c r="Y50" s="1455">
        <v>51.260307299223349</v>
      </c>
      <c r="Z50" s="1453">
        <v>0</v>
      </c>
      <c r="AA50" s="1454">
        <v>0</v>
      </c>
      <c r="AB50" s="1454">
        <v>0</v>
      </c>
      <c r="AC50" s="1454">
        <v>185.73276408223413</v>
      </c>
      <c r="AD50" s="1454">
        <v>0</v>
      </c>
      <c r="AE50" s="1455">
        <v>94.695480040652626</v>
      </c>
    </row>
    <row r="51" spans="2:31" x14ac:dyDescent="0.2">
      <c r="B51" s="1409">
        <v>2036</v>
      </c>
      <c r="C51" s="1413">
        <v>74641.647200187799</v>
      </c>
      <c r="D51" s="1414">
        <v>895.28337343641738</v>
      </c>
      <c r="E51" s="1414">
        <v>3354.3295875377389</v>
      </c>
      <c r="F51" s="1414">
        <v>41084.889949620032</v>
      </c>
      <c r="G51" s="1414">
        <v>33681.419958892213</v>
      </c>
      <c r="H51" s="1415">
        <v>31624.552580403764</v>
      </c>
      <c r="I51" s="1410">
        <f t="shared" si="6"/>
        <v>0</v>
      </c>
      <c r="J51" s="1411">
        <f t="shared" si="6"/>
        <v>0</v>
      </c>
      <c r="K51" s="1411">
        <f t="shared" si="6"/>
        <v>0</v>
      </c>
      <c r="L51" s="1411">
        <f t="shared" si="6"/>
        <v>0</v>
      </c>
      <c r="M51" s="1412">
        <f t="shared" si="6"/>
        <v>0</v>
      </c>
      <c r="N51" s="1427">
        <v>12.781114270374328</v>
      </c>
      <c r="O51" s="1428">
        <v>15.149362867340223</v>
      </c>
      <c r="P51" s="1428">
        <v>20.098353012545516</v>
      </c>
      <c r="Q51" s="1456">
        <v>52.515942079941205</v>
      </c>
      <c r="R51" s="1456">
        <v>34.973067566268774</v>
      </c>
      <c r="S51" s="1457">
        <v>24.005728223951195</v>
      </c>
      <c r="T51" s="1427">
        <v>1</v>
      </c>
      <c r="U51" s="1430">
        <v>1</v>
      </c>
      <c r="V51" s="1430">
        <v>1</v>
      </c>
      <c r="W51" s="1430">
        <v>1</v>
      </c>
      <c r="X51" s="1430">
        <v>1</v>
      </c>
      <c r="Y51" s="1431">
        <v>52.188157140110221</v>
      </c>
      <c r="Z51" s="1427">
        <v>0</v>
      </c>
      <c r="AA51" s="1430">
        <v>0</v>
      </c>
      <c r="AB51" s="1430">
        <v>0</v>
      </c>
      <c r="AC51" s="1430">
        <v>186.34107490586248</v>
      </c>
      <c r="AD51" s="1430">
        <v>0</v>
      </c>
      <c r="AE51" s="1431">
        <v>97.629388939895875</v>
      </c>
    </row>
    <row r="52" spans="2:31" x14ac:dyDescent="0.2">
      <c r="B52" s="1396">
        <v>2037</v>
      </c>
      <c r="C52" s="1416">
        <v>74641.647200187799</v>
      </c>
      <c r="D52" s="1417">
        <v>928.17012871669067</v>
      </c>
      <c r="E52" s="1417">
        <v>3228.1077370852672</v>
      </c>
      <c r="F52" s="1417">
        <v>39215.887271291271</v>
      </c>
      <c r="G52" s="1417">
        <v>32596.117429647671</v>
      </c>
      <c r="H52" s="1418">
        <v>30620.176394952498</v>
      </c>
      <c r="I52" s="1397">
        <f t="shared" si="6"/>
        <v>0</v>
      </c>
      <c r="J52" s="1398">
        <f t="shared" si="6"/>
        <v>0</v>
      </c>
      <c r="K52" s="1398">
        <f t="shared" si="6"/>
        <v>0</v>
      </c>
      <c r="L52" s="1398">
        <f t="shared" si="6"/>
        <v>0</v>
      </c>
      <c r="M52" s="1399">
        <f t="shared" si="6"/>
        <v>0</v>
      </c>
      <c r="N52" s="1432">
        <v>12.781114270374328</v>
      </c>
      <c r="O52" s="1433">
        <v>15.345224954672148</v>
      </c>
      <c r="P52" s="1433">
        <v>20.358540969186457</v>
      </c>
      <c r="Q52" s="1451">
        <v>52.943954227501052</v>
      </c>
      <c r="R52" s="1451">
        <v>35.369510463222348</v>
      </c>
      <c r="S52" s="1452">
        <v>24.286652252947523</v>
      </c>
      <c r="T52" s="1432">
        <v>1</v>
      </c>
      <c r="U52" s="1435">
        <v>1</v>
      </c>
      <c r="V52" s="1435">
        <v>1</v>
      </c>
      <c r="W52" s="1435">
        <v>1</v>
      </c>
      <c r="X52" s="1435">
        <v>1</v>
      </c>
      <c r="Y52" s="1436">
        <v>52.591565712999625</v>
      </c>
      <c r="Z52" s="1432">
        <v>0</v>
      </c>
      <c r="AA52" s="1435">
        <v>0</v>
      </c>
      <c r="AB52" s="1435">
        <v>0</v>
      </c>
      <c r="AC52" s="1435">
        <v>186.6055549870344</v>
      </c>
      <c r="AD52" s="1435">
        <v>0</v>
      </c>
      <c r="AE52" s="1436">
        <v>98.904987587301974</v>
      </c>
    </row>
    <row r="53" spans="2:31" x14ac:dyDescent="0.2">
      <c r="B53" s="1396">
        <v>2038</v>
      </c>
      <c r="C53" s="1416">
        <v>74641.647200187799</v>
      </c>
      <c r="D53" s="1417">
        <v>971.77456734303155</v>
      </c>
      <c r="E53" s="1417">
        <v>3060.7506085253854</v>
      </c>
      <c r="F53" s="1417">
        <v>36737.782882910404</v>
      </c>
      <c r="G53" s="1417">
        <v>31157.118442847583</v>
      </c>
      <c r="H53" s="1418">
        <v>29288.47737621293</v>
      </c>
      <c r="I53" s="1397">
        <f t="shared" si="6"/>
        <v>0</v>
      </c>
      <c r="J53" s="1398">
        <f t="shared" si="6"/>
        <v>0</v>
      </c>
      <c r="K53" s="1398">
        <f t="shared" si="6"/>
        <v>0</v>
      </c>
      <c r="L53" s="1398">
        <f t="shared" si="6"/>
        <v>0</v>
      </c>
      <c r="M53" s="1399">
        <f t="shared" si="6"/>
        <v>0</v>
      </c>
      <c r="N53" s="1432">
        <v>12.781114270374328</v>
      </c>
      <c r="O53" s="1433">
        <v>15.604917839953986</v>
      </c>
      <c r="P53" s="1433">
        <v>20.703523309036459</v>
      </c>
      <c r="Q53" s="1451">
        <v>53.511454099730663</v>
      </c>
      <c r="R53" s="1451">
        <v>35.895152771858065</v>
      </c>
      <c r="S53" s="1452">
        <v>24.659128481649311</v>
      </c>
      <c r="T53" s="1432">
        <v>1</v>
      </c>
      <c r="U53" s="1435">
        <v>1</v>
      </c>
      <c r="V53" s="1435">
        <v>1</v>
      </c>
      <c r="W53" s="1435">
        <v>1</v>
      </c>
      <c r="X53" s="1435">
        <v>1</v>
      </c>
      <c r="Y53" s="1436">
        <v>53.126443788017482</v>
      </c>
      <c r="Z53" s="1432">
        <v>0</v>
      </c>
      <c r="AA53" s="1435">
        <v>0</v>
      </c>
      <c r="AB53" s="1435">
        <v>0</v>
      </c>
      <c r="AC53" s="1435">
        <v>186.95622824041757</v>
      </c>
      <c r="AD53" s="1435">
        <v>0</v>
      </c>
      <c r="AE53" s="1436">
        <v>100.59629955951183</v>
      </c>
    </row>
    <row r="54" spans="2:31" x14ac:dyDescent="0.2">
      <c r="B54" s="1396">
        <v>2039</v>
      </c>
      <c r="C54" s="1416">
        <v>74641.647200187799</v>
      </c>
      <c r="D54" s="1417">
        <v>1026.5887401372934</v>
      </c>
      <c r="E54" s="1417">
        <v>2850.3696736429652</v>
      </c>
      <c r="F54" s="1417">
        <v>33622.612812474719</v>
      </c>
      <c r="G54" s="1417">
        <v>29348.184728801811</v>
      </c>
      <c r="H54" s="1418">
        <v>27614.42807245595</v>
      </c>
      <c r="I54" s="1397">
        <f t="shared" si="6"/>
        <v>0</v>
      </c>
      <c r="J54" s="1398">
        <f t="shared" si="6"/>
        <v>0</v>
      </c>
      <c r="K54" s="1398">
        <f t="shared" si="6"/>
        <v>0</v>
      </c>
      <c r="L54" s="1398">
        <f t="shared" si="6"/>
        <v>0</v>
      </c>
      <c r="M54" s="1399">
        <f t="shared" si="6"/>
        <v>0</v>
      </c>
      <c r="N54" s="1432">
        <v>12.781114270374328</v>
      </c>
      <c r="O54" s="1433">
        <v>15.931372006908449</v>
      </c>
      <c r="P54" s="1433">
        <v>21.137192957889209</v>
      </c>
      <c r="Q54" s="1451">
        <v>54.22484560383144</v>
      </c>
      <c r="R54" s="1451">
        <v>36.555926061027932</v>
      </c>
      <c r="S54" s="1452">
        <v>25.127360088453699</v>
      </c>
      <c r="T54" s="1432">
        <v>1</v>
      </c>
      <c r="U54" s="1435">
        <v>1</v>
      </c>
      <c r="V54" s="1435">
        <v>1</v>
      </c>
      <c r="W54" s="1435">
        <v>1</v>
      </c>
      <c r="X54" s="1435">
        <v>1</v>
      </c>
      <c r="Y54" s="1436">
        <v>53.798827154287437</v>
      </c>
      <c r="Z54" s="1432">
        <v>0</v>
      </c>
      <c r="AA54" s="1435">
        <v>0</v>
      </c>
      <c r="AB54" s="1435">
        <v>0</v>
      </c>
      <c r="AC54" s="1435">
        <v>187.39705181046713</v>
      </c>
      <c r="AD54" s="1435">
        <v>0</v>
      </c>
      <c r="AE54" s="1436">
        <v>102.72241033204477</v>
      </c>
    </row>
    <row r="55" spans="2:31" ht="13.5" thickBot="1" x14ac:dyDescent="0.25">
      <c r="B55" s="1400">
        <v>2040</v>
      </c>
      <c r="C55" s="1419">
        <v>74641.647200187799</v>
      </c>
      <c r="D55" s="1420">
        <v>1091.0577402681229</v>
      </c>
      <c r="E55" s="1420">
        <v>2602.9327822870391</v>
      </c>
      <c r="F55" s="1420">
        <v>29958.744702446467</v>
      </c>
      <c r="G55" s="1420">
        <v>27220.630085494555</v>
      </c>
      <c r="H55" s="1421">
        <v>25645.516032352694</v>
      </c>
      <c r="I55" s="1401">
        <f t="shared" si="6"/>
        <v>0</v>
      </c>
      <c r="J55" s="1402">
        <f t="shared" si="6"/>
        <v>0</v>
      </c>
      <c r="K55" s="1402">
        <f t="shared" si="6"/>
        <v>0</v>
      </c>
      <c r="L55" s="1402">
        <f t="shared" si="6"/>
        <v>0</v>
      </c>
      <c r="M55" s="1403">
        <f t="shared" si="6"/>
        <v>0</v>
      </c>
      <c r="N55" s="1437">
        <v>12.781114270374328</v>
      </c>
      <c r="O55" s="1438">
        <v>16.315326970729416</v>
      </c>
      <c r="P55" s="1438">
        <v>21.64724806268049</v>
      </c>
      <c r="Q55" s="1447">
        <v>55.063892051614744</v>
      </c>
      <c r="R55" s="1447">
        <v>37.333086256910704</v>
      </c>
      <c r="S55" s="1448">
        <v>25.678064805528081</v>
      </c>
      <c r="T55" s="1437">
        <v>1</v>
      </c>
      <c r="U55" s="1440">
        <v>1</v>
      </c>
      <c r="V55" s="1440">
        <v>1</v>
      </c>
      <c r="W55" s="1440">
        <v>1</v>
      </c>
      <c r="X55" s="1440">
        <v>1</v>
      </c>
      <c r="Y55" s="1441">
        <v>54.589642396373208</v>
      </c>
      <c r="Z55" s="1437">
        <v>0</v>
      </c>
      <c r="AA55" s="1440">
        <v>0</v>
      </c>
      <c r="AB55" s="1440">
        <v>0</v>
      </c>
      <c r="AC55" s="1440">
        <v>187.91552090972488</v>
      </c>
      <c r="AD55" s="1440">
        <v>0</v>
      </c>
      <c r="AE55" s="1441">
        <v>105.22300878469409</v>
      </c>
    </row>
    <row r="56" spans="2:31" x14ac:dyDescent="0.2">
      <c r="B56" s="1409">
        <v>2041</v>
      </c>
      <c r="C56" s="1413">
        <v>74641.647200187799</v>
      </c>
      <c r="D56" s="1414">
        <v>1161.2044422878457</v>
      </c>
      <c r="E56" s="1414">
        <v>2333.7044422878471</v>
      </c>
      <c r="F56" s="1414">
        <v>25972.204442287864</v>
      </c>
      <c r="G56" s="1414">
        <v>24905.704442287853</v>
      </c>
      <c r="H56" s="1415">
        <v>23503.204442287839</v>
      </c>
      <c r="I56" s="1410">
        <f t="shared" si="6"/>
        <v>0</v>
      </c>
      <c r="J56" s="1411">
        <f t="shared" si="6"/>
        <v>0</v>
      </c>
      <c r="K56" s="1411">
        <f t="shared" si="6"/>
        <v>0</v>
      </c>
      <c r="L56" s="1411">
        <f t="shared" si="6"/>
        <v>0</v>
      </c>
      <c r="M56" s="1412">
        <f t="shared" si="6"/>
        <v>0</v>
      </c>
      <c r="N56" s="1427">
        <v>12.781114270374328</v>
      </c>
      <c r="O56" s="1443">
        <v>16.733096354177064</v>
      </c>
      <c r="P56" s="1443">
        <v>22.202223064259943</v>
      </c>
      <c r="Q56" s="1443">
        <v>55.976832240448509</v>
      </c>
      <c r="R56" s="1443">
        <v>38.178689951268439</v>
      </c>
      <c r="S56" s="1444">
        <v>26.27726937844032</v>
      </c>
      <c r="T56" s="1427">
        <v>1</v>
      </c>
      <c r="U56" s="1430">
        <v>1</v>
      </c>
      <c r="V56" s="1430">
        <v>1</v>
      </c>
      <c r="W56" s="1430">
        <v>1</v>
      </c>
      <c r="X56" s="1430">
        <v>1</v>
      </c>
      <c r="Y56" s="1431">
        <v>55.450103719282993</v>
      </c>
      <c r="Z56" s="1427">
        <v>0</v>
      </c>
      <c r="AA56" s="1430">
        <v>0</v>
      </c>
      <c r="AB56" s="1430">
        <v>0</v>
      </c>
      <c r="AC56" s="1430">
        <v>188.47965091543711</v>
      </c>
      <c r="AD56" s="1430">
        <v>0</v>
      </c>
      <c r="AE56" s="1431">
        <v>107.94383172553401</v>
      </c>
    </row>
    <row r="57" spans="2:31" x14ac:dyDescent="0.2">
      <c r="B57" s="1396">
        <v>2042</v>
      </c>
      <c r="C57" s="1416">
        <v>74641.647200187799</v>
      </c>
      <c r="D57" s="1417">
        <v>1231.3511443075683</v>
      </c>
      <c r="E57" s="1417">
        <v>2064.4761022886569</v>
      </c>
      <c r="F57" s="1417">
        <v>21985.66418212932</v>
      </c>
      <c r="G57" s="1417">
        <v>22590.778799081156</v>
      </c>
      <c r="H57" s="1418">
        <v>21360.89285222302</v>
      </c>
      <c r="I57" s="1397">
        <f t="shared" si="6"/>
        <v>0</v>
      </c>
      <c r="J57" s="1398">
        <f t="shared" si="6"/>
        <v>0</v>
      </c>
      <c r="K57" s="1398">
        <f t="shared" si="6"/>
        <v>0</v>
      </c>
      <c r="L57" s="1398">
        <f t="shared" si="6"/>
        <v>0</v>
      </c>
      <c r="M57" s="1399">
        <f t="shared" si="6"/>
        <v>0</v>
      </c>
      <c r="N57" s="1432">
        <v>12.781114270374328</v>
      </c>
      <c r="O57" s="1433">
        <v>17.150865737624709</v>
      </c>
      <c r="P57" s="1433">
        <v>22.757198065839393</v>
      </c>
      <c r="Q57" s="1433">
        <v>56.88977242928226</v>
      </c>
      <c r="R57" s="1433">
        <v>39.024293645626173</v>
      </c>
      <c r="S57" s="1434">
        <v>26.876473951352548</v>
      </c>
      <c r="T57" s="1432">
        <v>1</v>
      </c>
      <c r="U57" s="1435">
        <v>1</v>
      </c>
      <c r="V57" s="1435">
        <v>1</v>
      </c>
      <c r="W57" s="1435">
        <v>1</v>
      </c>
      <c r="X57" s="1435">
        <v>1</v>
      </c>
      <c r="Y57" s="1436">
        <v>56.310565042192792</v>
      </c>
      <c r="Z57" s="1432">
        <v>0</v>
      </c>
      <c r="AA57" s="1435">
        <v>0</v>
      </c>
      <c r="AB57" s="1435">
        <v>0</v>
      </c>
      <c r="AC57" s="1435">
        <v>189.04378092114936</v>
      </c>
      <c r="AD57" s="1435">
        <v>0</v>
      </c>
      <c r="AE57" s="1436">
        <v>110.66465466637395</v>
      </c>
    </row>
    <row r="58" spans="2:31" x14ac:dyDescent="0.2">
      <c r="B58" s="1396">
        <v>2043</v>
      </c>
      <c r="C58" s="1416">
        <v>74641.647200187799</v>
      </c>
      <c r="D58" s="1417">
        <v>1295.8201444383981</v>
      </c>
      <c r="E58" s="1417">
        <v>1817.039210932729</v>
      </c>
      <c r="F58" s="1417">
        <v>18321.796072101035</v>
      </c>
      <c r="G58" s="1417">
        <v>20463.2241557739</v>
      </c>
      <c r="H58" s="1418">
        <v>19391.980812119742</v>
      </c>
      <c r="I58" s="1397">
        <f t="shared" si="6"/>
        <v>0</v>
      </c>
      <c r="J58" s="1398">
        <f t="shared" si="6"/>
        <v>0</v>
      </c>
      <c r="K58" s="1398">
        <f t="shared" si="6"/>
        <v>0</v>
      </c>
      <c r="L58" s="1398">
        <f t="shared" si="6"/>
        <v>0</v>
      </c>
      <c r="M58" s="1399">
        <f t="shared" si="6"/>
        <v>0</v>
      </c>
      <c r="N58" s="1432">
        <v>12.781114270374328</v>
      </c>
      <c r="O58" s="1433">
        <v>17.534820701445678</v>
      </c>
      <c r="P58" s="1433">
        <v>23.267253170630678</v>
      </c>
      <c r="Q58" s="1433">
        <v>57.728818877065571</v>
      </c>
      <c r="R58" s="1433">
        <v>39.801453841508945</v>
      </c>
      <c r="S58" s="1434">
        <v>27.427178668426937</v>
      </c>
      <c r="T58" s="1432">
        <v>1</v>
      </c>
      <c r="U58" s="1435">
        <v>1</v>
      </c>
      <c r="V58" s="1435">
        <v>1</v>
      </c>
      <c r="W58" s="1435">
        <v>1</v>
      </c>
      <c r="X58" s="1435">
        <v>1</v>
      </c>
      <c r="Y58" s="1436">
        <v>57.101380284278562</v>
      </c>
      <c r="Z58" s="1432">
        <v>0</v>
      </c>
      <c r="AA58" s="1435">
        <v>0</v>
      </c>
      <c r="AB58" s="1435">
        <v>0</v>
      </c>
      <c r="AC58" s="1435">
        <v>189.56225002040711</v>
      </c>
      <c r="AD58" s="1435">
        <v>0</v>
      </c>
      <c r="AE58" s="1436">
        <v>113.16525311902328</v>
      </c>
    </row>
    <row r="59" spans="2:31" x14ac:dyDescent="0.2">
      <c r="B59" s="1396">
        <v>2044</v>
      </c>
      <c r="C59" s="1416">
        <v>74641.647200187799</v>
      </c>
      <c r="D59" s="1417">
        <v>1350.6343172326606</v>
      </c>
      <c r="E59" s="1417">
        <v>1606.6582760503054</v>
      </c>
      <c r="F59" s="1417">
        <v>15206.626001665321</v>
      </c>
      <c r="G59" s="1417">
        <v>18654.29044172811</v>
      </c>
      <c r="H59" s="1418">
        <v>17717.931508362759</v>
      </c>
      <c r="I59" s="1397">
        <f t="shared" si="6"/>
        <v>0</v>
      </c>
      <c r="J59" s="1398">
        <f t="shared" si="6"/>
        <v>0</v>
      </c>
      <c r="K59" s="1398">
        <f t="shared" si="6"/>
        <v>0</v>
      </c>
      <c r="L59" s="1398">
        <f t="shared" si="6"/>
        <v>0</v>
      </c>
      <c r="M59" s="1399">
        <f t="shared" si="6"/>
        <v>0</v>
      </c>
      <c r="N59" s="1432">
        <v>12.781114270374328</v>
      </c>
      <c r="O59" s="1433">
        <v>17.861274868400145</v>
      </c>
      <c r="P59" s="1433">
        <v>23.700922819483434</v>
      </c>
      <c r="Q59" s="1433">
        <v>58.442210381166355</v>
      </c>
      <c r="R59" s="1433">
        <v>40.462227130678819</v>
      </c>
      <c r="S59" s="1434">
        <v>27.895410275231324</v>
      </c>
      <c r="T59" s="1432">
        <v>1</v>
      </c>
      <c r="U59" s="1435">
        <v>1</v>
      </c>
      <c r="V59" s="1435">
        <v>1</v>
      </c>
      <c r="W59" s="1435">
        <v>1</v>
      </c>
      <c r="X59" s="1435">
        <v>1</v>
      </c>
      <c r="Y59" s="1436">
        <v>57.773763650548524</v>
      </c>
      <c r="Z59" s="1432">
        <v>0</v>
      </c>
      <c r="AA59" s="1435">
        <v>0</v>
      </c>
      <c r="AB59" s="1435">
        <v>0</v>
      </c>
      <c r="AC59" s="1435">
        <v>190.00307359045667</v>
      </c>
      <c r="AD59" s="1435">
        <v>0</v>
      </c>
      <c r="AE59" s="1436">
        <v>115.29136389155622</v>
      </c>
    </row>
    <row r="60" spans="2:31" ht="13.5" thickBot="1" x14ac:dyDescent="0.25">
      <c r="B60" s="1400">
        <v>2045</v>
      </c>
      <c r="C60" s="1419">
        <v>74641.647200187799</v>
      </c>
      <c r="D60" s="1420">
        <v>1394.2387558590017</v>
      </c>
      <c r="E60" s="1420">
        <v>1439.3011474904251</v>
      </c>
      <c r="F60" s="1420">
        <v>12728.521613284422</v>
      </c>
      <c r="G60" s="1420">
        <v>17215.291454927981</v>
      </c>
      <c r="H60" s="1421">
        <v>16386.23248962318</v>
      </c>
      <c r="I60" s="1401">
        <f t="shared" si="6"/>
        <v>0</v>
      </c>
      <c r="J60" s="1402">
        <f t="shared" si="6"/>
        <v>0</v>
      </c>
      <c r="K60" s="1402">
        <f t="shared" si="6"/>
        <v>0</v>
      </c>
      <c r="L60" s="1402">
        <f t="shared" si="6"/>
        <v>0</v>
      </c>
      <c r="M60" s="1403">
        <f t="shared" si="6"/>
        <v>0</v>
      </c>
      <c r="N60" s="1437">
        <v>12.781114270374328</v>
      </c>
      <c r="O60" s="1438">
        <v>18.120967753681985</v>
      </c>
      <c r="P60" s="1438">
        <v>24.045905159333433</v>
      </c>
      <c r="Q60" s="1438">
        <v>59.009710253395973</v>
      </c>
      <c r="R60" s="1438">
        <v>40.987869439314551</v>
      </c>
      <c r="S60" s="1439">
        <v>28.267886503933116</v>
      </c>
      <c r="T60" s="1437">
        <v>1</v>
      </c>
      <c r="U60" s="1440">
        <v>1</v>
      </c>
      <c r="V60" s="1440">
        <v>1</v>
      </c>
      <c r="W60" s="1440">
        <v>1</v>
      </c>
      <c r="X60" s="1440">
        <v>1</v>
      </c>
      <c r="Y60" s="1441">
        <v>58.308641725566396</v>
      </c>
      <c r="Z60" s="1437">
        <v>0</v>
      </c>
      <c r="AA60" s="1440">
        <v>0</v>
      </c>
      <c r="AB60" s="1440">
        <v>0</v>
      </c>
      <c r="AC60" s="1440">
        <v>190.35374684383984</v>
      </c>
      <c r="AD60" s="1440">
        <v>0</v>
      </c>
      <c r="AE60" s="1441">
        <v>116.98267586376608</v>
      </c>
    </row>
    <row r="61" spans="2:31" x14ac:dyDescent="0.2">
      <c r="B61" s="1409">
        <v>2046</v>
      </c>
      <c r="C61" s="1413">
        <v>74641.647200187799</v>
      </c>
      <c r="D61" s="1414">
        <v>1427.125511139275</v>
      </c>
      <c r="E61" s="1414">
        <v>1313.0792970379534</v>
      </c>
      <c r="F61" s="1414">
        <v>10859.518934955624</v>
      </c>
      <c r="G61" s="1414">
        <v>16129.988925683461</v>
      </c>
      <c r="H61" s="1415">
        <v>15381.856304171903</v>
      </c>
      <c r="I61" s="1410">
        <f t="shared" si="6"/>
        <v>0</v>
      </c>
      <c r="J61" s="1411">
        <f t="shared" si="6"/>
        <v>0</v>
      </c>
      <c r="K61" s="1411">
        <f t="shared" si="6"/>
        <v>0</v>
      </c>
      <c r="L61" s="1411">
        <f t="shared" si="6"/>
        <v>0</v>
      </c>
      <c r="M61" s="1412">
        <f t="shared" si="6"/>
        <v>0</v>
      </c>
      <c r="N61" s="1427">
        <v>12.781114270374328</v>
      </c>
      <c r="O61" s="1428">
        <v>18.316829841013909</v>
      </c>
      <c r="P61" s="1428">
        <v>24.306093115974374</v>
      </c>
      <c r="Q61" s="1428">
        <v>59.437722400955828</v>
      </c>
      <c r="R61" s="1428">
        <v>41.384312336268117</v>
      </c>
      <c r="S61" s="1429">
        <v>28.548810532929448</v>
      </c>
      <c r="T61" s="1427">
        <v>1</v>
      </c>
      <c r="U61" s="1430">
        <v>1</v>
      </c>
      <c r="V61" s="1430">
        <v>1</v>
      </c>
      <c r="W61" s="1430">
        <v>1</v>
      </c>
      <c r="X61" s="1430">
        <v>1</v>
      </c>
      <c r="Y61" s="1431">
        <v>58.712050298455786</v>
      </c>
      <c r="Z61" s="1427">
        <v>0</v>
      </c>
      <c r="AA61" s="1430">
        <v>0</v>
      </c>
      <c r="AB61" s="1430">
        <v>0</v>
      </c>
      <c r="AC61" s="1430">
        <v>190.61822692501175</v>
      </c>
      <c r="AD61" s="1430">
        <v>0</v>
      </c>
      <c r="AE61" s="1431">
        <v>118.25827451117217</v>
      </c>
    </row>
    <row r="62" spans="2:31" x14ac:dyDescent="0.2">
      <c r="B62" s="1396">
        <v>2047</v>
      </c>
      <c r="C62" s="1416">
        <v>74641.647200187799</v>
      </c>
      <c r="D62" s="1417">
        <v>1450.9454164703993</v>
      </c>
      <c r="E62" s="1417">
        <v>1221.6567014406087</v>
      </c>
      <c r="F62" s="1417">
        <v>9505.7986763896406</v>
      </c>
      <c r="G62" s="1417">
        <v>15343.903363823796</v>
      </c>
      <c r="H62" s="1418">
        <v>14654.385763208109</v>
      </c>
      <c r="I62" s="1397">
        <f t="shared" si="6"/>
        <v>0</v>
      </c>
      <c r="J62" s="1398">
        <f t="shared" si="6"/>
        <v>0</v>
      </c>
      <c r="K62" s="1398">
        <f t="shared" si="6"/>
        <v>0</v>
      </c>
      <c r="L62" s="1398">
        <f t="shared" si="6"/>
        <v>0</v>
      </c>
      <c r="M62" s="1399">
        <f t="shared" si="6"/>
        <v>0</v>
      </c>
      <c r="N62" s="1432">
        <v>12.781114270374328</v>
      </c>
      <c r="O62" s="1433">
        <v>18.458692920495068</v>
      </c>
      <c r="P62" s="1433">
        <v>24.49454747830557</v>
      </c>
      <c r="Q62" s="1433">
        <v>59.747731970113961</v>
      </c>
      <c r="R62" s="1433">
        <v>41.671456269871541</v>
      </c>
      <c r="S62" s="1434">
        <v>28.752284050426148</v>
      </c>
      <c r="T62" s="1432">
        <v>1</v>
      </c>
      <c r="U62" s="1435">
        <v>1</v>
      </c>
      <c r="V62" s="1435">
        <v>1</v>
      </c>
      <c r="W62" s="1435">
        <v>1</v>
      </c>
      <c r="X62" s="1435">
        <v>1</v>
      </c>
      <c r="Y62" s="1436">
        <v>59.004239477172177</v>
      </c>
      <c r="Z62" s="1432">
        <v>0</v>
      </c>
      <c r="AA62" s="1435">
        <v>0</v>
      </c>
      <c r="AB62" s="1435">
        <v>0</v>
      </c>
      <c r="AC62" s="1435">
        <v>190.80979007685792</v>
      </c>
      <c r="AD62" s="1435">
        <v>0</v>
      </c>
      <c r="AE62" s="1436">
        <v>119.18219171622246</v>
      </c>
    </row>
    <row r="63" spans="2:31" x14ac:dyDescent="0.2">
      <c r="B63" s="1396">
        <v>2048</v>
      </c>
      <c r="C63" s="1416">
        <v>74641.647200187799</v>
      </c>
      <c r="D63" s="1417">
        <v>1467.6972196096435</v>
      </c>
      <c r="E63" s="1417">
        <v>1157.3620158557619</v>
      </c>
      <c r="F63" s="1417">
        <v>8553.7690624233073</v>
      </c>
      <c r="G63" s="1417">
        <v>14791.07368629906</v>
      </c>
      <c r="H63" s="1418">
        <v>14142.778218072232</v>
      </c>
      <c r="I63" s="1397">
        <f t="shared" si="6"/>
        <v>0</v>
      </c>
      <c r="J63" s="1398">
        <f t="shared" si="6"/>
        <v>0</v>
      </c>
      <c r="K63" s="1398">
        <f t="shared" si="6"/>
        <v>0</v>
      </c>
      <c r="L63" s="1398">
        <f t="shared" si="6"/>
        <v>0</v>
      </c>
      <c r="M63" s="1399">
        <f t="shared" si="6"/>
        <v>0</v>
      </c>
      <c r="N63" s="1432">
        <v>12.781114270374328</v>
      </c>
      <c r="O63" s="1433">
        <v>18.558460839265514</v>
      </c>
      <c r="P63" s="1433">
        <v>24.627081606154473</v>
      </c>
      <c r="Q63" s="1433">
        <v>59.965752117617797</v>
      </c>
      <c r="R63" s="1433">
        <v>41.873395722673123</v>
      </c>
      <c r="S63" s="1434">
        <v>28.895380685856544</v>
      </c>
      <c r="T63" s="1432">
        <v>1</v>
      </c>
      <c r="U63" s="1435">
        <v>1</v>
      </c>
      <c r="V63" s="1435">
        <v>1</v>
      </c>
      <c r="W63" s="1435">
        <v>1</v>
      </c>
      <c r="X63" s="1435">
        <v>1</v>
      </c>
      <c r="Y63" s="1436">
        <v>59.20972709491172</v>
      </c>
      <c r="Z63" s="1432">
        <v>0</v>
      </c>
      <c r="AA63" s="1435">
        <v>0</v>
      </c>
      <c r="AB63" s="1435">
        <v>0</v>
      </c>
      <c r="AC63" s="1435">
        <v>190.94451052027912</v>
      </c>
      <c r="AD63" s="1435">
        <v>0</v>
      </c>
      <c r="AE63" s="1436">
        <v>119.83195412798736</v>
      </c>
    </row>
    <row r="64" spans="2:31" x14ac:dyDescent="0.2">
      <c r="B64" s="1396">
        <v>2049</v>
      </c>
      <c r="C64" s="1416">
        <v>74641.647200187799</v>
      </c>
      <c r="D64" s="1417">
        <v>1479.2355728889174</v>
      </c>
      <c r="E64" s="1417">
        <v>1113.0769445657452</v>
      </c>
      <c r="F64" s="1417">
        <v>7898.027472878246</v>
      </c>
      <c r="G64" s="1417">
        <v>14410.294132627983</v>
      </c>
      <c r="H64" s="1418">
        <v>13790.391758713089</v>
      </c>
      <c r="I64" s="1397">
        <f t="shared" si="6"/>
        <v>0</v>
      </c>
      <c r="J64" s="1398">
        <f t="shared" si="6"/>
        <v>0</v>
      </c>
      <c r="K64" s="1398">
        <f t="shared" si="6"/>
        <v>0</v>
      </c>
      <c r="L64" s="1398">
        <f t="shared" si="6"/>
        <v>0</v>
      </c>
      <c r="M64" s="1399">
        <f t="shared" si="6"/>
        <v>0</v>
      </c>
      <c r="N64" s="1432">
        <v>12.781114270374328</v>
      </c>
      <c r="O64" s="1433">
        <v>18.627179262180508</v>
      </c>
      <c r="P64" s="1433">
        <v>24.71836882914592</v>
      </c>
      <c r="Q64" s="1433">
        <v>60.115920637566873</v>
      </c>
      <c r="R64" s="1433">
        <v>42.012488137267539</v>
      </c>
      <c r="S64" s="1434">
        <v>28.993943182021706</v>
      </c>
      <c r="T64" s="1432">
        <v>1</v>
      </c>
      <c r="U64" s="1435">
        <v>1</v>
      </c>
      <c r="V64" s="1435">
        <v>1</v>
      </c>
      <c r="W64" s="1435">
        <v>1</v>
      </c>
      <c r="X64" s="1435">
        <v>1</v>
      </c>
      <c r="Y64" s="1436">
        <v>59.351263424361562</v>
      </c>
      <c r="Z64" s="1432">
        <v>0</v>
      </c>
      <c r="AA64" s="1435">
        <v>0</v>
      </c>
      <c r="AB64" s="1435">
        <v>0</v>
      </c>
      <c r="AC64" s="1435">
        <v>191.03730363975487</v>
      </c>
      <c r="AD64" s="1435">
        <v>0</v>
      </c>
      <c r="AE64" s="1436">
        <v>120.27949927833438</v>
      </c>
    </row>
    <row r="65" spans="2:31" ht="13.5" thickBot="1" x14ac:dyDescent="0.25">
      <c r="B65" s="1400">
        <v>2050</v>
      </c>
      <c r="C65" s="1419">
        <v>74641.647200187799</v>
      </c>
      <c r="D65" s="1420">
        <v>1502.7658735528239</v>
      </c>
      <c r="E65" s="1420">
        <v>1022.7658735528239</v>
      </c>
      <c r="F65" s="1420">
        <v>6560.7658735528239</v>
      </c>
      <c r="G65" s="1420">
        <v>13633.765873552824</v>
      </c>
      <c r="H65" s="1421">
        <v>13071.765873552824</v>
      </c>
      <c r="I65" s="1401">
        <f t="shared" si="6"/>
        <v>0</v>
      </c>
      <c r="J65" s="1402">
        <f t="shared" si="6"/>
        <v>0</v>
      </c>
      <c r="K65" s="1402">
        <f t="shared" si="6"/>
        <v>0</v>
      </c>
      <c r="L65" s="1402">
        <f t="shared" si="6"/>
        <v>0</v>
      </c>
      <c r="M65" s="1403">
        <f t="shared" si="6"/>
        <v>0</v>
      </c>
      <c r="N65" s="1437">
        <v>12.781114270374328</v>
      </c>
      <c r="O65" s="1438">
        <v>18.767317556892269</v>
      </c>
      <c r="P65" s="1438">
        <v>24.904531945473824</v>
      </c>
      <c r="Q65" s="1447">
        <v>60.422161080993305</v>
      </c>
      <c r="R65" s="1447">
        <v>42.296140947704053</v>
      </c>
      <c r="S65" s="1448">
        <v>29.194942849202754</v>
      </c>
      <c r="T65" s="1437">
        <v>1</v>
      </c>
      <c r="U65" s="1440">
        <v>1</v>
      </c>
      <c r="V65" s="1440">
        <v>1</v>
      </c>
      <c r="W65" s="1440">
        <v>1</v>
      </c>
      <c r="X65" s="1440">
        <v>1</v>
      </c>
      <c r="Y65" s="1441">
        <v>59.639900139342664</v>
      </c>
      <c r="Z65" s="1437">
        <v>0</v>
      </c>
      <c r="AA65" s="1440">
        <v>0</v>
      </c>
      <c r="AB65" s="1440">
        <v>0</v>
      </c>
      <c r="AC65" s="1440">
        <v>191.22653774864011</v>
      </c>
      <c r="AD65" s="1440">
        <v>0</v>
      </c>
      <c r="AE65" s="1441">
        <v>121.19218341041541</v>
      </c>
    </row>
    <row r="66" spans="2:31" x14ac:dyDescent="0.2">
      <c r="B66" s="239"/>
      <c r="C66" s="238"/>
      <c r="F66" s="238"/>
      <c r="G66" s="5"/>
      <c r="H66" s="6"/>
      <c r="I66" s="1294"/>
      <c r="J66" s="1294"/>
      <c r="K66" s="6"/>
      <c r="L66" s="6"/>
      <c r="M66" s="6"/>
      <c r="N66" s="6"/>
      <c r="O66" s="6"/>
      <c r="P66" s="6"/>
    </row>
    <row r="67" spans="2:31" ht="13.5" thickBot="1" x14ac:dyDescent="0.25">
      <c r="F67" s="7"/>
      <c r="G67" s="8"/>
      <c r="H67" s="7"/>
      <c r="I67" s="7"/>
      <c r="J67" s="7"/>
      <c r="K67" s="7"/>
      <c r="L67" s="7"/>
      <c r="M67" s="7"/>
      <c r="N67" s="7"/>
      <c r="O67" s="7"/>
      <c r="P67" s="7"/>
    </row>
    <row r="68" spans="2:31" ht="13.5" thickBot="1" x14ac:dyDescent="0.25">
      <c r="B68" s="46"/>
      <c r="C68" s="9" t="s">
        <v>176</v>
      </c>
      <c r="D68" s="9"/>
      <c r="F68" s="7"/>
      <c r="G68" s="8"/>
      <c r="H68" s="7"/>
      <c r="I68" s="7"/>
      <c r="J68" s="7"/>
      <c r="K68" s="7"/>
      <c r="L68" s="7"/>
      <c r="M68" s="7"/>
      <c r="N68" s="7"/>
      <c r="O68" s="7"/>
      <c r="P68" s="7"/>
    </row>
    <row r="69" spans="2:31" x14ac:dyDescent="0.2">
      <c r="B69" s="10"/>
      <c r="F69" s="7"/>
      <c r="G69" s="8"/>
      <c r="H69" s="7"/>
      <c r="I69" s="7"/>
      <c r="J69" s="7"/>
      <c r="K69" s="7"/>
      <c r="L69" s="7"/>
      <c r="M69" s="7"/>
      <c r="N69" s="7"/>
      <c r="O69" s="7"/>
      <c r="P69" s="7"/>
    </row>
    <row r="70" spans="2:31" x14ac:dyDescent="0.2">
      <c r="B70" s="10"/>
      <c r="C70" s="10"/>
      <c r="D70" s="10"/>
      <c r="F70" s="7"/>
      <c r="G70" s="8"/>
      <c r="H70" s="7"/>
      <c r="I70" s="7"/>
      <c r="J70" s="7"/>
      <c r="K70" s="7"/>
      <c r="L70" s="7"/>
      <c r="M70" s="7"/>
      <c r="N70" s="7"/>
      <c r="O70" s="7"/>
      <c r="P70" s="7"/>
    </row>
    <row r="71" spans="2:31" x14ac:dyDescent="0.2">
      <c r="F71" s="7"/>
      <c r="G71" s="8"/>
      <c r="H71" s="7"/>
      <c r="I71" s="7"/>
      <c r="J71" s="7"/>
      <c r="K71" s="7"/>
      <c r="L71" s="7"/>
      <c r="M71" s="7"/>
      <c r="N71" s="7"/>
      <c r="O71" s="7"/>
      <c r="P71" s="7"/>
    </row>
    <row r="72" spans="2:31" x14ac:dyDescent="0.2">
      <c r="F72" s="7"/>
      <c r="G72" s="8"/>
      <c r="H72" s="7"/>
      <c r="I72" s="7"/>
      <c r="J72" s="7"/>
      <c r="K72" s="7"/>
      <c r="L72" s="7"/>
      <c r="M72" s="7"/>
      <c r="N72" s="7"/>
      <c r="O72" s="7"/>
      <c r="P72" s="7"/>
    </row>
    <row r="73" spans="2:31" x14ac:dyDescent="0.2">
      <c r="F73" s="7"/>
      <c r="G73" s="8"/>
      <c r="H73" s="7"/>
      <c r="I73" s="7"/>
      <c r="J73" s="7"/>
      <c r="K73" s="7"/>
      <c r="L73" s="7"/>
      <c r="M73" s="7"/>
      <c r="N73" s="7"/>
      <c r="O73" s="7"/>
      <c r="P73" s="7"/>
    </row>
    <row r="74" spans="2:31" x14ac:dyDescent="0.2">
      <c r="F74" s="7"/>
      <c r="G74" s="8"/>
      <c r="H74" s="7"/>
      <c r="I74" s="7"/>
      <c r="J74" s="7"/>
      <c r="K74" s="7"/>
      <c r="L74" s="7"/>
      <c r="M74" s="7"/>
      <c r="N74" s="7"/>
      <c r="O74" s="7"/>
      <c r="P74" s="7"/>
    </row>
    <row r="75" spans="2:31" x14ac:dyDescent="0.2">
      <c r="F75" s="7"/>
      <c r="G75" s="8"/>
      <c r="H75" s="7"/>
      <c r="I75" s="7"/>
      <c r="J75" s="7"/>
      <c r="K75" s="7"/>
      <c r="L75" s="7"/>
      <c r="M75" s="7"/>
      <c r="N75" s="7"/>
      <c r="O75" s="7"/>
      <c r="P75" s="7"/>
    </row>
    <row r="76" spans="2:31" x14ac:dyDescent="0.2">
      <c r="F76" s="7"/>
      <c r="G76" s="8"/>
      <c r="H76" s="7"/>
      <c r="I76" s="7"/>
      <c r="J76" s="7"/>
      <c r="K76" s="7"/>
      <c r="L76" s="7"/>
      <c r="M76" s="7"/>
      <c r="N76" s="7"/>
      <c r="O76" s="7"/>
      <c r="P76" s="7"/>
    </row>
    <row r="77" spans="2:31" x14ac:dyDescent="0.2">
      <c r="F77" s="7"/>
      <c r="G77" s="8"/>
      <c r="H77" s="7"/>
      <c r="I77" s="7"/>
      <c r="J77" s="7"/>
      <c r="K77" s="7"/>
      <c r="L77" s="7"/>
      <c r="M77" s="7"/>
      <c r="N77" s="7"/>
      <c r="O77" s="7"/>
      <c r="P77" s="7"/>
    </row>
    <row r="78" spans="2:31" x14ac:dyDescent="0.2">
      <c r="F78" s="7"/>
      <c r="G78" s="8"/>
      <c r="H78" s="7"/>
      <c r="I78" s="7"/>
      <c r="J78" s="7"/>
      <c r="K78" s="7"/>
      <c r="L78" s="7"/>
      <c r="M78" s="7"/>
      <c r="N78" s="7"/>
      <c r="O78" s="7"/>
      <c r="P78" s="7"/>
    </row>
    <row r="79" spans="2:31" x14ac:dyDescent="0.2">
      <c r="F79" s="7"/>
      <c r="G79" s="8"/>
      <c r="H79" s="7"/>
      <c r="I79" s="7"/>
      <c r="J79" s="7"/>
      <c r="K79" s="7"/>
      <c r="L79" s="7"/>
      <c r="M79" s="7"/>
      <c r="N79" s="7"/>
      <c r="O79" s="7"/>
      <c r="P79" s="7"/>
    </row>
    <row r="80" spans="2: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22:T65">
    <cfRule type="expression" dxfId="57" priority="8">
      <formula>AND($G$8="N/A",$T22&gt;1)</formula>
    </cfRule>
  </conditionalFormatting>
  <conditionalFormatting sqref="V22:V65">
    <cfRule type="expression" dxfId="56" priority="6">
      <formula>AND($G$10="N/A",$V22&gt;1)</formula>
    </cfRule>
  </conditionalFormatting>
  <conditionalFormatting sqref="U22:U65">
    <cfRule type="expression" dxfId="55" priority="7">
      <formula>AND($G$9="N/A",$U22&gt;1)</formula>
    </cfRule>
  </conditionalFormatting>
  <conditionalFormatting sqref="W22:W65">
    <cfRule type="expression" dxfId="54" priority="5">
      <formula>AND($G$11="N/A",$W22&gt;1)</formula>
    </cfRule>
  </conditionalFormatting>
  <conditionalFormatting sqref="X22:X33 X36:X65">
    <cfRule type="expression" dxfId="53" priority="4">
      <formula>AND($G$12="N/A",$X22&gt;1)</formula>
    </cfRule>
  </conditionalFormatting>
  <conditionalFormatting sqref="Y22:Y65">
    <cfRule type="expression" dxfId="52" priority="3">
      <formula>AND($G$13="N/A",$Y22&gt;1)</formula>
    </cfRule>
  </conditionalFormatting>
  <conditionalFormatting sqref="Z20:AE20">
    <cfRule type="expression" dxfId="51" priority="2">
      <formula>INDEX($H$8:$H$13,MATCH(Z$20,$B$8:$B$13,0))=TRUE</formula>
    </cfRule>
  </conditionalFormatting>
  <conditionalFormatting sqref="X34:X35">
    <cfRule type="expression" dxfId="50" priority="1">
      <formula>AND($G$11="N/A",$W34&gt;1)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17</xdr:col>
                    <xdr:colOff>133350</xdr:colOff>
                    <xdr:row>6</xdr:row>
                    <xdr:rowOff>133350</xdr:rowOff>
                  </from>
                  <to>
                    <xdr:col>20</xdr:col>
                    <xdr:colOff>257175</xdr:colOff>
                    <xdr:row>7</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indexed="43"/>
  </sheetPr>
  <dimension ref="A1:BF297"/>
  <sheetViews>
    <sheetView showGridLines="0" tabSelected="1" topLeftCell="A22" zoomScaleNormal="100" workbookViewId="0">
      <selection activeCell="C36" sqref="C36"/>
    </sheetView>
  </sheetViews>
  <sheetFormatPr defaultColWidth="9.140625" defaultRowHeight="12.75" x14ac:dyDescent="0.2"/>
  <cols>
    <col min="1" max="1" width="1.5703125" style="477" customWidth="1"/>
    <col min="2" max="2" width="8.28515625" style="477" customWidth="1"/>
    <col min="3" max="4" width="9.5703125" style="477" customWidth="1"/>
    <col min="5" max="5" width="8.7109375" style="479" bestFit="1" customWidth="1"/>
    <col min="6" max="6" width="9" style="477" customWidth="1"/>
    <col min="7" max="7" width="8.7109375" style="479" bestFit="1" customWidth="1"/>
    <col min="8" max="8" width="9.28515625" style="477" customWidth="1"/>
    <col min="9" max="9" width="8.7109375" style="477" bestFit="1" customWidth="1"/>
    <col min="10" max="10" width="8.85546875" style="477" customWidth="1"/>
    <col min="11" max="11" width="8.7109375" style="477" bestFit="1" customWidth="1"/>
    <col min="12" max="12" width="7.85546875" style="477" customWidth="1"/>
    <col min="13" max="13" width="8.7109375" style="477" bestFit="1" customWidth="1"/>
    <col min="14" max="14" width="7.140625" style="477" customWidth="1"/>
    <col min="15" max="15" width="8.7109375" style="477" bestFit="1" customWidth="1"/>
    <col min="16" max="16" width="9.28515625" style="477" customWidth="1"/>
    <col min="17" max="17" width="8.7109375" style="477" bestFit="1" customWidth="1"/>
    <col min="18" max="18" width="9.85546875" style="477" customWidth="1"/>
    <col min="19" max="19" width="9" style="477" customWidth="1"/>
    <col min="20" max="20" width="7.85546875" style="477" customWidth="1"/>
    <col min="21" max="21" width="8.7109375" style="477" bestFit="1" customWidth="1"/>
    <col min="22" max="22" width="7.42578125" style="477" customWidth="1"/>
    <col min="23" max="23" width="8.7109375" style="477" bestFit="1" customWidth="1"/>
    <col min="24" max="24" width="7.85546875" style="477" customWidth="1"/>
    <col min="25" max="25" width="7.140625" style="477" customWidth="1"/>
    <col min="26" max="26" width="8.42578125" style="477" customWidth="1"/>
    <col min="27" max="27" width="7.140625" style="477" customWidth="1"/>
    <col min="28" max="28" width="9.140625" style="477" customWidth="1"/>
    <col min="29" max="29" width="7.42578125" style="477" customWidth="1"/>
    <col min="30" max="30" width="8.5703125" style="477" customWidth="1"/>
    <col min="31" max="31" width="5.85546875" style="477" customWidth="1"/>
    <col min="32" max="32" width="7.85546875" style="477" customWidth="1"/>
    <col min="33" max="33" width="4.42578125" style="477" hidden="1" customWidth="1"/>
    <col min="34" max="34" width="6.5703125" style="477" hidden="1" customWidth="1"/>
    <col min="35" max="46" width="7.140625" style="477" hidden="1" customWidth="1"/>
    <col min="47" max="58" width="6.5703125" style="477" hidden="1" customWidth="1"/>
    <col min="59" max="67" width="0" style="477" hidden="1" customWidth="1"/>
    <col min="68" max="16384" width="9.140625" style="477"/>
  </cols>
  <sheetData>
    <row r="1" spans="1:27" s="518" customFormat="1" ht="15.75" x14ac:dyDescent="0.25">
      <c r="B1" s="754" t="s">
        <v>316</v>
      </c>
      <c r="C1" s="755"/>
      <c r="D1" s="755"/>
      <c r="E1" s="756"/>
      <c r="F1" s="1215"/>
      <c r="G1" s="756"/>
    </row>
    <row r="2" spans="1:27" ht="5.25" customHeight="1" thickBot="1" x14ac:dyDescent="0.3">
      <c r="B2" s="480"/>
      <c r="C2" s="478"/>
      <c r="D2" s="478"/>
      <c r="F2" s="478"/>
    </row>
    <row r="3" spans="1:27" customFormat="1" ht="13.5" thickBot="1" x14ac:dyDescent="0.25">
      <c r="A3" s="3"/>
      <c r="B3" s="1" t="s">
        <v>193</v>
      </c>
      <c r="C3" s="3"/>
      <c r="D3" s="731" t="s">
        <v>194</v>
      </c>
      <c r="E3" s="1526">
        <v>250</v>
      </c>
      <c r="F3" s="3"/>
      <c r="G3" s="2"/>
      <c r="H3" s="3"/>
      <c r="I3" s="3"/>
      <c r="J3" s="3"/>
      <c r="K3" s="3"/>
      <c r="L3" s="3"/>
      <c r="M3" s="3"/>
      <c r="N3" s="3"/>
      <c r="O3" s="3"/>
      <c r="P3" s="3"/>
    </row>
    <row r="4" spans="1:27" customFormat="1" x14ac:dyDescent="0.2">
      <c r="A4" s="3"/>
      <c r="B4" s="1"/>
      <c r="C4" s="3"/>
      <c r="D4" s="731"/>
      <c r="E4" s="753"/>
      <c r="F4" s="3"/>
      <c r="G4" s="2"/>
      <c r="H4" s="3"/>
      <c r="I4" s="3"/>
      <c r="J4" s="3"/>
      <c r="K4" s="3"/>
      <c r="L4" s="3"/>
      <c r="M4" s="3"/>
      <c r="N4" s="3"/>
      <c r="O4" s="3"/>
      <c r="P4" s="3"/>
    </row>
    <row r="5" spans="1:27" ht="15.75" thickBot="1" x14ac:dyDescent="0.3">
      <c r="B5" s="481" t="s">
        <v>77</v>
      </c>
      <c r="E5" s="477"/>
      <c r="G5" s="477"/>
      <c r="N5" s="482"/>
      <c r="O5" s="482"/>
    </row>
    <row r="6" spans="1:27" ht="24" customHeight="1" x14ac:dyDescent="0.2">
      <c r="B6" s="483"/>
      <c r="C6" s="484"/>
      <c r="D6" s="485"/>
      <c r="E6" s="485"/>
      <c r="F6" s="484"/>
      <c r="G6" s="484"/>
      <c r="H6" s="815"/>
      <c r="I6" s="575"/>
      <c r="J6" s="1608" t="s">
        <v>79</v>
      </c>
      <c r="K6" s="1609"/>
      <c r="L6" s="1616" t="s">
        <v>87</v>
      </c>
      <c r="M6" s="1609"/>
      <c r="N6" s="1608" t="s">
        <v>113</v>
      </c>
      <c r="O6" s="1609"/>
    </row>
    <row r="7" spans="1:27" ht="27" customHeight="1" thickBot="1" x14ac:dyDescent="0.3">
      <c r="B7" s="486"/>
      <c r="C7" s="574" t="s">
        <v>78</v>
      </c>
      <c r="D7" s="572"/>
      <c r="E7" s="573"/>
      <c r="F7" s="577" t="s">
        <v>187</v>
      </c>
      <c r="G7" s="577" t="s">
        <v>186</v>
      </c>
      <c r="H7" s="816" t="s">
        <v>208</v>
      </c>
      <c r="I7" s="576" t="s">
        <v>85</v>
      </c>
      <c r="J7" s="578" t="s">
        <v>224</v>
      </c>
      <c r="K7" s="579" t="s">
        <v>225</v>
      </c>
      <c r="L7" s="487" t="s">
        <v>117</v>
      </c>
      <c r="M7" s="488" t="s">
        <v>88</v>
      </c>
      <c r="N7" s="489" t="s">
        <v>99</v>
      </c>
      <c r="O7" s="490" t="s">
        <v>116</v>
      </c>
      <c r="P7" s="491"/>
    </row>
    <row r="8" spans="1:27" ht="13.5" thickTop="1" x14ac:dyDescent="0.2">
      <c r="B8" s="492" t="s">
        <v>72</v>
      </c>
      <c r="C8" s="1527" t="s">
        <v>268</v>
      </c>
      <c r="D8" s="1528"/>
      <c r="E8" s="1529"/>
      <c r="F8" s="1530" t="s">
        <v>5</v>
      </c>
      <c r="G8" s="1530" t="s">
        <v>195</v>
      </c>
      <c r="H8" s="860" t="b">
        <f>IF(AND(F8="Electricity",G8="N/A"),TRUE,FALSE)</f>
        <v>0</v>
      </c>
      <c r="I8" s="493"/>
      <c r="J8" s="494"/>
      <c r="K8" s="495"/>
      <c r="L8" s="496"/>
      <c r="M8" s="497"/>
      <c r="N8" s="1563">
        <v>0</v>
      </c>
      <c r="O8" s="1564">
        <v>350</v>
      </c>
      <c r="P8" s="498"/>
    </row>
    <row r="9" spans="1:27" x14ac:dyDescent="0.2">
      <c r="B9" s="499" t="s">
        <v>68</v>
      </c>
      <c r="C9" s="1531" t="s">
        <v>180</v>
      </c>
      <c r="D9" s="1532"/>
      <c r="E9" s="1533"/>
      <c r="F9" s="1534" t="s">
        <v>5</v>
      </c>
      <c r="G9" s="1534" t="s">
        <v>6</v>
      </c>
      <c r="H9" s="861" t="b">
        <f t="shared" ref="H9:H13" si="0">IF(AND(F9="Electricity",G9="N/A"),TRUE,FALSE)</f>
        <v>0</v>
      </c>
      <c r="I9" s="1542">
        <v>2021</v>
      </c>
      <c r="J9" s="1543">
        <v>0.4</v>
      </c>
      <c r="K9" s="1544">
        <v>0.5</v>
      </c>
      <c r="L9" s="1545">
        <v>5000</v>
      </c>
      <c r="M9" s="1546">
        <v>100</v>
      </c>
      <c r="N9" s="1547">
        <v>0</v>
      </c>
      <c r="O9" s="1548">
        <v>350</v>
      </c>
      <c r="R9" s="519"/>
    </row>
    <row r="10" spans="1:27" x14ac:dyDescent="0.2">
      <c r="B10" s="499" t="s">
        <v>69</v>
      </c>
      <c r="C10" s="1531" t="s">
        <v>180</v>
      </c>
      <c r="D10" s="1532"/>
      <c r="E10" s="1533"/>
      <c r="F10" s="1534" t="s">
        <v>5</v>
      </c>
      <c r="G10" s="1534" t="s">
        <v>195</v>
      </c>
      <c r="H10" s="861" t="b">
        <f t="shared" si="0"/>
        <v>0</v>
      </c>
      <c r="I10" s="1542">
        <v>2025</v>
      </c>
      <c r="J10" s="1543">
        <v>0.2</v>
      </c>
      <c r="K10" s="1544">
        <v>0.5</v>
      </c>
      <c r="L10" s="1545">
        <v>5000</v>
      </c>
      <c r="M10" s="1546">
        <v>100</v>
      </c>
      <c r="N10" s="1547">
        <v>0</v>
      </c>
      <c r="O10" s="1548">
        <v>350</v>
      </c>
    </row>
    <row r="11" spans="1:27" x14ac:dyDescent="0.2">
      <c r="B11" s="522" t="s">
        <v>70</v>
      </c>
      <c r="C11" s="1531" t="s">
        <v>180</v>
      </c>
      <c r="D11" s="1535"/>
      <c r="E11" s="1536"/>
      <c r="F11" s="1537" t="s">
        <v>5</v>
      </c>
      <c r="G11" s="1537" t="s">
        <v>195</v>
      </c>
      <c r="H11" s="862" t="b">
        <f t="shared" si="0"/>
        <v>0</v>
      </c>
      <c r="I11" s="1549">
        <v>2020</v>
      </c>
      <c r="J11" s="1550">
        <v>0.5</v>
      </c>
      <c r="K11" s="1551">
        <v>0.5</v>
      </c>
      <c r="L11" s="1552">
        <v>5000</v>
      </c>
      <c r="M11" s="1553">
        <v>100</v>
      </c>
      <c r="N11" s="1554">
        <v>0</v>
      </c>
      <c r="O11" s="1555">
        <v>350</v>
      </c>
      <c r="P11" s="478"/>
    </row>
    <row r="12" spans="1:27" x14ac:dyDescent="0.2">
      <c r="B12" s="522" t="s">
        <v>178</v>
      </c>
      <c r="C12" s="1531" t="s">
        <v>180</v>
      </c>
      <c r="D12" s="1535"/>
      <c r="E12" s="1536"/>
      <c r="F12" s="1537" t="s">
        <v>6</v>
      </c>
      <c r="G12" s="1537" t="s">
        <v>195</v>
      </c>
      <c r="H12" s="862" t="b">
        <f t="shared" si="0"/>
        <v>1</v>
      </c>
      <c r="I12" s="1549">
        <v>2025</v>
      </c>
      <c r="J12" s="1550">
        <v>0.5</v>
      </c>
      <c r="K12" s="1551">
        <v>0.5</v>
      </c>
      <c r="L12" s="1552">
        <v>5000</v>
      </c>
      <c r="M12" s="1553">
        <v>100</v>
      </c>
      <c r="N12" s="1554">
        <v>0</v>
      </c>
      <c r="O12" s="1555">
        <v>350</v>
      </c>
    </row>
    <row r="13" spans="1:27" ht="13.5" thickBot="1" x14ac:dyDescent="0.25">
      <c r="B13" s="500" t="s">
        <v>179</v>
      </c>
      <c r="C13" s="1538" t="s">
        <v>180</v>
      </c>
      <c r="D13" s="1539"/>
      <c r="E13" s="1540"/>
      <c r="F13" s="1541" t="s">
        <v>181</v>
      </c>
      <c r="G13" s="1541" t="s">
        <v>195</v>
      </c>
      <c r="H13" s="863" t="b">
        <f t="shared" si="0"/>
        <v>0</v>
      </c>
      <c r="I13" s="1556">
        <v>2030</v>
      </c>
      <c r="J13" s="1557">
        <v>0.2</v>
      </c>
      <c r="K13" s="1558">
        <v>0.5</v>
      </c>
      <c r="L13" s="1559">
        <v>5000</v>
      </c>
      <c r="M13" s="1560">
        <v>100</v>
      </c>
      <c r="N13" s="1561">
        <v>0</v>
      </c>
      <c r="O13" s="1562">
        <v>350</v>
      </c>
    </row>
    <row r="14" spans="1:27" ht="15.75" x14ac:dyDescent="0.25">
      <c r="B14" s="480"/>
      <c r="C14" s="477" t="s">
        <v>209</v>
      </c>
      <c r="D14" s="478"/>
      <c r="F14" s="478"/>
    </row>
    <row r="15" spans="1:27" ht="15.75" thickBot="1" x14ac:dyDescent="0.25">
      <c r="B15" s="501" t="s">
        <v>123</v>
      </c>
      <c r="C15" s="502"/>
      <c r="D15" s="478"/>
      <c r="F15" s="478"/>
    </row>
    <row r="16" spans="1:27" ht="13.5" thickBot="1" x14ac:dyDescent="0.25">
      <c r="B16" s="503"/>
      <c r="C16" s="502"/>
      <c r="D16" s="478"/>
      <c r="F16" s="478"/>
      <c r="T16" s="752" t="s">
        <v>196</v>
      </c>
      <c r="U16" s="477" t="s">
        <v>197</v>
      </c>
      <c r="Z16" s="868"/>
      <c r="AA16" s="477" t="s">
        <v>206</v>
      </c>
    </row>
    <row r="17" spans="1:31" s="241" customFormat="1" x14ac:dyDescent="0.2">
      <c r="A17" s="3"/>
      <c r="B17" s="240"/>
      <c r="C17" s="242"/>
      <c r="E17" s="2"/>
      <c r="F17" s="3"/>
      <c r="G17" s="5"/>
      <c r="H17" s="6"/>
      <c r="I17" s="814"/>
      <c r="J17" s="814"/>
      <c r="K17" s="6"/>
      <c r="L17" s="6"/>
      <c r="M17" s="6"/>
      <c r="N17" s="6"/>
      <c r="O17" s="6"/>
      <c r="P17" s="6"/>
      <c r="U17" s="477" t="s">
        <v>198</v>
      </c>
      <c r="AA17" s="477" t="s">
        <v>207</v>
      </c>
    </row>
    <row r="18" spans="1:31" s="241" customFormat="1" ht="13.5" thickBot="1" x14ac:dyDescent="0.25">
      <c r="A18" s="3"/>
      <c r="B18" s="239"/>
      <c r="C18" s="238"/>
      <c r="E18" s="2"/>
      <c r="F18" s="238"/>
      <c r="G18" s="5"/>
      <c r="H18" s="6"/>
      <c r="I18" s="814"/>
      <c r="J18" s="814"/>
      <c r="K18" s="6"/>
      <c r="L18" s="6"/>
      <c r="M18" s="6"/>
      <c r="N18" s="6"/>
      <c r="O18" s="6"/>
      <c r="P18" s="6"/>
    </row>
    <row r="19" spans="1:31" ht="16.5" thickBot="1" x14ac:dyDescent="0.3">
      <c r="B19" s="710"/>
      <c r="C19" s="1610" t="s">
        <v>189</v>
      </c>
      <c r="D19" s="1611"/>
      <c r="E19" s="1611"/>
      <c r="F19" s="1611"/>
      <c r="G19" s="1611"/>
      <c r="H19" s="1611"/>
      <c r="I19" s="1611" t="s">
        <v>190</v>
      </c>
      <c r="J19" s="1611"/>
      <c r="K19" s="1611"/>
      <c r="L19" s="1611"/>
      <c r="M19" s="1612"/>
      <c r="N19" s="1613" t="s">
        <v>321</v>
      </c>
      <c r="O19" s="1614"/>
      <c r="P19" s="1614"/>
      <c r="Q19" s="1614"/>
      <c r="R19" s="1614"/>
      <c r="S19" s="1615"/>
      <c r="T19" s="1613" t="s">
        <v>322</v>
      </c>
      <c r="U19" s="1614"/>
      <c r="V19" s="1614"/>
      <c r="W19" s="1614"/>
      <c r="X19" s="1614"/>
      <c r="Y19" s="1615"/>
      <c r="Z19" s="1613" t="s">
        <v>192</v>
      </c>
      <c r="AA19" s="1614"/>
      <c r="AB19" s="1614"/>
      <c r="AC19" s="1614"/>
      <c r="AD19" s="1614"/>
      <c r="AE19" s="1615"/>
    </row>
    <row r="20" spans="1:31" ht="13.5" thickBot="1" x14ac:dyDescent="0.25">
      <c r="B20" s="725" t="s">
        <v>191</v>
      </c>
      <c r="C20" s="728" t="s">
        <v>72</v>
      </c>
      <c r="D20" s="711" t="s">
        <v>68</v>
      </c>
      <c r="E20" s="712" t="s">
        <v>69</v>
      </c>
      <c r="F20" s="711" t="s">
        <v>70</v>
      </c>
      <c r="G20" s="712" t="s">
        <v>178</v>
      </c>
      <c r="H20" s="711" t="s">
        <v>179</v>
      </c>
      <c r="I20" s="711" t="s">
        <v>68</v>
      </c>
      <c r="J20" s="712" t="s">
        <v>69</v>
      </c>
      <c r="K20" s="711" t="s">
        <v>70</v>
      </c>
      <c r="L20" s="712" t="s">
        <v>178</v>
      </c>
      <c r="M20" s="729" t="s">
        <v>179</v>
      </c>
      <c r="N20" s="730" t="s">
        <v>72</v>
      </c>
      <c r="O20" s="713" t="s">
        <v>68</v>
      </c>
      <c r="P20" s="714" t="s">
        <v>69</v>
      </c>
      <c r="Q20" s="713" t="s">
        <v>70</v>
      </c>
      <c r="R20" s="714" t="s">
        <v>178</v>
      </c>
      <c r="S20" s="713" t="s">
        <v>179</v>
      </c>
      <c r="T20" s="713" t="s">
        <v>72</v>
      </c>
      <c r="U20" s="713" t="s">
        <v>68</v>
      </c>
      <c r="V20" s="714" t="s">
        <v>69</v>
      </c>
      <c r="W20" s="713" t="s">
        <v>70</v>
      </c>
      <c r="X20" s="714" t="s">
        <v>178</v>
      </c>
      <c r="Y20" s="715" t="s">
        <v>179</v>
      </c>
      <c r="Z20" s="713" t="s">
        <v>72</v>
      </c>
      <c r="AA20" s="713" t="s">
        <v>68</v>
      </c>
      <c r="AB20" s="714" t="s">
        <v>69</v>
      </c>
      <c r="AC20" s="713" t="s">
        <v>70</v>
      </c>
      <c r="AD20" s="714" t="s">
        <v>178</v>
      </c>
      <c r="AE20" s="715" t="s">
        <v>179</v>
      </c>
    </row>
    <row r="21" spans="1:31" ht="13.5" thickBot="1" x14ac:dyDescent="0.25">
      <c r="B21" s="726" t="s">
        <v>3</v>
      </c>
      <c r="C21" s="727"/>
      <c r="D21" s="719"/>
      <c r="E21" s="720"/>
      <c r="F21" s="719"/>
      <c r="G21" s="720"/>
      <c r="H21" s="718"/>
      <c r="I21" s="1574">
        <v>0</v>
      </c>
      <c r="J21" s="1575">
        <v>0</v>
      </c>
      <c r="K21" s="1576">
        <v>0</v>
      </c>
      <c r="L21" s="1575">
        <v>0</v>
      </c>
      <c r="M21" s="1577">
        <v>0</v>
      </c>
      <c r="N21" s="716"/>
      <c r="O21" s="717"/>
      <c r="P21" s="717"/>
      <c r="Q21" s="717"/>
      <c r="R21" s="717"/>
      <c r="S21" s="718"/>
      <c r="T21" s="717"/>
      <c r="U21" s="717"/>
      <c r="V21" s="717"/>
      <c r="W21" s="717"/>
      <c r="X21" s="717"/>
      <c r="Y21" s="718"/>
      <c r="Z21" s="716"/>
      <c r="AA21" s="717"/>
      <c r="AB21" s="717"/>
      <c r="AC21" s="717"/>
      <c r="AD21" s="717"/>
      <c r="AE21" s="718"/>
    </row>
    <row r="22" spans="1:31" x14ac:dyDescent="0.2">
      <c r="B22" s="508">
        <v>2007</v>
      </c>
      <c r="C22" s="1565">
        <v>70000</v>
      </c>
      <c r="D22" s="1566">
        <v>1000000</v>
      </c>
      <c r="E22" s="1566">
        <v>1000000</v>
      </c>
      <c r="F22" s="1566">
        <v>1000000</v>
      </c>
      <c r="G22" s="1566">
        <v>1000000</v>
      </c>
      <c r="H22" s="1566">
        <v>1000000</v>
      </c>
      <c r="I22" s="509">
        <f>D22*I$21</f>
        <v>0</v>
      </c>
      <c r="J22" s="509">
        <f t="shared" ref="J22:K37" si="1">E22*J$21</f>
        <v>0</v>
      </c>
      <c r="K22" s="509">
        <f t="shared" si="1"/>
        <v>0</v>
      </c>
      <c r="L22" s="509">
        <f t="shared" ref="L22:M37" si="2">G22*L$21</f>
        <v>0</v>
      </c>
      <c r="M22" s="509">
        <f t="shared" si="2"/>
        <v>0</v>
      </c>
      <c r="N22" s="1578">
        <v>5.2086794014470765</v>
      </c>
      <c r="O22" s="1579">
        <v>5.2086794014470765</v>
      </c>
      <c r="P22" s="1579">
        <v>5.2086794014470765</v>
      </c>
      <c r="Q22" s="1579">
        <v>5.2086794014470765</v>
      </c>
      <c r="R22" s="1579">
        <f>N22</f>
        <v>5.2086794014470765</v>
      </c>
      <c r="S22" s="1579">
        <f>N22</f>
        <v>5.2086794014470765</v>
      </c>
      <c r="T22" s="1578">
        <v>1</v>
      </c>
      <c r="U22" s="1578">
        <v>10.417358802894153</v>
      </c>
      <c r="V22" s="1578">
        <v>1</v>
      </c>
      <c r="W22" s="1578">
        <v>1</v>
      </c>
      <c r="X22" s="1578">
        <v>1</v>
      </c>
      <c r="Y22" s="1578">
        <v>1</v>
      </c>
      <c r="Z22" s="1578">
        <v>0</v>
      </c>
      <c r="AA22" s="1578">
        <v>55</v>
      </c>
      <c r="AB22" s="1578">
        <v>0</v>
      </c>
      <c r="AC22" s="1578">
        <v>0</v>
      </c>
      <c r="AD22" s="1578">
        <v>100</v>
      </c>
      <c r="AE22" s="1578">
        <v>0</v>
      </c>
    </row>
    <row r="23" spans="1:31" x14ac:dyDescent="0.2">
      <c r="B23" s="504">
        <v>2008</v>
      </c>
      <c r="C23" s="885">
        <v>70000</v>
      </c>
      <c r="D23" s="1567">
        <v>1000000</v>
      </c>
      <c r="E23" s="1567">
        <v>1000000</v>
      </c>
      <c r="F23" s="1567">
        <v>1000000</v>
      </c>
      <c r="G23" s="1567">
        <v>1000000</v>
      </c>
      <c r="H23" s="1567">
        <v>1000000</v>
      </c>
      <c r="I23" s="505">
        <f t="shared" ref="I23:I65" si="3">D23*I$21</f>
        <v>0</v>
      </c>
      <c r="J23" s="505">
        <f t="shared" ref="J23:J65" si="4">E23*J$21</f>
        <v>0</v>
      </c>
      <c r="K23" s="505">
        <f t="shared" si="1"/>
        <v>0</v>
      </c>
      <c r="L23" s="505">
        <f t="shared" si="2"/>
        <v>0</v>
      </c>
      <c r="M23" s="505">
        <f t="shared" si="2"/>
        <v>0</v>
      </c>
      <c r="N23" s="1580">
        <v>5.2086794014470765</v>
      </c>
      <c r="O23" s="1581">
        <v>5.2086794014470765</v>
      </c>
      <c r="P23" s="1581">
        <v>5.2086794014470765</v>
      </c>
      <c r="Q23" s="1581">
        <v>5.2086794014470765</v>
      </c>
      <c r="R23" s="1581">
        <f t="shared" ref="R23:R65" si="5">N23</f>
        <v>5.2086794014470765</v>
      </c>
      <c r="S23" s="1581">
        <f t="shared" ref="S23:S65" si="6">N23</f>
        <v>5.2086794014470765</v>
      </c>
      <c r="T23" s="1580">
        <v>1</v>
      </c>
      <c r="U23" s="1580">
        <v>10.417358802894153</v>
      </c>
      <c r="V23" s="1580">
        <v>1</v>
      </c>
      <c r="W23" s="1580">
        <v>1</v>
      </c>
      <c r="X23" s="1580">
        <v>1</v>
      </c>
      <c r="Y23" s="1580">
        <v>1</v>
      </c>
      <c r="Z23" s="1580">
        <v>0</v>
      </c>
      <c r="AA23" s="1580">
        <v>55.55</v>
      </c>
      <c r="AB23" s="1580">
        <v>0</v>
      </c>
      <c r="AC23" s="1580">
        <v>0</v>
      </c>
      <c r="AD23" s="1580">
        <f>1.01*AD22</f>
        <v>101</v>
      </c>
      <c r="AE23" s="1580">
        <v>0</v>
      </c>
    </row>
    <row r="24" spans="1:31" x14ac:dyDescent="0.2">
      <c r="B24" s="504">
        <v>2009</v>
      </c>
      <c r="C24" s="885">
        <v>70000</v>
      </c>
      <c r="D24" s="1567">
        <v>1000000</v>
      </c>
      <c r="E24" s="1567">
        <v>1000000</v>
      </c>
      <c r="F24" s="1567">
        <v>1000000</v>
      </c>
      <c r="G24" s="1567">
        <v>1000000</v>
      </c>
      <c r="H24" s="1567">
        <v>1000000</v>
      </c>
      <c r="I24" s="505">
        <f t="shared" si="3"/>
        <v>0</v>
      </c>
      <c r="J24" s="505">
        <f t="shared" si="4"/>
        <v>0</v>
      </c>
      <c r="K24" s="505">
        <f t="shared" si="1"/>
        <v>0</v>
      </c>
      <c r="L24" s="505">
        <f t="shared" si="2"/>
        <v>0</v>
      </c>
      <c r="M24" s="505">
        <f t="shared" si="2"/>
        <v>0</v>
      </c>
      <c r="N24" s="1580">
        <v>5.2086794014470765</v>
      </c>
      <c r="O24" s="1581">
        <v>5.2086794014470765</v>
      </c>
      <c r="P24" s="1581">
        <v>5.2086794014470765</v>
      </c>
      <c r="Q24" s="1581">
        <v>5.2086794014470765</v>
      </c>
      <c r="R24" s="1581">
        <f t="shared" si="5"/>
        <v>5.2086794014470765</v>
      </c>
      <c r="S24" s="1581">
        <f t="shared" si="6"/>
        <v>5.2086794014470765</v>
      </c>
      <c r="T24" s="1580">
        <v>1</v>
      </c>
      <c r="U24" s="1580">
        <v>10.417358802894153</v>
      </c>
      <c r="V24" s="1580">
        <v>1</v>
      </c>
      <c r="W24" s="1580">
        <v>1</v>
      </c>
      <c r="X24" s="1580">
        <v>1</v>
      </c>
      <c r="Y24" s="1580">
        <v>1</v>
      </c>
      <c r="Z24" s="1580">
        <v>0</v>
      </c>
      <c r="AA24" s="1580">
        <v>56.105499999999999</v>
      </c>
      <c r="AB24" s="1580">
        <v>0</v>
      </c>
      <c r="AC24" s="1580">
        <v>0</v>
      </c>
      <c r="AD24" s="1580">
        <f t="shared" ref="AD24:AD65" si="7">1.01*AD23</f>
        <v>102.01</v>
      </c>
      <c r="AE24" s="1580">
        <v>0</v>
      </c>
    </row>
    <row r="25" spans="1:31" ht="13.5" thickBot="1" x14ac:dyDescent="0.25">
      <c r="B25" s="506">
        <v>2010</v>
      </c>
      <c r="C25" s="1568">
        <v>70000</v>
      </c>
      <c r="D25" s="1569">
        <v>999999</v>
      </c>
      <c r="E25" s="1569">
        <v>999999</v>
      </c>
      <c r="F25" s="1569">
        <v>999999</v>
      </c>
      <c r="G25" s="1569">
        <v>999999</v>
      </c>
      <c r="H25" s="1569">
        <v>999999</v>
      </c>
      <c r="I25" s="507">
        <f t="shared" si="3"/>
        <v>0</v>
      </c>
      <c r="J25" s="507">
        <f t="shared" si="4"/>
        <v>0</v>
      </c>
      <c r="K25" s="507">
        <f t="shared" si="1"/>
        <v>0</v>
      </c>
      <c r="L25" s="507">
        <f t="shared" si="2"/>
        <v>0</v>
      </c>
      <c r="M25" s="507">
        <f t="shared" si="2"/>
        <v>0</v>
      </c>
      <c r="N25" s="1582">
        <v>5.2086794014470765</v>
      </c>
      <c r="O25" s="1583">
        <v>5.2086794014470765</v>
      </c>
      <c r="P25" s="1583">
        <v>5.2086794014470765</v>
      </c>
      <c r="Q25" s="1583">
        <v>5.2086794014470765</v>
      </c>
      <c r="R25" s="1583">
        <f t="shared" si="5"/>
        <v>5.2086794014470765</v>
      </c>
      <c r="S25" s="1583">
        <f t="shared" si="6"/>
        <v>5.2086794014470765</v>
      </c>
      <c r="T25" s="1582">
        <v>1</v>
      </c>
      <c r="U25" s="1582">
        <v>10.417358802894153</v>
      </c>
      <c r="V25" s="1582">
        <v>1</v>
      </c>
      <c r="W25" s="1582">
        <v>1</v>
      </c>
      <c r="X25" s="1582">
        <v>1</v>
      </c>
      <c r="Y25" s="1582">
        <v>1</v>
      </c>
      <c r="Z25" s="1582">
        <v>0</v>
      </c>
      <c r="AA25" s="1582">
        <v>56.666555000000002</v>
      </c>
      <c r="AB25" s="1582">
        <v>0</v>
      </c>
      <c r="AC25" s="1582">
        <v>0</v>
      </c>
      <c r="AD25" s="1582">
        <f t="shared" si="7"/>
        <v>103.0301</v>
      </c>
      <c r="AE25" s="1582">
        <v>0</v>
      </c>
    </row>
    <row r="26" spans="1:31" x14ac:dyDescent="0.2">
      <c r="B26" s="508">
        <v>2011</v>
      </c>
      <c r="C26" s="1565">
        <v>70000</v>
      </c>
      <c r="D26" s="1566">
        <v>999999</v>
      </c>
      <c r="E26" s="1566">
        <v>999999</v>
      </c>
      <c r="F26" s="1566">
        <v>999999</v>
      </c>
      <c r="G26" s="1566">
        <v>999999</v>
      </c>
      <c r="H26" s="1566">
        <v>999999</v>
      </c>
      <c r="I26" s="509">
        <f t="shared" si="3"/>
        <v>0</v>
      </c>
      <c r="J26" s="509">
        <f t="shared" si="4"/>
        <v>0</v>
      </c>
      <c r="K26" s="509">
        <f t="shared" si="1"/>
        <v>0</v>
      </c>
      <c r="L26" s="509">
        <f t="shared" si="2"/>
        <v>0</v>
      </c>
      <c r="M26" s="509">
        <f t="shared" si="2"/>
        <v>0</v>
      </c>
      <c r="N26" s="1578">
        <v>5.2317707351754841</v>
      </c>
      <c r="O26" s="1579">
        <v>5.2317707351754841</v>
      </c>
      <c r="P26" s="1579">
        <v>5.2317707351754841</v>
      </c>
      <c r="Q26" s="1579">
        <v>5.2317707351754841</v>
      </c>
      <c r="R26" s="1579">
        <f t="shared" si="5"/>
        <v>5.2317707351754841</v>
      </c>
      <c r="S26" s="1579">
        <f t="shared" si="6"/>
        <v>5.2317707351754841</v>
      </c>
      <c r="T26" s="1578">
        <v>1</v>
      </c>
      <c r="U26" s="1578">
        <v>10.463541470350968</v>
      </c>
      <c r="V26" s="1578">
        <v>1</v>
      </c>
      <c r="W26" s="1578">
        <v>1</v>
      </c>
      <c r="X26" s="1578">
        <v>1</v>
      </c>
      <c r="Y26" s="1578">
        <v>1</v>
      </c>
      <c r="Z26" s="1578">
        <v>0</v>
      </c>
      <c r="AA26" s="1578">
        <v>57.233220550000006</v>
      </c>
      <c r="AB26" s="1578">
        <v>0</v>
      </c>
      <c r="AC26" s="1578">
        <v>0</v>
      </c>
      <c r="AD26" s="1578">
        <f t="shared" si="7"/>
        <v>104.060401</v>
      </c>
      <c r="AE26" s="1578">
        <v>0</v>
      </c>
    </row>
    <row r="27" spans="1:31" x14ac:dyDescent="0.2">
      <c r="B27" s="504">
        <v>2012</v>
      </c>
      <c r="C27" s="885">
        <v>70000</v>
      </c>
      <c r="D27" s="1567">
        <v>999999</v>
      </c>
      <c r="E27" s="1567">
        <v>999999</v>
      </c>
      <c r="F27" s="1567">
        <v>999999</v>
      </c>
      <c r="G27" s="1567">
        <v>999999</v>
      </c>
      <c r="H27" s="1567">
        <v>999999</v>
      </c>
      <c r="I27" s="505">
        <f t="shared" si="3"/>
        <v>0</v>
      </c>
      <c r="J27" s="505">
        <f t="shared" si="4"/>
        <v>0</v>
      </c>
      <c r="K27" s="505">
        <f t="shared" si="1"/>
        <v>0</v>
      </c>
      <c r="L27" s="505">
        <f t="shared" si="2"/>
        <v>0</v>
      </c>
      <c r="M27" s="505">
        <f t="shared" si="2"/>
        <v>0</v>
      </c>
      <c r="N27" s="1580">
        <v>5.2692423642934676</v>
      </c>
      <c r="O27" s="1581">
        <v>5.2692423642934676</v>
      </c>
      <c r="P27" s="1581">
        <v>5.2692423642934676</v>
      </c>
      <c r="Q27" s="1581">
        <v>5.2692423642934676</v>
      </c>
      <c r="R27" s="1581">
        <f t="shared" si="5"/>
        <v>5.2692423642934676</v>
      </c>
      <c r="S27" s="1581">
        <f t="shared" si="6"/>
        <v>5.2692423642934676</v>
      </c>
      <c r="T27" s="1580">
        <v>1</v>
      </c>
      <c r="U27" s="1580">
        <v>10.538484728586935</v>
      </c>
      <c r="V27" s="1580">
        <v>1</v>
      </c>
      <c r="W27" s="1580">
        <v>1</v>
      </c>
      <c r="X27" s="1580">
        <v>1</v>
      </c>
      <c r="Y27" s="1580">
        <v>1</v>
      </c>
      <c r="Z27" s="1580">
        <v>0</v>
      </c>
      <c r="AA27" s="1580">
        <v>57.80555275550001</v>
      </c>
      <c r="AB27" s="1580">
        <v>0</v>
      </c>
      <c r="AC27" s="1580">
        <v>0</v>
      </c>
      <c r="AD27" s="1580">
        <f t="shared" si="7"/>
        <v>105.10100500999999</v>
      </c>
      <c r="AE27" s="1580">
        <v>0</v>
      </c>
    </row>
    <row r="28" spans="1:31" x14ac:dyDescent="0.2">
      <c r="B28" s="504">
        <v>2013</v>
      </c>
      <c r="C28" s="885">
        <v>70000</v>
      </c>
      <c r="D28" s="1567">
        <v>999999</v>
      </c>
      <c r="E28" s="1567">
        <v>999999</v>
      </c>
      <c r="F28" s="1567">
        <v>999999</v>
      </c>
      <c r="G28" s="1567">
        <v>999999</v>
      </c>
      <c r="H28" s="1567">
        <v>999999</v>
      </c>
      <c r="I28" s="505">
        <f t="shared" si="3"/>
        <v>0</v>
      </c>
      <c r="J28" s="505">
        <f t="shared" si="4"/>
        <v>0</v>
      </c>
      <c r="K28" s="505">
        <f t="shared" si="1"/>
        <v>0</v>
      </c>
      <c r="L28" s="505">
        <f t="shared" si="2"/>
        <v>0</v>
      </c>
      <c r="M28" s="505">
        <f t="shared" si="2"/>
        <v>0</v>
      </c>
      <c r="N28" s="1580">
        <v>5.2575676669070708</v>
      </c>
      <c r="O28" s="1581">
        <v>5.2575676669070708</v>
      </c>
      <c r="P28" s="1581">
        <v>5.2575676669070708</v>
      </c>
      <c r="Q28" s="1581">
        <v>5.2575676669070708</v>
      </c>
      <c r="R28" s="1581">
        <f t="shared" si="5"/>
        <v>5.2575676669070708</v>
      </c>
      <c r="S28" s="1581">
        <f t="shared" si="6"/>
        <v>5.2575676669070708</v>
      </c>
      <c r="T28" s="1580">
        <v>1</v>
      </c>
      <c r="U28" s="1580">
        <v>10.515135333814142</v>
      </c>
      <c r="V28" s="1580">
        <v>1</v>
      </c>
      <c r="W28" s="1580">
        <v>1</v>
      </c>
      <c r="X28" s="1580">
        <v>1</v>
      </c>
      <c r="Y28" s="1580">
        <v>1</v>
      </c>
      <c r="Z28" s="1580">
        <v>0</v>
      </c>
      <c r="AA28" s="1580">
        <v>58.383608283055011</v>
      </c>
      <c r="AB28" s="1580">
        <v>0</v>
      </c>
      <c r="AC28" s="1580">
        <v>0</v>
      </c>
      <c r="AD28" s="1580">
        <f t="shared" si="7"/>
        <v>106.1520150601</v>
      </c>
      <c r="AE28" s="1580">
        <v>0</v>
      </c>
    </row>
    <row r="29" spans="1:31" x14ac:dyDescent="0.2">
      <c r="B29" s="504">
        <v>2014</v>
      </c>
      <c r="C29" s="885">
        <v>70000</v>
      </c>
      <c r="D29" s="1567">
        <v>999999</v>
      </c>
      <c r="E29" s="1567">
        <v>999999</v>
      </c>
      <c r="F29" s="1567">
        <v>999999</v>
      </c>
      <c r="G29" s="1567">
        <v>999999</v>
      </c>
      <c r="H29" s="1567">
        <v>999999</v>
      </c>
      <c r="I29" s="505">
        <f t="shared" si="3"/>
        <v>0</v>
      </c>
      <c r="J29" s="505">
        <f t="shared" si="4"/>
        <v>0</v>
      </c>
      <c r="K29" s="505">
        <f t="shared" si="1"/>
        <v>0</v>
      </c>
      <c r="L29" s="505">
        <f t="shared" si="2"/>
        <v>0</v>
      </c>
      <c r="M29" s="505">
        <f t="shared" si="2"/>
        <v>0</v>
      </c>
      <c r="N29" s="1580">
        <v>5.2776935976188142</v>
      </c>
      <c r="O29" s="1581">
        <v>5.2776935976188142</v>
      </c>
      <c r="P29" s="1581">
        <v>5.2776935976188142</v>
      </c>
      <c r="Q29" s="1581">
        <v>5.2776935976188142</v>
      </c>
      <c r="R29" s="1581">
        <f t="shared" si="5"/>
        <v>5.2776935976188142</v>
      </c>
      <c r="S29" s="1581">
        <f t="shared" si="6"/>
        <v>5.2776935976188142</v>
      </c>
      <c r="T29" s="1580">
        <v>1</v>
      </c>
      <c r="U29" s="1580">
        <v>10.555387195237628</v>
      </c>
      <c r="V29" s="1580">
        <v>1</v>
      </c>
      <c r="W29" s="1580">
        <v>1</v>
      </c>
      <c r="X29" s="1580">
        <v>1</v>
      </c>
      <c r="Y29" s="1580">
        <v>1</v>
      </c>
      <c r="Z29" s="1580">
        <v>0</v>
      </c>
      <c r="AA29" s="1580">
        <v>58.967444365885562</v>
      </c>
      <c r="AB29" s="1580">
        <v>0</v>
      </c>
      <c r="AC29" s="1580">
        <v>0</v>
      </c>
      <c r="AD29" s="1580">
        <f t="shared" si="7"/>
        <v>107.213535210701</v>
      </c>
      <c r="AE29" s="1580">
        <v>0</v>
      </c>
    </row>
    <row r="30" spans="1:31" ht="13.5" thickBot="1" x14ac:dyDescent="0.25">
      <c r="B30" s="506">
        <v>2015</v>
      </c>
      <c r="C30" s="1568">
        <v>70000</v>
      </c>
      <c r="D30" s="1569">
        <v>999999</v>
      </c>
      <c r="E30" s="1569">
        <v>999999</v>
      </c>
      <c r="F30" s="1569">
        <v>999999</v>
      </c>
      <c r="G30" s="1569">
        <v>999999</v>
      </c>
      <c r="H30" s="1569">
        <v>999999</v>
      </c>
      <c r="I30" s="507">
        <f t="shared" si="3"/>
        <v>0</v>
      </c>
      <c r="J30" s="507">
        <f t="shared" si="4"/>
        <v>0</v>
      </c>
      <c r="K30" s="507">
        <f t="shared" si="1"/>
        <v>0</v>
      </c>
      <c r="L30" s="507">
        <f t="shared" si="2"/>
        <v>0</v>
      </c>
      <c r="M30" s="507">
        <f t="shared" si="2"/>
        <v>0</v>
      </c>
      <c r="N30" s="1582">
        <v>5.6862370734326584</v>
      </c>
      <c r="O30" s="1583">
        <v>5.6862370734326584</v>
      </c>
      <c r="P30" s="1583">
        <v>5.6862370734326584</v>
      </c>
      <c r="Q30" s="1584">
        <v>5.6862370734326584</v>
      </c>
      <c r="R30" s="1584">
        <f t="shared" si="5"/>
        <v>5.6862370734326584</v>
      </c>
      <c r="S30" s="1584">
        <f t="shared" si="6"/>
        <v>5.6862370734326584</v>
      </c>
      <c r="T30" s="1582">
        <v>1</v>
      </c>
      <c r="U30" s="1582">
        <v>11.372474146865317</v>
      </c>
      <c r="V30" s="1582">
        <v>1</v>
      </c>
      <c r="W30" s="1582">
        <v>1</v>
      </c>
      <c r="X30" s="1582">
        <v>1</v>
      </c>
      <c r="Y30" s="1582">
        <v>1</v>
      </c>
      <c r="Z30" s="1582">
        <v>0</v>
      </c>
      <c r="AA30" s="1582">
        <v>59.55711880954442</v>
      </c>
      <c r="AB30" s="1582">
        <v>0</v>
      </c>
      <c r="AC30" s="1582">
        <v>0</v>
      </c>
      <c r="AD30" s="1582">
        <f t="shared" si="7"/>
        <v>108.28567056280801</v>
      </c>
      <c r="AE30" s="1582">
        <v>0</v>
      </c>
    </row>
    <row r="31" spans="1:31" x14ac:dyDescent="0.2">
      <c r="B31" s="508">
        <v>2016</v>
      </c>
      <c r="C31" s="1565">
        <v>70000</v>
      </c>
      <c r="D31" s="1566">
        <v>999999</v>
      </c>
      <c r="E31" s="1566">
        <v>999999</v>
      </c>
      <c r="F31" s="1566">
        <v>999999</v>
      </c>
      <c r="G31" s="1566">
        <v>999999</v>
      </c>
      <c r="H31" s="1566">
        <v>999999</v>
      </c>
      <c r="I31" s="509">
        <f t="shared" si="3"/>
        <v>0</v>
      </c>
      <c r="J31" s="509">
        <f t="shared" si="4"/>
        <v>0</v>
      </c>
      <c r="K31" s="509">
        <f t="shared" si="1"/>
        <v>0</v>
      </c>
      <c r="L31" s="509">
        <f t="shared" si="2"/>
        <v>0</v>
      </c>
      <c r="M31" s="509">
        <f t="shared" si="2"/>
        <v>0</v>
      </c>
      <c r="N31" s="1578">
        <v>5.7993247585868284</v>
      </c>
      <c r="O31" s="1581">
        <v>5.7993247585868284</v>
      </c>
      <c r="P31" s="1581">
        <v>5.7993247585868284</v>
      </c>
      <c r="Q31" s="1585">
        <v>5.7993247585868284</v>
      </c>
      <c r="R31" s="1585">
        <f t="shared" si="5"/>
        <v>5.7993247585868284</v>
      </c>
      <c r="S31" s="1585">
        <f t="shared" si="6"/>
        <v>5.7993247585868284</v>
      </c>
      <c r="T31" s="1578">
        <v>1</v>
      </c>
      <c r="U31" s="1578">
        <v>11.598649517173657</v>
      </c>
      <c r="V31" s="1578">
        <v>1</v>
      </c>
      <c r="W31" s="1578">
        <v>1</v>
      </c>
      <c r="X31" s="1578">
        <v>1</v>
      </c>
      <c r="Y31" s="1578">
        <v>1</v>
      </c>
      <c r="Z31" s="1578">
        <v>0</v>
      </c>
      <c r="AA31" s="1578">
        <v>60.152689997639868</v>
      </c>
      <c r="AB31" s="1578">
        <v>0</v>
      </c>
      <c r="AC31" s="1578">
        <v>0</v>
      </c>
      <c r="AD31" s="1578">
        <f t="shared" si="7"/>
        <v>109.36852726843608</v>
      </c>
      <c r="AE31" s="1578">
        <v>0</v>
      </c>
    </row>
    <row r="32" spans="1:31" x14ac:dyDescent="0.2">
      <c r="B32" s="504">
        <v>2017</v>
      </c>
      <c r="C32" s="885">
        <v>70000</v>
      </c>
      <c r="D32" s="1567">
        <v>999999</v>
      </c>
      <c r="E32" s="1567">
        <v>999999</v>
      </c>
      <c r="F32" s="1567">
        <v>999999</v>
      </c>
      <c r="G32" s="1567">
        <v>999999</v>
      </c>
      <c r="H32" s="1567">
        <v>999999</v>
      </c>
      <c r="I32" s="505">
        <f t="shared" si="3"/>
        <v>0</v>
      </c>
      <c r="J32" s="505">
        <f t="shared" si="4"/>
        <v>0</v>
      </c>
      <c r="K32" s="505">
        <f t="shared" si="1"/>
        <v>0</v>
      </c>
      <c r="L32" s="505">
        <f t="shared" si="2"/>
        <v>0</v>
      </c>
      <c r="M32" s="505">
        <f t="shared" si="2"/>
        <v>0</v>
      </c>
      <c r="N32" s="1580">
        <v>5.92748522868302</v>
      </c>
      <c r="O32" s="1581">
        <v>5.92748522868302</v>
      </c>
      <c r="P32" s="1581">
        <v>5.92748522868302</v>
      </c>
      <c r="Q32" s="1585">
        <v>5.92748522868302</v>
      </c>
      <c r="R32" s="1585">
        <f t="shared" si="5"/>
        <v>5.92748522868302</v>
      </c>
      <c r="S32" s="1585">
        <f t="shared" si="6"/>
        <v>5.92748522868302</v>
      </c>
      <c r="T32" s="1580">
        <v>1</v>
      </c>
      <c r="U32" s="1580">
        <v>11.85497045736604</v>
      </c>
      <c r="V32" s="1580">
        <v>1</v>
      </c>
      <c r="W32" s="1580">
        <v>1</v>
      </c>
      <c r="X32" s="1580">
        <v>1</v>
      </c>
      <c r="Y32" s="1580">
        <v>1</v>
      </c>
      <c r="Z32" s="1580">
        <v>0</v>
      </c>
      <c r="AA32" s="1580">
        <v>60.754216897616267</v>
      </c>
      <c r="AB32" s="1580">
        <v>0</v>
      </c>
      <c r="AC32" s="1580">
        <v>0</v>
      </c>
      <c r="AD32" s="1580">
        <f t="shared" si="7"/>
        <v>110.46221254112045</v>
      </c>
      <c r="AE32" s="1580">
        <v>0</v>
      </c>
    </row>
    <row r="33" spans="2:31" x14ac:dyDescent="0.2">
      <c r="B33" s="504">
        <v>2018</v>
      </c>
      <c r="C33" s="885">
        <v>70000</v>
      </c>
      <c r="D33" s="1567">
        <v>999999</v>
      </c>
      <c r="E33" s="1567">
        <v>999999</v>
      </c>
      <c r="F33" s="1567">
        <v>999999</v>
      </c>
      <c r="G33" s="1567">
        <v>999999</v>
      </c>
      <c r="H33" s="1567">
        <v>999999</v>
      </c>
      <c r="I33" s="505">
        <f t="shared" si="3"/>
        <v>0</v>
      </c>
      <c r="J33" s="505">
        <f t="shared" si="4"/>
        <v>0</v>
      </c>
      <c r="K33" s="505">
        <f t="shared" si="1"/>
        <v>0</v>
      </c>
      <c r="L33" s="505">
        <f t="shared" si="2"/>
        <v>0</v>
      </c>
      <c r="M33" s="505">
        <f t="shared" si="2"/>
        <v>0</v>
      </c>
      <c r="N33" s="1580">
        <v>6.0434138558887955</v>
      </c>
      <c r="O33" s="1581">
        <v>6.0434138558887955</v>
      </c>
      <c r="P33" s="1581">
        <v>6.0434138558887955</v>
      </c>
      <c r="Q33" s="1585">
        <v>6.0434138558887955</v>
      </c>
      <c r="R33" s="1585">
        <f t="shared" si="5"/>
        <v>6.0434138558887955</v>
      </c>
      <c r="S33" s="1585">
        <f t="shared" si="6"/>
        <v>6.0434138558887955</v>
      </c>
      <c r="T33" s="1580">
        <v>1</v>
      </c>
      <c r="U33" s="1580">
        <v>12.086827711777591</v>
      </c>
      <c r="V33" s="1580">
        <v>1</v>
      </c>
      <c r="W33" s="1580">
        <v>1</v>
      </c>
      <c r="X33" s="1580">
        <v>1</v>
      </c>
      <c r="Y33" s="1580">
        <v>1</v>
      </c>
      <c r="Z33" s="1580">
        <v>0</v>
      </c>
      <c r="AA33" s="1580">
        <v>61.361759066592427</v>
      </c>
      <c r="AB33" s="1580">
        <v>0</v>
      </c>
      <c r="AC33" s="1580">
        <v>0</v>
      </c>
      <c r="AD33" s="1580">
        <f t="shared" si="7"/>
        <v>111.56683466653166</v>
      </c>
      <c r="AE33" s="1580">
        <v>0</v>
      </c>
    </row>
    <row r="34" spans="2:31" x14ac:dyDescent="0.2">
      <c r="B34" s="504">
        <v>2019</v>
      </c>
      <c r="C34" s="885">
        <v>70000</v>
      </c>
      <c r="D34" s="1567">
        <v>999999</v>
      </c>
      <c r="E34" s="1567">
        <v>999999</v>
      </c>
      <c r="F34" s="1567">
        <v>999999</v>
      </c>
      <c r="G34" s="1567">
        <v>999999</v>
      </c>
      <c r="H34" s="1567">
        <v>999999</v>
      </c>
      <c r="I34" s="505">
        <f t="shared" si="3"/>
        <v>0</v>
      </c>
      <c r="J34" s="505">
        <f t="shared" si="4"/>
        <v>0</v>
      </c>
      <c r="K34" s="505">
        <f t="shared" si="1"/>
        <v>0</v>
      </c>
      <c r="L34" s="505">
        <f t="shared" si="2"/>
        <v>0</v>
      </c>
      <c r="M34" s="505">
        <f t="shared" si="2"/>
        <v>0</v>
      </c>
      <c r="N34" s="1580">
        <v>6.0517299050653381</v>
      </c>
      <c r="O34" s="1581">
        <v>6.0517299050653381</v>
      </c>
      <c r="P34" s="1581">
        <v>6.0517299050653381</v>
      </c>
      <c r="Q34" s="1585">
        <v>6.0517299050653381</v>
      </c>
      <c r="R34" s="1585">
        <f t="shared" si="5"/>
        <v>6.0517299050653381</v>
      </c>
      <c r="S34" s="1585">
        <f t="shared" si="6"/>
        <v>6.0517299050653381</v>
      </c>
      <c r="T34" s="1580">
        <v>1</v>
      </c>
      <c r="U34" s="1580">
        <v>12.103459810130676</v>
      </c>
      <c r="V34" s="1580">
        <v>1</v>
      </c>
      <c r="W34" s="1580">
        <v>1</v>
      </c>
      <c r="X34" s="1580">
        <v>1</v>
      </c>
      <c r="Y34" s="1580">
        <v>1</v>
      </c>
      <c r="Z34" s="1580">
        <v>0</v>
      </c>
      <c r="AA34" s="1580">
        <v>61.975376657258352</v>
      </c>
      <c r="AB34" s="1580">
        <v>0</v>
      </c>
      <c r="AC34" s="1580">
        <v>0</v>
      </c>
      <c r="AD34" s="1580">
        <f t="shared" si="7"/>
        <v>112.68250301319698</v>
      </c>
      <c r="AE34" s="1580">
        <v>0</v>
      </c>
    </row>
    <row r="35" spans="2:31" ht="13.5" thickBot="1" x14ac:dyDescent="0.25">
      <c r="B35" s="506">
        <v>2020</v>
      </c>
      <c r="C35" s="1568">
        <v>70000</v>
      </c>
      <c r="D35" s="1569">
        <v>999999</v>
      </c>
      <c r="E35" s="1569">
        <v>999999</v>
      </c>
      <c r="F35" s="1569">
        <v>999999</v>
      </c>
      <c r="G35" s="1569">
        <v>999999</v>
      </c>
      <c r="H35" s="1569">
        <v>999999</v>
      </c>
      <c r="I35" s="507">
        <f t="shared" si="3"/>
        <v>0</v>
      </c>
      <c r="J35" s="507">
        <f t="shared" si="4"/>
        <v>0</v>
      </c>
      <c r="K35" s="507">
        <f t="shared" si="1"/>
        <v>0</v>
      </c>
      <c r="L35" s="507">
        <f t="shared" si="2"/>
        <v>0</v>
      </c>
      <c r="M35" s="507">
        <f t="shared" si="2"/>
        <v>0</v>
      </c>
      <c r="N35" s="1582">
        <v>6.0617991424237987</v>
      </c>
      <c r="O35" s="1583">
        <v>6.0617991424237987</v>
      </c>
      <c r="P35" s="1583">
        <v>6.0617991424237987</v>
      </c>
      <c r="Q35" s="1584">
        <v>6.0617991424237987</v>
      </c>
      <c r="R35" s="1584">
        <f t="shared" si="5"/>
        <v>6.0617991424237987</v>
      </c>
      <c r="S35" s="1584">
        <f t="shared" si="6"/>
        <v>6.0617991424237987</v>
      </c>
      <c r="T35" s="1582">
        <v>1</v>
      </c>
      <c r="U35" s="1582">
        <v>12.123598284847597</v>
      </c>
      <c r="V35" s="1582">
        <v>1</v>
      </c>
      <c r="W35" s="1582">
        <v>1</v>
      </c>
      <c r="X35" s="1582">
        <v>1</v>
      </c>
      <c r="Y35" s="1582">
        <v>1</v>
      </c>
      <c r="Z35" s="1582">
        <v>0</v>
      </c>
      <c r="AA35" s="1582">
        <v>62.595130423830938</v>
      </c>
      <c r="AB35" s="1582">
        <v>0</v>
      </c>
      <c r="AC35" s="1582">
        <v>0</v>
      </c>
      <c r="AD35" s="1582">
        <f t="shared" si="7"/>
        <v>113.80932804332895</v>
      </c>
      <c r="AE35" s="1582">
        <v>0</v>
      </c>
    </row>
    <row r="36" spans="2:31" x14ac:dyDescent="0.2">
      <c r="B36" s="508">
        <v>2021</v>
      </c>
      <c r="C36" s="1565">
        <v>70000</v>
      </c>
      <c r="D36" s="1566">
        <v>999999</v>
      </c>
      <c r="E36" s="1566">
        <v>999999</v>
      </c>
      <c r="F36" s="1566">
        <v>999999</v>
      </c>
      <c r="G36" s="1566">
        <v>999999</v>
      </c>
      <c r="H36" s="1566">
        <v>999999</v>
      </c>
      <c r="I36" s="509">
        <f t="shared" si="3"/>
        <v>0</v>
      </c>
      <c r="J36" s="509">
        <f t="shared" si="4"/>
        <v>0</v>
      </c>
      <c r="K36" s="509">
        <f t="shared" si="1"/>
        <v>0</v>
      </c>
      <c r="L36" s="509">
        <f t="shared" si="2"/>
        <v>0</v>
      </c>
      <c r="M36" s="509">
        <f t="shared" si="2"/>
        <v>0</v>
      </c>
      <c r="N36" s="1578">
        <v>6.0698882545031161</v>
      </c>
      <c r="O36" s="1579">
        <v>6.0698882545031161</v>
      </c>
      <c r="P36" s="1579">
        <v>6.0698882545031161</v>
      </c>
      <c r="Q36" s="1585">
        <v>6.0698882545031161</v>
      </c>
      <c r="R36" s="1585">
        <f t="shared" si="5"/>
        <v>6.0698882545031161</v>
      </c>
      <c r="S36" s="1585">
        <f t="shared" si="6"/>
        <v>6.0698882545031161</v>
      </c>
      <c r="T36" s="1578">
        <v>1</v>
      </c>
      <c r="U36" s="1578">
        <v>12.139776509006232</v>
      </c>
      <c r="V36" s="1578">
        <v>1</v>
      </c>
      <c r="W36" s="1578">
        <v>1</v>
      </c>
      <c r="X36" s="1578">
        <v>1</v>
      </c>
      <c r="Y36" s="1578">
        <v>1</v>
      </c>
      <c r="Z36" s="1578">
        <v>0</v>
      </c>
      <c r="AA36" s="1578">
        <v>63.221081728069251</v>
      </c>
      <c r="AB36" s="1578">
        <v>0</v>
      </c>
      <c r="AC36" s="1578">
        <v>0</v>
      </c>
      <c r="AD36" s="1578">
        <f t="shared" si="7"/>
        <v>114.94742132376224</v>
      </c>
      <c r="AE36" s="1578">
        <v>0</v>
      </c>
    </row>
    <row r="37" spans="2:31" x14ac:dyDescent="0.2">
      <c r="B37" s="504">
        <v>2022</v>
      </c>
      <c r="C37" s="885">
        <v>70000</v>
      </c>
      <c r="D37" s="1567">
        <v>999999</v>
      </c>
      <c r="E37" s="1567">
        <v>999999</v>
      </c>
      <c r="F37" s="1567">
        <v>999999</v>
      </c>
      <c r="G37" s="1567">
        <v>999999</v>
      </c>
      <c r="H37" s="1567">
        <v>999999</v>
      </c>
      <c r="I37" s="505">
        <f t="shared" si="3"/>
        <v>0</v>
      </c>
      <c r="J37" s="505">
        <f t="shared" si="4"/>
        <v>0</v>
      </c>
      <c r="K37" s="505">
        <f t="shared" si="1"/>
        <v>0</v>
      </c>
      <c r="L37" s="505">
        <f t="shared" si="2"/>
        <v>0</v>
      </c>
      <c r="M37" s="505">
        <f t="shared" si="2"/>
        <v>0</v>
      </c>
      <c r="N37" s="1580">
        <v>6.0697511411601228</v>
      </c>
      <c r="O37" s="1581">
        <v>6.3486437689697919</v>
      </c>
      <c r="P37" s="1581">
        <v>6.0697511411601228</v>
      </c>
      <c r="Q37" s="1586">
        <v>6.0697511411601228</v>
      </c>
      <c r="R37" s="1586">
        <f t="shared" si="5"/>
        <v>6.0697511411601228</v>
      </c>
      <c r="S37" s="1586">
        <f t="shared" si="6"/>
        <v>6.0697511411601228</v>
      </c>
      <c r="T37" s="1580">
        <v>1</v>
      </c>
      <c r="U37" s="1580">
        <v>12.139502282320246</v>
      </c>
      <c r="V37" s="1580">
        <v>1</v>
      </c>
      <c r="W37" s="1580">
        <v>1</v>
      </c>
      <c r="X37" s="1580">
        <v>1</v>
      </c>
      <c r="Y37" s="1580">
        <v>1</v>
      </c>
      <c r="Z37" s="1580">
        <v>0</v>
      </c>
      <c r="AA37" s="1580">
        <v>63.853292545349944</v>
      </c>
      <c r="AB37" s="1580">
        <v>0</v>
      </c>
      <c r="AC37" s="1580">
        <v>0</v>
      </c>
      <c r="AD37" s="1580">
        <f t="shared" si="7"/>
        <v>116.09689553699987</v>
      </c>
      <c r="AE37" s="1580">
        <v>0</v>
      </c>
    </row>
    <row r="38" spans="2:31" x14ac:dyDescent="0.2">
      <c r="B38" s="504">
        <v>2023</v>
      </c>
      <c r="C38" s="885">
        <v>70000</v>
      </c>
      <c r="D38" s="1567">
        <v>999999</v>
      </c>
      <c r="E38" s="1567">
        <v>999999</v>
      </c>
      <c r="F38" s="1567">
        <v>999999</v>
      </c>
      <c r="G38" s="1567">
        <v>999999</v>
      </c>
      <c r="H38" s="1567">
        <v>999999</v>
      </c>
      <c r="I38" s="505">
        <f t="shared" si="3"/>
        <v>0</v>
      </c>
      <c r="J38" s="505">
        <f t="shared" si="4"/>
        <v>0</v>
      </c>
      <c r="K38" s="505">
        <f t="shared" ref="K38:K65" si="8">F38*K$21</f>
        <v>0</v>
      </c>
      <c r="L38" s="505">
        <f t="shared" ref="L38:L65" si="9">G38*L$21</f>
        <v>0</v>
      </c>
      <c r="M38" s="505">
        <f t="shared" ref="M38:M65" si="10">H38*M$21</f>
        <v>0</v>
      </c>
      <c r="N38" s="1580">
        <v>6.0729648588549479</v>
      </c>
      <c r="O38" s="1581">
        <v>6.6273992834364694</v>
      </c>
      <c r="P38" s="1581">
        <v>6.0729648588549479</v>
      </c>
      <c r="Q38" s="1586">
        <v>6.0729648588549479</v>
      </c>
      <c r="R38" s="1586">
        <f t="shared" si="5"/>
        <v>6.0729648588549479</v>
      </c>
      <c r="S38" s="1586">
        <f t="shared" si="6"/>
        <v>6.0729648588549479</v>
      </c>
      <c r="T38" s="1580">
        <v>1</v>
      </c>
      <c r="U38" s="1580">
        <v>12.145929717709896</v>
      </c>
      <c r="V38" s="1580">
        <v>1</v>
      </c>
      <c r="W38" s="1580">
        <v>1</v>
      </c>
      <c r="X38" s="1580">
        <v>1</v>
      </c>
      <c r="Y38" s="1580">
        <v>1</v>
      </c>
      <c r="Z38" s="1580">
        <v>0</v>
      </c>
      <c r="AA38" s="1580">
        <v>64.491825470803448</v>
      </c>
      <c r="AB38" s="1580">
        <v>0</v>
      </c>
      <c r="AC38" s="1580">
        <v>0</v>
      </c>
      <c r="AD38" s="1580">
        <f t="shared" si="7"/>
        <v>117.25786449236986</v>
      </c>
      <c r="AE38" s="1580">
        <v>0</v>
      </c>
    </row>
    <row r="39" spans="2:31" x14ac:dyDescent="0.2">
      <c r="B39" s="504">
        <v>2024</v>
      </c>
      <c r="C39" s="885">
        <v>70000</v>
      </c>
      <c r="D39" s="1567">
        <v>999999</v>
      </c>
      <c r="E39" s="1567">
        <v>999999</v>
      </c>
      <c r="F39" s="1567">
        <v>999999</v>
      </c>
      <c r="G39" s="1567">
        <v>999999</v>
      </c>
      <c r="H39" s="1567">
        <v>999999</v>
      </c>
      <c r="I39" s="505">
        <f t="shared" si="3"/>
        <v>0</v>
      </c>
      <c r="J39" s="505">
        <f t="shared" si="4"/>
        <v>0</v>
      </c>
      <c r="K39" s="505">
        <f t="shared" si="8"/>
        <v>0</v>
      </c>
      <c r="L39" s="505">
        <f t="shared" si="9"/>
        <v>0</v>
      </c>
      <c r="M39" s="505">
        <f t="shared" si="10"/>
        <v>0</v>
      </c>
      <c r="N39" s="1580">
        <v>6.0741789594890339</v>
      </c>
      <c r="O39" s="1581">
        <v>6.9061547979031461</v>
      </c>
      <c r="P39" s="1581">
        <v>6.0741789594890339</v>
      </c>
      <c r="Q39" s="1586">
        <v>6.0741789594890339</v>
      </c>
      <c r="R39" s="1586">
        <f t="shared" si="5"/>
        <v>6.0741789594890339</v>
      </c>
      <c r="S39" s="1586">
        <f t="shared" si="6"/>
        <v>6.0741789594890339</v>
      </c>
      <c r="T39" s="1580">
        <v>1</v>
      </c>
      <c r="U39" s="1580">
        <v>12.148357918978068</v>
      </c>
      <c r="V39" s="1580">
        <v>1</v>
      </c>
      <c r="W39" s="1580">
        <v>1</v>
      </c>
      <c r="X39" s="1580">
        <v>1</v>
      </c>
      <c r="Y39" s="1580">
        <v>1</v>
      </c>
      <c r="Z39" s="1580">
        <v>0</v>
      </c>
      <c r="AA39" s="1580">
        <v>65.136743725511479</v>
      </c>
      <c r="AB39" s="1580">
        <v>0</v>
      </c>
      <c r="AC39" s="1580">
        <v>0</v>
      </c>
      <c r="AD39" s="1580">
        <f t="shared" si="7"/>
        <v>118.43044313729357</v>
      </c>
      <c r="AE39" s="1580">
        <v>0</v>
      </c>
    </row>
    <row r="40" spans="2:31" ht="13.5" thickBot="1" x14ac:dyDescent="0.25">
      <c r="B40" s="506">
        <v>2025</v>
      </c>
      <c r="C40" s="1568">
        <v>70000</v>
      </c>
      <c r="D40" s="1569">
        <v>999999</v>
      </c>
      <c r="E40" s="1569">
        <v>999999</v>
      </c>
      <c r="F40" s="1569">
        <v>999999</v>
      </c>
      <c r="G40" s="1569">
        <v>999999</v>
      </c>
      <c r="H40" s="1569">
        <v>999999</v>
      </c>
      <c r="I40" s="507">
        <f t="shared" si="3"/>
        <v>0</v>
      </c>
      <c r="J40" s="507">
        <f t="shared" si="4"/>
        <v>0</v>
      </c>
      <c r="K40" s="507">
        <f t="shared" si="8"/>
        <v>0</v>
      </c>
      <c r="L40" s="507">
        <f t="shared" si="9"/>
        <v>0</v>
      </c>
      <c r="M40" s="507">
        <f t="shared" si="10"/>
        <v>0</v>
      </c>
      <c r="N40" s="1582">
        <v>6.081627072612104</v>
      </c>
      <c r="O40" s="1583">
        <v>7.1849103123698219</v>
      </c>
      <c r="P40" s="1583">
        <v>7.9607965267709799</v>
      </c>
      <c r="Q40" s="1584">
        <v>6.081627072612104</v>
      </c>
      <c r="R40" s="1584">
        <f t="shared" si="5"/>
        <v>6.081627072612104</v>
      </c>
      <c r="S40" s="1584">
        <f t="shared" si="6"/>
        <v>6.081627072612104</v>
      </c>
      <c r="T40" s="1582">
        <v>1</v>
      </c>
      <c r="U40" s="1582">
        <v>12.163254145224208</v>
      </c>
      <c r="V40" s="1582">
        <v>1</v>
      </c>
      <c r="W40" s="1582">
        <v>1</v>
      </c>
      <c r="X40" s="1582">
        <v>1</v>
      </c>
      <c r="Y40" s="1582">
        <v>1</v>
      </c>
      <c r="Z40" s="1582">
        <v>0</v>
      </c>
      <c r="AA40" s="1582">
        <v>65.788111162766597</v>
      </c>
      <c r="AB40" s="1582">
        <v>0</v>
      </c>
      <c r="AC40" s="1582">
        <v>0</v>
      </c>
      <c r="AD40" s="1582">
        <f t="shared" si="7"/>
        <v>119.6147475686665</v>
      </c>
      <c r="AE40" s="1582">
        <v>0</v>
      </c>
    </row>
    <row r="41" spans="2:31" x14ac:dyDescent="0.2">
      <c r="B41" s="508">
        <v>2026</v>
      </c>
      <c r="C41" s="1565">
        <v>70000</v>
      </c>
      <c r="D41" s="1566">
        <v>999999</v>
      </c>
      <c r="E41" s="1566">
        <v>999999</v>
      </c>
      <c r="F41" s="1566">
        <v>999999</v>
      </c>
      <c r="G41" s="1566">
        <v>999999</v>
      </c>
      <c r="H41" s="1566">
        <v>999999</v>
      </c>
      <c r="I41" s="509">
        <f t="shared" si="3"/>
        <v>0</v>
      </c>
      <c r="J41" s="509">
        <f t="shared" si="4"/>
        <v>0</v>
      </c>
      <c r="K41" s="509">
        <f t="shared" si="8"/>
        <v>0</v>
      </c>
      <c r="L41" s="509">
        <f t="shared" si="9"/>
        <v>0</v>
      </c>
      <c r="M41" s="509">
        <f t="shared" si="10"/>
        <v>0</v>
      </c>
      <c r="N41" s="1578">
        <v>6.0815715080519679</v>
      </c>
      <c r="O41" s="1579">
        <v>7.2122740524448341</v>
      </c>
      <c r="P41" s="1579">
        <v>8.0973865625406134</v>
      </c>
      <c r="Q41" s="1585">
        <v>6.0815715080519679</v>
      </c>
      <c r="R41" s="1585">
        <f t="shared" si="5"/>
        <v>6.0815715080519679</v>
      </c>
      <c r="S41" s="1585">
        <f t="shared" si="6"/>
        <v>6.0815715080519679</v>
      </c>
      <c r="T41" s="1578">
        <v>1</v>
      </c>
      <c r="U41" s="1578">
        <v>12.163143016103936</v>
      </c>
      <c r="V41" s="1578">
        <v>1</v>
      </c>
      <c r="W41" s="1578">
        <v>1</v>
      </c>
      <c r="X41" s="1578">
        <v>1</v>
      </c>
      <c r="Y41" s="1578">
        <v>1</v>
      </c>
      <c r="Z41" s="1578">
        <v>0</v>
      </c>
      <c r="AA41" s="1578">
        <v>66.445992274394257</v>
      </c>
      <c r="AB41" s="1578">
        <v>0</v>
      </c>
      <c r="AC41" s="1578">
        <v>0</v>
      </c>
      <c r="AD41" s="1578">
        <f t="shared" si="7"/>
        <v>120.81089504435317</v>
      </c>
      <c r="AE41" s="1578">
        <v>0</v>
      </c>
    </row>
    <row r="42" spans="2:31" x14ac:dyDescent="0.2">
      <c r="B42" s="504">
        <v>2027</v>
      </c>
      <c r="C42" s="885">
        <v>70000</v>
      </c>
      <c r="D42" s="1567">
        <v>999999</v>
      </c>
      <c r="E42" s="1567">
        <v>999999</v>
      </c>
      <c r="F42" s="1567">
        <v>999999</v>
      </c>
      <c r="G42" s="1567">
        <v>999999</v>
      </c>
      <c r="H42" s="1567">
        <v>999999</v>
      </c>
      <c r="I42" s="505">
        <f t="shared" si="3"/>
        <v>0</v>
      </c>
      <c r="J42" s="505">
        <f t="shared" si="4"/>
        <v>0</v>
      </c>
      <c r="K42" s="505">
        <f t="shared" si="8"/>
        <v>0</v>
      </c>
      <c r="L42" s="505">
        <f t="shared" si="9"/>
        <v>0</v>
      </c>
      <c r="M42" s="505">
        <f t="shared" si="10"/>
        <v>0</v>
      </c>
      <c r="N42" s="1580">
        <v>6.0829201178873022</v>
      </c>
      <c r="O42" s="1581">
        <v>7.2396377925198463</v>
      </c>
      <c r="P42" s="1581">
        <v>8.233976598310246</v>
      </c>
      <c r="Q42" s="1586">
        <v>6.0829201178873022</v>
      </c>
      <c r="R42" s="1586">
        <f t="shared" si="5"/>
        <v>6.0829201178873022</v>
      </c>
      <c r="S42" s="1586">
        <f t="shared" si="6"/>
        <v>6.0829201178873022</v>
      </c>
      <c r="T42" s="1580">
        <v>1</v>
      </c>
      <c r="U42" s="1580">
        <v>12.165840235774604</v>
      </c>
      <c r="V42" s="1580">
        <v>1</v>
      </c>
      <c r="W42" s="1580">
        <v>1</v>
      </c>
      <c r="X42" s="1580">
        <v>1</v>
      </c>
      <c r="Y42" s="1580">
        <v>1</v>
      </c>
      <c r="Z42" s="1580">
        <v>0</v>
      </c>
      <c r="AA42" s="1580">
        <v>67.110452197138201</v>
      </c>
      <c r="AB42" s="1580">
        <v>0</v>
      </c>
      <c r="AC42" s="1580">
        <v>0</v>
      </c>
      <c r="AD42" s="1580">
        <f t="shared" si="7"/>
        <v>122.01900399479671</v>
      </c>
      <c r="AE42" s="1580">
        <v>0</v>
      </c>
    </row>
    <row r="43" spans="2:31" x14ac:dyDescent="0.2">
      <c r="B43" s="504">
        <v>2028</v>
      </c>
      <c r="C43" s="885">
        <v>70000</v>
      </c>
      <c r="D43" s="1567">
        <v>999999</v>
      </c>
      <c r="E43" s="1567">
        <v>999999</v>
      </c>
      <c r="F43" s="1567">
        <v>999999</v>
      </c>
      <c r="G43" s="1567">
        <v>999999</v>
      </c>
      <c r="H43" s="1567">
        <v>999999</v>
      </c>
      <c r="I43" s="505">
        <f t="shared" si="3"/>
        <v>0</v>
      </c>
      <c r="J43" s="505">
        <f t="shared" si="4"/>
        <v>0</v>
      </c>
      <c r="K43" s="505">
        <f t="shared" si="8"/>
        <v>0</v>
      </c>
      <c r="L43" s="505">
        <f t="shared" si="9"/>
        <v>0</v>
      </c>
      <c r="M43" s="505">
        <f t="shared" si="10"/>
        <v>0</v>
      </c>
      <c r="N43" s="1580">
        <v>6.0836966602724658</v>
      </c>
      <c r="O43" s="1581">
        <v>7.2670015325948585</v>
      </c>
      <c r="P43" s="1581">
        <v>8.3705666340798786</v>
      </c>
      <c r="Q43" s="1586">
        <v>6.0836966602724658</v>
      </c>
      <c r="R43" s="1586">
        <f t="shared" si="5"/>
        <v>6.0836966602724658</v>
      </c>
      <c r="S43" s="1586">
        <f t="shared" si="6"/>
        <v>6.0836966602724658</v>
      </c>
      <c r="T43" s="1580">
        <v>1</v>
      </c>
      <c r="U43" s="1580">
        <v>12.167393320544932</v>
      </c>
      <c r="V43" s="1580">
        <v>1</v>
      </c>
      <c r="W43" s="1580">
        <v>1</v>
      </c>
      <c r="X43" s="1580">
        <v>1</v>
      </c>
      <c r="Y43" s="1580">
        <v>1</v>
      </c>
      <c r="Z43" s="1580">
        <v>0</v>
      </c>
      <c r="AA43" s="1580">
        <v>67.781556719109588</v>
      </c>
      <c r="AB43" s="1580">
        <v>0</v>
      </c>
      <c r="AC43" s="1580">
        <v>0</v>
      </c>
      <c r="AD43" s="1580">
        <f t="shared" si="7"/>
        <v>123.23919403474467</v>
      </c>
      <c r="AE43" s="1580">
        <v>0</v>
      </c>
    </row>
    <row r="44" spans="2:31" x14ac:dyDescent="0.2">
      <c r="B44" s="504">
        <v>2029</v>
      </c>
      <c r="C44" s="885">
        <v>70000</v>
      </c>
      <c r="D44" s="1567">
        <v>999999</v>
      </c>
      <c r="E44" s="1567">
        <v>999999</v>
      </c>
      <c r="F44" s="1567">
        <v>999999</v>
      </c>
      <c r="G44" s="1567">
        <v>999999</v>
      </c>
      <c r="H44" s="1567">
        <v>999999</v>
      </c>
      <c r="I44" s="505">
        <f t="shared" si="3"/>
        <v>0</v>
      </c>
      <c r="J44" s="505">
        <f t="shared" si="4"/>
        <v>0</v>
      </c>
      <c r="K44" s="505">
        <f t="shared" si="8"/>
        <v>0</v>
      </c>
      <c r="L44" s="505">
        <f t="shared" si="9"/>
        <v>0</v>
      </c>
      <c r="M44" s="505">
        <f t="shared" si="10"/>
        <v>0</v>
      </c>
      <c r="N44" s="1580">
        <v>6.0824317938893762</v>
      </c>
      <c r="O44" s="1581">
        <v>7.2943652726698707</v>
      </c>
      <c r="P44" s="1581">
        <v>8.5071566698495111</v>
      </c>
      <c r="Q44" s="1586">
        <v>6.0824317938893762</v>
      </c>
      <c r="R44" s="1586">
        <f t="shared" si="5"/>
        <v>6.0824317938893762</v>
      </c>
      <c r="S44" s="1586">
        <f t="shared" si="6"/>
        <v>6.0824317938893762</v>
      </c>
      <c r="T44" s="1580">
        <v>1</v>
      </c>
      <c r="U44" s="1580">
        <v>12.164863587778752</v>
      </c>
      <c r="V44" s="1580">
        <v>1</v>
      </c>
      <c r="W44" s="1580">
        <v>1</v>
      </c>
      <c r="X44" s="1580">
        <v>1</v>
      </c>
      <c r="Y44" s="1580">
        <v>1</v>
      </c>
      <c r="Z44" s="1580">
        <v>0</v>
      </c>
      <c r="AA44" s="1580">
        <v>68.459372286300678</v>
      </c>
      <c r="AB44" s="1580">
        <v>0</v>
      </c>
      <c r="AC44" s="1580">
        <v>0</v>
      </c>
      <c r="AD44" s="1580">
        <f t="shared" si="7"/>
        <v>124.47158597509213</v>
      </c>
      <c r="AE44" s="1580">
        <v>0</v>
      </c>
    </row>
    <row r="45" spans="2:31" ht="13.5" thickBot="1" x14ac:dyDescent="0.25">
      <c r="B45" s="506">
        <v>2030</v>
      </c>
      <c r="C45" s="1568">
        <v>70000</v>
      </c>
      <c r="D45" s="1569">
        <v>999999</v>
      </c>
      <c r="E45" s="1569">
        <v>999999</v>
      </c>
      <c r="F45" s="1569">
        <v>999999</v>
      </c>
      <c r="G45" s="1569">
        <v>999999</v>
      </c>
      <c r="H45" s="1569">
        <v>999999</v>
      </c>
      <c r="I45" s="507">
        <f t="shared" si="3"/>
        <v>0</v>
      </c>
      <c r="J45" s="507">
        <f t="shared" si="4"/>
        <v>0</v>
      </c>
      <c r="K45" s="507">
        <f t="shared" si="8"/>
        <v>0</v>
      </c>
      <c r="L45" s="507">
        <f t="shared" si="9"/>
        <v>0</v>
      </c>
      <c r="M45" s="507">
        <f t="shared" si="10"/>
        <v>0</v>
      </c>
      <c r="N45" s="1582">
        <v>6.0822611531457227</v>
      </c>
      <c r="O45" s="1583">
        <v>7.3217290127448846</v>
      </c>
      <c r="P45" s="1583">
        <v>8.6437467056191455</v>
      </c>
      <c r="Q45" s="1584">
        <v>6.0822611531457227</v>
      </c>
      <c r="R45" s="1584">
        <f t="shared" si="5"/>
        <v>6.0822611531457227</v>
      </c>
      <c r="S45" s="1584">
        <f t="shared" si="6"/>
        <v>6.0822611531457227</v>
      </c>
      <c r="T45" s="1582">
        <v>1</v>
      </c>
      <c r="U45" s="1582">
        <v>12.164522306291445</v>
      </c>
      <c r="V45" s="1582">
        <v>1</v>
      </c>
      <c r="W45" s="1582">
        <v>1</v>
      </c>
      <c r="X45" s="1582">
        <v>1</v>
      </c>
      <c r="Y45" s="1582">
        <v>1</v>
      </c>
      <c r="Z45" s="1582">
        <v>0</v>
      </c>
      <c r="AA45" s="1582">
        <v>69.143966009163691</v>
      </c>
      <c r="AB45" s="1582">
        <v>0</v>
      </c>
      <c r="AC45" s="1582">
        <v>0</v>
      </c>
      <c r="AD45" s="1582">
        <f t="shared" si="7"/>
        <v>125.71630183484305</v>
      </c>
      <c r="AE45" s="1582">
        <v>0</v>
      </c>
    </row>
    <row r="46" spans="2:31" x14ac:dyDescent="0.2">
      <c r="B46" s="508">
        <v>2031</v>
      </c>
      <c r="C46" s="1565">
        <v>70000</v>
      </c>
      <c r="D46" s="1566">
        <v>999999</v>
      </c>
      <c r="E46" s="1566">
        <v>999999</v>
      </c>
      <c r="F46" s="1566">
        <v>999999</v>
      </c>
      <c r="G46" s="1566">
        <v>999999</v>
      </c>
      <c r="H46" s="1566">
        <v>999999</v>
      </c>
      <c r="I46" s="509">
        <f t="shared" si="3"/>
        <v>0</v>
      </c>
      <c r="J46" s="509">
        <f t="shared" si="4"/>
        <v>0</v>
      </c>
      <c r="K46" s="509">
        <f t="shared" si="8"/>
        <v>0</v>
      </c>
      <c r="L46" s="509">
        <f t="shared" si="9"/>
        <v>0</v>
      </c>
      <c r="M46" s="509">
        <f t="shared" si="10"/>
        <v>0</v>
      </c>
      <c r="N46" s="1578">
        <v>6.0822354262533063</v>
      </c>
      <c r="O46" s="1579">
        <v>7.3490927528198986</v>
      </c>
      <c r="P46" s="1579">
        <v>8.7803367413887781</v>
      </c>
      <c r="Q46" s="1585">
        <v>6.0822354262533063</v>
      </c>
      <c r="R46" s="1585">
        <f t="shared" si="5"/>
        <v>6.0822354262533063</v>
      </c>
      <c r="S46" s="1585">
        <f t="shared" si="6"/>
        <v>6.0822354262533063</v>
      </c>
      <c r="T46" s="1578">
        <v>1</v>
      </c>
      <c r="U46" s="1578">
        <v>12.164470852506613</v>
      </c>
      <c r="V46" s="1578">
        <v>1</v>
      </c>
      <c r="W46" s="1578">
        <v>1</v>
      </c>
      <c r="X46" s="1578">
        <v>1</v>
      </c>
      <c r="Y46" s="1578">
        <v>1</v>
      </c>
      <c r="Z46" s="1578">
        <v>0</v>
      </c>
      <c r="AA46" s="1578">
        <v>69.835405669255323</v>
      </c>
      <c r="AB46" s="1578">
        <v>0</v>
      </c>
      <c r="AC46" s="1578">
        <v>0</v>
      </c>
      <c r="AD46" s="1578">
        <f t="shared" si="7"/>
        <v>126.97346485319149</v>
      </c>
      <c r="AE46" s="1578">
        <v>0</v>
      </c>
    </row>
    <row r="47" spans="2:31" x14ac:dyDescent="0.2">
      <c r="B47" s="504">
        <v>2032</v>
      </c>
      <c r="C47" s="885">
        <v>70000</v>
      </c>
      <c r="D47" s="1566">
        <v>999999</v>
      </c>
      <c r="E47" s="1566">
        <v>999999</v>
      </c>
      <c r="F47" s="1566">
        <v>999999</v>
      </c>
      <c r="G47" s="1566">
        <v>999999</v>
      </c>
      <c r="H47" s="1566">
        <v>999999</v>
      </c>
      <c r="I47" s="505">
        <f t="shared" si="3"/>
        <v>0</v>
      </c>
      <c r="J47" s="510">
        <f t="shared" si="4"/>
        <v>0</v>
      </c>
      <c r="K47" s="505">
        <f t="shared" si="8"/>
        <v>0</v>
      </c>
      <c r="L47" s="510">
        <f t="shared" si="9"/>
        <v>0</v>
      </c>
      <c r="M47" s="505">
        <f t="shared" si="10"/>
        <v>0</v>
      </c>
      <c r="N47" s="1578">
        <v>6.0828354404062344</v>
      </c>
      <c r="O47" s="1581">
        <v>7.3764564928949099</v>
      </c>
      <c r="P47" s="1581">
        <v>8.9169267771584106</v>
      </c>
      <c r="Q47" s="1586">
        <v>6.0828354404062344</v>
      </c>
      <c r="R47" s="1586">
        <f t="shared" si="5"/>
        <v>6.0828354404062344</v>
      </c>
      <c r="S47" s="1586">
        <f t="shared" si="6"/>
        <v>6.0828354404062344</v>
      </c>
      <c r="T47" s="1578">
        <v>1</v>
      </c>
      <c r="U47" s="1578">
        <v>12.165670880812469</v>
      </c>
      <c r="V47" s="1578">
        <v>1</v>
      </c>
      <c r="W47" s="1578">
        <v>1</v>
      </c>
      <c r="X47" s="1578">
        <v>1</v>
      </c>
      <c r="Y47" s="1578">
        <v>1</v>
      </c>
      <c r="Z47" s="1578">
        <v>0</v>
      </c>
      <c r="AA47" s="1578">
        <v>70.533759725947874</v>
      </c>
      <c r="AB47" s="1578">
        <v>0</v>
      </c>
      <c r="AC47" s="1578">
        <v>0</v>
      </c>
      <c r="AD47" s="1578">
        <f t="shared" si="7"/>
        <v>128.24319950172341</v>
      </c>
      <c r="AE47" s="1578">
        <v>0</v>
      </c>
    </row>
    <row r="48" spans="2:31" x14ac:dyDescent="0.2">
      <c r="B48" s="504">
        <v>2033</v>
      </c>
      <c r="C48" s="885">
        <v>70000</v>
      </c>
      <c r="D48" s="1566">
        <v>999999</v>
      </c>
      <c r="E48" s="1566">
        <v>999999</v>
      </c>
      <c r="F48" s="1566">
        <v>999999</v>
      </c>
      <c r="G48" s="1566">
        <v>999999</v>
      </c>
      <c r="H48" s="1566">
        <v>999999</v>
      </c>
      <c r="I48" s="505">
        <f t="shared" si="3"/>
        <v>0</v>
      </c>
      <c r="J48" s="505">
        <f t="shared" si="4"/>
        <v>0</v>
      </c>
      <c r="K48" s="505">
        <f t="shared" si="8"/>
        <v>0</v>
      </c>
      <c r="L48" s="505">
        <f t="shared" si="9"/>
        <v>0</v>
      </c>
      <c r="M48" s="505">
        <f t="shared" si="10"/>
        <v>0</v>
      </c>
      <c r="N48" s="1578">
        <v>6.0824029465464289</v>
      </c>
      <c r="O48" s="1581">
        <v>7.4038202329699239</v>
      </c>
      <c r="P48" s="1581">
        <v>9.0535168129280432</v>
      </c>
      <c r="Q48" s="1586">
        <v>6.0824029465464289</v>
      </c>
      <c r="R48" s="1586">
        <f t="shared" si="5"/>
        <v>6.0824029465464289</v>
      </c>
      <c r="S48" s="1586">
        <f t="shared" si="6"/>
        <v>6.0824029465464289</v>
      </c>
      <c r="T48" s="1578">
        <v>1</v>
      </c>
      <c r="U48" s="1578">
        <v>12.164805893092858</v>
      </c>
      <c r="V48" s="1578">
        <v>1</v>
      </c>
      <c r="W48" s="1578">
        <v>1</v>
      </c>
      <c r="X48" s="1578">
        <v>1</v>
      </c>
      <c r="Y48" s="1578">
        <v>1</v>
      </c>
      <c r="Z48" s="1578">
        <v>0</v>
      </c>
      <c r="AA48" s="1578">
        <v>71.239097323207361</v>
      </c>
      <c r="AB48" s="1578">
        <v>0</v>
      </c>
      <c r="AC48" s="1578">
        <v>0</v>
      </c>
      <c r="AD48" s="1578">
        <f t="shared" si="7"/>
        <v>129.52563149674066</v>
      </c>
      <c r="AE48" s="1578">
        <v>0</v>
      </c>
    </row>
    <row r="49" spans="2:31" x14ac:dyDescent="0.2">
      <c r="B49" s="504">
        <v>2034</v>
      </c>
      <c r="C49" s="885">
        <v>70000</v>
      </c>
      <c r="D49" s="1566">
        <v>999999</v>
      </c>
      <c r="E49" s="1566">
        <v>999999</v>
      </c>
      <c r="F49" s="1566">
        <v>999999</v>
      </c>
      <c r="G49" s="1566">
        <v>999999</v>
      </c>
      <c r="H49" s="1566">
        <v>999999</v>
      </c>
      <c r="I49" s="505">
        <f t="shared" si="3"/>
        <v>0</v>
      </c>
      <c r="J49" s="505">
        <f t="shared" si="4"/>
        <v>0</v>
      </c>
      <c r="K49" s="505">
        <f t="shared" si="8"/>
        <v>0</v>
      </c>
      <c r="L49" s="505">
        <f t="shared" si="9"/>
        <v>0</v>
      </c>
      <c r="M49" s="505">
        <f t="shared" si="10"/>
        <v>0</v>
      </c>
      <c r="N49" s="1578">
        <v>6.083979680505311</v>
      </c>
      <c r="O49" s="1581">
        <v>7.4311839730449361</v>
      </c>
      <c r="P49" s="1581">
        <v>9.1901068486976794</v>
      </c>
      <c r="Q49" s="1586">
        <v>6.083979680505311</v>
      </c>
      <c r="R49" s="1586">
        <f t="shared" si="5"/>
        <v>6.083979680505311</v>
      </c>
      <c r="S49" s="1586">
        <f t="shared" si="6"/>
        <v>6.083979680505311</v>
      </c>
      <c r="T49" s="1578">
        <v>1</v>
      </c>
      <c r="U49" s="1578">
        <v>12.167959361010622</v>
      </c>
      <c r="V49" s="1578">
        <v>1</v>
      </c>
      <c r="W49" s="1578">
        <v>1</v>
      </c>
      <c r="X49" s="1578">
        <v>1</v>
      </c>
      <c r="Y49" s="1578">
        <v>1</v>
      </c>
      <c r="Z49" s="1578">
        <v>0</v>
      </c>
      <c r="AA49" s="1578">
        <v>71.951488296439436</v>
      </c>
      <c r="AB49" s="1578">
        <v>0</v>
      </c>
      <c r="AC49" s="1578">
        <v>0</v>
      </c>
      <c r="AD49" s="1578">
        <f t="shared" si="7"/>
        <v>130.82088781170808</v>
      </c>
      <c r="AE49" s="1578">
        <v>0</v>
      </c>
    </row>
    <row r="50" spans="2:31" ht="13.5" thickBot="1" x14ac:dyDescent="0.25">
      <c r="B50" s="511">
        <v>2035</v>
      </c>
      <c r="C50" s="1570">
        <v>70000</v>
      </c>
      <c r="D50" s="1571">
        <v>999999</v>
      </c>
      <c r="E50" s="1571">
        <v>999999</v>
      </c>
      <c r="F50" s="1571">
        <v>999999</v>
      </c>
      <c r="G50" s="1571">
        <v>999999</v>
      </c>
      <c r="H50" s="1571">
        <v>999999</v>
      </c>
      <c r="I50" s="512">
        <f t="shared" si="3"/>
        <v>0</v>
      </c>
      <c r="J50" s="512">
        <f t="shared" si="4"/>
        <v>0</v>
      </c>
      <c r="K50" s="512">
        <f t="shared" si="8"/>
        <v>0</v>
      </c>
      <c r="L50" s="512">
        <f t="shared" si="9"/>
        <v>0</v>
      </c>
      <c r="M50" s="512">
        <f t="shared" si="10"/>
        <v>0</v>
      </c>
      <c r="N50" s="1587">
        <v>6.0858813141485735</v>
      </c>
      <c r="O50" s="1583">
        <v>7.4585477131199509</v>
      </c>
      <c r="P50" s="1583">
        <v>9.326696884467319</v>
      </c>
      <c r="Q50" s="1584">
        <v>6.0858813141485735</v>
      </c>
      <c r="R50" s="1584">
        <f t="shared" si="5"/>
        <v>6.0858813141485735</v>
      </c>
      <c r="S50" s="1584">
        <f t="shared" si="6"/>
        <v>6.0858813141485735</v>
      </c>
      <c r="T50" s="1587">
        <v>1</v>
      </c>
      <c r="U50" s="1587">
        <v>12.171762628297147</v>
      </c>
      <c r="V50" s="1587">
        <v>1</v>
      </c>
      <c r="W50" s="1587">
        <v>1</v>
      </c>
      <c r="X50" s="1587">
        <v>1</v>
      </c>
      <c r="Y50" s="1587">
        <v>1</v>
      </c>
      <c r="Z50" s="1587">
        <v>0</v>
      </c>
      <c r="AA50" s="1587">
        <v>72.671003179403826</v>
      </c>
      <c r="AB50" s="1587">
        <v>0</v>
      </c>
      <c r="AC50" s="1587">
        <v>0</v>
      </c>
      <c r="AD50" s="1587">
        <f t="shared" si="7"/>
        <v>132.12909668982516</v>
      </c>
      <c r="AE50" s="1587">
        <v>0</v>
      </c>
    </row>
    <row r="51" spans="2:31" x14ac:dyDescent="0.2">
      <c r="B51" s="513">
        <v>2036</v>
      </c>
      <c r="C51" s="1572">
        <v>70000</v>
      </c>
      <c r="D51" s="1573">
        <v>999999</v>
      </c>
      <c r="E51" s="1573">
        <v>999999</v>
      </c>
      <c r="F51" s="1573">
        <v>999999</v>
      </c>
      <c r="G51" s="1573">
        <v>999999</v>
      </c>
      <c r="H51" s="1573">
        <v>999999</v>
      </c>
      <c r="I51" s="514">
        <f t="shared" si="3"/>
        <v>0</v>
      </c>
      <c r="J51" s="514">
        <f t="shared" si="4"/>
        <v>0</v>
      </c>
      <c r="K51" s="514">
        <f t="shared" si="8"/>
        <v>0</v>
      </c>
      <c r="L51" s="514">
        <f t="shared" si="9"/>
        <v>0</v>
      </c>
      <c r="M51" s="514">
        <f t="shared" si="10"/>
        <v>0</v>
      </c>
      <c r="N51" s="1588">
        <v>6.0880036550861583</v>
      </c>
      <c r="O51" s="1589">
        <v>7.4859114531949631</v>
      </c>
      <c r="P51" s="1589">
        <v>9.6614149490381056</v>
      </c>
      <c r="Q51" s="1590">
        <v>6.0880036550861583</v>
      </c>
      <c r="R51" s="1590">
        <f t="shared" si="5"/>
        <v>6.0880036550861583</v>
      </c>
      <c r="S51" s="1590">
        <f t="shared" si="6"/>
        <v>6.0880036550861583</v>
      </c>
      <c r="T51" s="1588">
        <v>1</v>
      </c>
      <c r="U51" s="1588">
        <v>12.176007310172317</v>
      </c>
      <c r="V51" s="1588">
        <v>1</v>
      </c>
      <c r="W51" s="1588">
        <v>1</v>
      </c>
      <c r="X51" s="1588">
        <v>1</v>
      </c>
      <c r="Y51" s="1588">
        <v>1</v>
      </c>
      <c r="Z51" s="1588">
        <v>0</v>
      </c>
      <c r="AA51" s="1588">
        <v>73.397713211197868</v>
      </c>
      <c r="AB51" s="1588">
        <v>0</v>
      </c>
      <c r="AC51" s="1588">
        <v>0</v>
      </c>
      <c r="AD51" s="1588">
        <f t="shared" si="7"/>
        <v>133.45038765672342</v>
      </c>
      <c r="AE51" s="1588">
        <v>0</v>
      </c>
    </row>
    <row r="52" spans="2:31" x14ac:dyDescent="0.2">
      <c r="B52" s="504">
        <v>2037</v>
      </c>
      <c r="C52" s="885">
        <v>70000</v>
      </c>
      <c r="D52" s="1567">
        <v>999999</v>
      </c>
      <c r="E52" s="1567">
        <v>999999</v>
      </c>
      <c r="F52" s="1567">
        <v>999999</v>
      </c>
      <c r="G52" s="1567">
        <v>999999</v>
      </c>
      <c r="H52" s="1567">
        <v>999999</v>
      </c>
      <c r="I52" s="505">
        <f t="shared" si="3"/>
        <v>0</v>
      </c>
      <c r="J52" s="505">
        <f t="shared" si="4"/>
        <v>0</v>
      </c>
      <c r="K52" s="505">
        <f t="shared" si="8"/>
        <v>0</v>
      </c>
      <c r="L52" s="505">
        <f t="shared" si="9"/>
        <v>0</v>
      </c>
      <c r="M52" s="505">
        <f t="shared" si="10"/>
        <v>0</v>
      </c>
      <c r="N52" s="1580">
        <v>6.0902282775673982</v>
      </c>
      <c r="O52" s="1581">
        <v>7.5132751932699762</v>
      </c>
      <c r="P52" s="1581">
        <v>9.9961330136088922</v>
      </c>
      <c r="Q52" s="1586">
        <v>6.0902282775673982</v>
      </c>
      <c r="R52" s="1586">
        <f t="shared" si="5"/>
        <v>6.0902282775673982</v>
      </c>
      <c r="S52" s="1586">
        <f t="shared" si="6"/>
        <v>6.0902282775673982</v>
      </c>
      <c r="T52" s="1580">
        <v>1</v>
      </c>
      <c r="U52" s="1580">
        <v>12.180456555134796</v>
      </c>
      <c r="V52" s="1580">
        <v>1</v>
      </c>
      <c r="W52" s="1580">
        <v>1</v>
      </c>
      <c r="X52" s="1580">
        <v>1</v>
      </c>
      <c r="Y52" s="1580">
        <v>1</v>
      </c>
      <c r="Z52" s="1580">
        <v>0</v>
      </c>
      <c r="AA52" s="1580">
        <v>74.131690343309842</v>
      </c>
      <c r="AB52" s="1580">
        <v>0</v>
      </c>
      <c r="AC52" s="1580">
        <v>0</v>
      </c>
      <c r="AD52" s="1580">
        <f t="shared" si="7"/>
        <v>134.78489153329065</v>
      </c>
      <c r="AE52" s="1580">
        <v>0</v>
      </c>
    </row>
    <row r="53" spans="2:31" x14ac:dyDescent="0.2">
      <c r="B53" s="504">
        <v>2038</v>
      </c>
      <c r="C53" s="885">
        <v>70000</v>
      </c>
      <c r="D53" s="1567">
        <v>999999</v>
      </c>
      <c r="E53" s="1567">
        <v>999999</v>
      </c>
      <c r="F53" s="1567">
        <v>999999</v>
      </c>
      <c r="G53" s="1567">
        <v>999999</v>
      </c>
      <c r="H53" s="1567">
        <v>999999</v>
      </c>
      <c r="I53" s="505">
        <f t="shared" si="3"/>
        <v>0</v>
      </c>
      <c r="J53" s="505">
        <f t="shared" si="4"/>
        <v>0</v>
      </c>
      <c r="K53" s="505">
        <f t="shared" si="8"/>
        <v>0</v>
      </c>
      <c r="L53" s="505">
        <f t="shared" si="9"/>
        <v>0</v>
      </c>
      <c r="M53" s="505">
        <f t="shared" si="10"/>
        <v>0</v>
      </c>
      <c r="N53" s="1580">
        <v>6.0929106081155107</v>
      </c>
      <c r="O53" s="1581">
        <v>7.5406389333449884</v>
      </c>
      <c r="P53" s="1581">
        <v>10.330851078179679</v>
      </c>
      <c r="Q53" s="1586">
        <v>6.0929106081155107</v>
      </c>
      <c r="R53" s="1586">
        <f t="shared" si="5"/>
        <v>6.0929106081155107</v>
      </c>
      <c r="S53" s="1586">
        <f t="shared" si="6"/>
        <v>6.0929106081155107</v>
      </c>
      <c r="T53" s="1580">
        <v>1</v>
      </c>
      <c r="U53" s="1580">
        <v>12.185821216231021</v>
      </c>
      <c r="V53" s="1580">
        <v>1</v>
      </c>
      <c r="W53" s="1580">
        <v>1</v>
      </c>
      <c r="X53" s="1580">
        <v>1</v>
      </c>
      <c r="Y53" s="1580">
        <v>1</v>
      </c>
      <c r="Z53" s="1580">
        <v>0</v>
      </c>
      <c r="AA53" s="1580">
        <v>74.873007246742944</v>
      </c>
      <c r="AB53" s="1580">
        <v>0</v>
      </c>
      <c r="AC53" s="1580">
        <v>0</v>
      </c>
      <c r="AD53" s="1580">
        <f t="shared" si="7"/>
        <v>136.13274044862357</v>
      </c>
      <c r="AE53" s="1580">
        <v>0</v>
      </c>
    </row>
    <row r="54" spans="2:31" x14ac:dyDescent="0.2">
      <c r="B54" s="504">
        <v>2039</v>
      </c>
      <c r="C54" s="885">
        <v>70000</v>
      </c>
      <c r="D54" s="1567">
        <v>999999</v>
      </c>
      <c r="E54" s="1567">
        <v>999999</v>
      </c>
      <c r="F54" s="1567">
        <v>999999</v>
      </c>
      <c r="G54" s="1567">
        <v>999999</v>
      </c>
      <c r="H54" s="1567">
        <v>999999</v>
      </c>
      <c r="I54" s="505">
        <f t="shared" si="3"/>
        <v>0</v>
      </c>
      <c r="J54" s="505">
        <f t="shared" si="4"/>
        <v>0</v>
      </c>
      <c r="K54" s="505">
        <f t="shared" si="8"/>
        <v>0</v>
      </c>
      <c r="L54" s="505">
        <f t="shared" si="9"/>
        <v>0</v>
      </c>
      <c r="M54" s="505">
        <f t="shared" si="10"/>
        <v>0</v>
      </c>
      <c r="N54" s="1580">
        <v>6.095564304312485</v>
      </c>
      <c r="O54" s="1581">
        <v>7.5680026734200014</v>
      </c>
      <c r="P54" s="1581">
        <v>10.665569142750467</v>
      </c>
      <c r="Q54" s="1586">
        <v>6.095564304312485</v>
      </c>
      <c r="R54" s="1586">
        <f t="shared" si="5"/>
        <v>6.095564304312485</v>
      </c>
      <c r="S54" s="1586">
        <f t="shared" si="6"/>
        <v>6.095564304312485</v>
      </c>
      <c r="T54" s="1580">
        <v>1</v>
      </c>
      <c r="U54" s="1580">
        <v>12.19112860862497</v>
      </c>
      <c r="V54" s="1580">
        <v>1</v>
      </c>
      <c r="W54" s="1580">
        <v>1</v>
      </c>
      <c r="X54" s="1580">
        <v>1</v>
      </c>
      <c r="Y54" s="1580">
        <v>1</v>
      </c>
      <c r="Z54" s="1580">
        <v>0</v>
      </c>
      <c r="AA54" s="1580">
        <v>75.621737319210368</v>
      </c>
      <c r="AB54" s="1580">
        <v>0</v>
      </c>
      <c r="AC54" s="1580">
        <v>0</v>
      </c>
      <c r="AD54" s="1580">
        <f t="shared" si="7"/>
        <v>137.49406785310981</v>
      </c>
      <c r="AE54" s="1580">
        <v>0</v>
      </c>
    </row>
    <row r="55" spans="2:31" ht="13.5" thickBot="1" x14ac:dyDescent="0.25">
      <c r="B55" s="506">
        <v>2040</v>
      </c>
      <c r="C55" s="1568">
        <v>70000</v>
      </c>
      <c r="D55" s="1569">
        <v>999999</v>
      </c>
      <c r="E55" s="1569">
        <v>999999</v>
      </c>
      <c r="F55" s="1569">
        <v>999999</v>
      </c>
      <c r="G55" s="1569">
        <v>999999</v>
      </c>
      <c r="H55" s="1569">
        <v>999999</v>
      </c>
      <c r="I55" s="507">
        <f t="shared" si="3"/>
        <v>0</v>
      </c>
      <c r="J55" s="507">
        <f t="shared" si="4"/>
        <v>0</v>
      </c>
      <c r="K55" s="507">
        <f t="shared" si="8"/>
        <v>0</v>
      </c>
      <c r="L55" s="507">
        <f t="shared" si="9"/>
        <v>0</v>
      </c>
      <c r="M55" s="507">
        <f t="shared" si="10"/>
        <v>0</v>
      </c>
      <c r="N55" s="1582">
        <v>6.0981283623288869</v>
      </c>
      <c r="O55" s="1583">
        <v>7.5953664134950065</v>
      </c>
      <c r="P55" s="1583">
        <v>11.000287207321254</v>
      </c>
      <c r="Q55" s="1584">
        <v>6.0981283623288869</v>
      </c>
      <c r="R55" s="1584">
        <f t="shared" si="5"/>
        <v>6.0981283623288869</v>
      </c>
      <c r="S55" s="1584">
        <f t="shared" si="6"/>
        <v>6.0981283623288869</v>
      </c>
      <c r="T55" s="1582">
        <v>1</v>
      </c>
      <c r="U55" s="1582">
        <v>12.196256724657774</v>
      </c>
      <c r="V55" s="1582">
        <v>1</v>
      </c>
      <c r="W55" s="1582">
        <v>1</v>
      </c>
      <c r="X55" s="1582">
        <v>1</v>
      </c>
      <c r="Y55" s="1582">
        <v>1</v>
      </c>
      <c r="Z55" s="1582">
        <v>0</v>
      </c>
      <c r="AA55" s="1582">
        <v>76.377954692402469</v>
      </c>
      <c r="AB55" s="1582">
        <v>0</v>
      </c>
      <c r="AC55" s="1582">
        <v>0</v>
      </c>
      <c r="AD55" s="1582">
        <f t="shared" si="7"/>
        <v>138.8690085316409</v>
      </c>
      <c r="AE55" s="1582">
        <v>0</v>
      </c>
    </row>
    <row r="56" spans="2:31" x14ac:dyDescent="0.2">
      <c r="B56" s="513">
        <v>2041</v>
      </c>
      <c r="C56" s="1572">
        <v>70000</v>
      </c>
      <c r="D56" s="1573">
        <v>999999</v>
      </c>
      <c r="E56" s="1573">
        <v>999999</v>
      </c>
      <c r="F56" s="1573">
        <v>999999</v>
      </c>
      <c r="G56" s="1573">
        <v>999999</v>
      </c>
      <c r="H56" s="1573">
        <v>999999</v>
      </c>
      <c r="I56" s="514">
        <f t="shared" si="3"/>
        <v>0</v>
      </c>
      <c r="J56" s="514">
        <f t="shared" si="4"/>
        <v>0</v>
      </c>
      <c r="K56" s="514">
        <f t="shared" si="8"/>
        <v>0</v>
      </c>
      <c r="L56" s="514">
        <f t="shared" si="9"/>
        <v>0</v>
      </c>
      <c r="M56" s="514">
        <f t="shared" si="10"/>
        <v>0</v>
      </c>
      <c r="N56" s="1588">
        <v>6.1004588451711399</v>
      </c>
      <c r="O56" s="1579">
        <v>7.5953664134950065</v>
      </c>
      <c r="P56" s="1579">
        <v>11.000287207321254</v>
      </c>
      <c r="Q56" s="1579">
        <v>6.1004588451711399</v>
      </c>
      <c r="R56" s="1579">
        <f t="shared" si="5"/>
        <v>6.1004588451711399</v>
      </c>
      <c r="S56" s="1579">
        <f t="shared" si="6"/>
        <v>6.1004588451711399</v>
      </c>
      <c r="T56" s="1588">
        <v>1</v>
      </c>
      <c r="U56" s="1588">
        <v>12.20091769034228</v>
      </c>
      <c r="V56" s="1588">
        <v>1</v>
      </c>
      <c r="W56" s="1588">
        <v>1</v>
      </c>
      <c r="X56" s="1588">
        <v>1</v>
      </c>
      <c r="Y56" s="1588">
        <v>1</v>
      </c>
      <c r="Z56" s="1588">
        <v>0</v>
      </c>
      <c r="AA56" s="1588">
        <v>77.141734239326496</v>
      </c>
      <c r="AB56" s="1588">
        <v>0</v>
      </c>
      <c r="AC56" s="1588">
        <v>0</v>
      </c>
      <c r="AD56" s="1588">
        <f t="shared" si="7"/>
        <v>140.2576986169573</v>
      </c>
      <c r="AE56" s="1588">
        <v>0</v>
      </c>
    </row>
    <row r="57" spans="2:31" x14ac:dyDescent="0.2">
      <c r="B57" s="504">
        <v>2042</v>
      </c>
      <c r="C57" s="885">
        <v>70000</v>
      </c>
      <c r="D57" s="1567">
        <v>999999</v>
      </c>
      <c r="E57" s="1567">
        <v>999999</v>
      </c>
      <c r="F57" s="1567">
        <v>999999</v>
      </c>
      <c r="G57" s="1567">
        <v>999999</v>
      </c>
      <c r="H57" s="1567">
        <v>999999</v>
      </c>
      <c r="I57" s="505">
        <f t="shared" si="3"/>
        <v>0</v>
      </c>
      <c r="J57" s="505">
        <f t="shared" si="4"/>
        <v>0</v>
      </c>
      <c r="K57" s="505">
        <f t="shared" si="8"/>
        <v>0</v>
      </c>
      <c r="L57" s="505">
        <f t="shared" si="9"/>
        <v>0</v>
      </c>
      <c r="M57" s="505">
        <f t="shared" si="10"/>
        <v>0</v>
      </c>
      <c r="N57" s="1580">
        <v>6.1028523111973865</v>
      </c>
      <c r="O57" s="1581">
        <v>7.5953664134950074</v>
      </c>
      <c r="P57" s="1581">
        <v>11.000287207321254</v>
      </c>
      <c r="Q57" s="1581">
        <v>6.1028523111973865</v>
      </c>
      <c r="R57" s="1581">
        <f t="shared" si="5"/>
        <v>6.1028523111973865</v>
      </c>
      <c r="S57" s="1581">
        <f t="shared" si="6"/>
        <v>6.1028523111973865</v>
      </c>
      <c r="T57" s="1580">
        <v>1</v>
      </c>
      <c r="U57" s="1580">
        <v>12.205704622394773</v>
      </c>
      <c r="V57" s="1580">
        <v>1</v>
      </c>
      <c r="W57" s="1580">
        <v>1</v>
      </c>
      <c r="X57" s="1580">
        <v>1</v>
      </c>
      <c r="Y57" s="1580">
        <v>1</v>
      </c>
      <c r="Z57" s="1580">
        <v>0</v>
      </c>
      <c r="AA57" s="1580">
        <v>77.91315158171976</v>
      </c>
      <c r="AB57" s="1580">
        <v>0</v>
      </c>
      <c r="AC57" s="1580">
        <v>0</v>
      </c>
      <c r="AD57" s="1580">
        <f t="shared" si="7"/>
        <v>141.66027560312688</v>
      </c>
      <c r="AE57" s="1580">
        <v>0</v>
      </c>
    </row>
    <row r="58" spans="2:31" x14ac:dyDescent="0.2">
      <c r="B58" s="504">
        <v>2043</v>
      </c>
      <c r="C58" s="885">
        <v>70000</v>
      </c>
      <c r="D58" s="1567">
        <v>999999</v>
      </c>
      <c r="E58" s="1567">
        <v>999999</v>
      </c>
      <c r="F58" s="1567">
        <v>999999</v>
      </c>
      <c r="G58" s="1567">
        <v>999999</v>
      </c>
      <c r="H58" s="1567">
        <v>999999</v>
      </c>
      <c r="I58" s="505">
        <f t="shared" si="3"/>
        <v>0</v>
      </c>
      <c r="J58" s="505">
        <f t="shared" si="4"/>
        <v>0</v>
      </c>
      <c r="K58" s="505">
        <f t="shared" si="8"/>
        <v>0</v>
      </c>
      <c r="L58" s="505">
        <f t="shared" si="9"/>
        <v>0</v>
      </c>
      <c r="M58" s="505">
        <f t="shared" si="10"/>
        <v>0</v>
      </c>
      <c r="N58" s="1580">
        <v>6.1053033111085142</v>
      </c>
      <c r="O58" s="1581">
        <v>7.5953664134950056</v>
      </c>
      <c r="P58" s="1581">
        <v>11.000287207321252</v>
      </c>
      <c r="Q58" s="1581">
        <v>6.1053033111085142</v>
      </c>
      <c r="R58" s="1581">
        <f t="shared" si="5"/>
        <v>6.1053033111085142</v>
      </c>
      <c r="S58" s="1581">
        <f t="shared" si="6"/>
        <v>6.1053033111085142</v>
      </c>
      <c r="T58" s="1580">
        <v>1</v>
      </c>
      <c r="U58" s="1580">
        <v>12.210606622217028</v>
      </c>
      <c r="V58" s="1580">
        <v>1</v>
      </c>
      <c r="W58" s="1580">
        <v>1</v>
      </c>
      <c r="X58" s="1580">
        <v>1</v>
      </c>
      <c r="Y58" s="1580">
        <v>1</v>
      </c>
      <c r="Z58" s="1580">
        <v>0</v>
      </c>
      <c r="AA58" s="1580">
        <v>78.692283097536958</v>
      </c>
      <c r="AB58" s="1580">
        <v>0</v>
      </c>
      <c r="AC58" s="1580">
        <v>0</v>
      </c>
      <c r="AD58" s="1580">
        <f t="shared" si="7"/>
        <v>143.07687835915814</v>
      </c>
      <c r="AE58" s="1580">
        <v>0</v>
      </c>
    </row>
    <row r="59" spans="2:31" x14ac:dyDescent="0.2">
      <c r="B59" s="504">
        <v>2044</v>
      </c>
      <c r="C59" s="885">
        <v>70000</v>
      </c>
      <c r="D59" s="1567">
        <v>999999</v>
      </c>
      <c r="E59" s="1567">
        <v>999999</v>
      </c>
      <c r="F59" s="1567">
        <v>999999</v>
      </c>
      <c r="G59" s="1567">
        <v>999999</v>
      </c>
      <c r="H59" s="1567">
        <v>999999</v>
      </c>
      <c r="I59" s="505">
        <f t="shared" si="3"/>
        <v>0</v>
      </c>
      <c r="J59" s="505">
        <f t="shared" si="4"/>
        <v>0</v>
      </c>
      <c r="K59" s="505">
        <f t="shared" si="8"/>
        <v>0</v>
      </c>
      <c r="L59" s="505">
        <f t="shared" si="9"/>
        <v>0</v>
      </c>
      <c r="M59" s="505">
        <f t="shared" si="10"/>
        <v>0</v>
      </c>
      <c r="N59" s="1580">
        <v>6.1077339843080347</v>
      </c>
      <c r="O59" s="1581">
        <v>7.5953664134950065</v>
      </c>
      <c r="P59" s="1581">
        <v>11.000287207321254</v>
      </c>
      <c r="Q59" s="1581">
        <v>6.1077339843080347</v>
      </c>
      <c r="R59" s="1581">
        <f t="shared" si="5"/>
        <v>6.1077339843080347</v>
      </c>
      <c r="S59" s="1581">
        <f t="shared" si="6"/>
        <v>6.1077339843080347</v>
      </c>
      <c r="T59" s="1580">
        <v>1</v>
      </c>
      <c r="U59" s="1580">
        <v>12.215467968616069</v>
      </c>
      <c r="V59" s="1580">
        <v>1</v>
      </c>
      <c r="W59" s="1580">
        <v>1</v>
      </c>
      <c r="X59" s="1580">
        <v>1</v>
      </c>
      <c r="Y59" s="1580">
        <v>1</v>
      </c>
      <c r="Z59" s="1580">
        <v>0</v>
      </c>
      <c r="AA59" s="1580">
        <v>79.479205928512329</v>
      </c>
      <c r="AB59" s="1580">
        <v>0</v>
      </c>
      <c r="AC59" s="1580">
        <v>0</v>
      </c>
      <c r="AD59" s="1580">
        <f t="shared" si="7"/>
        <v>144.50764714274973</v>
      </c>
      <c r="AE59" s="1580">
        <v>0</v>
      </c>
    </row>
    <row r="60" spans="2:31" ht="13.5" thickBot="1" x14ac:dyDescent="0.25">
      <c r="B60" s="506">
        <v>2045</v>
      </c>
      <c r="C60" s="1568">
        <v>70000</v>
      </c>
      <c r="D60" s="1569">
        <v>999999</v>
      </c>
      <c r="E60" s="1569">
        <v>999999</v>
      </c>
      <c r="F60" s="1569">
        <v>999999</v>
      </c>
      <c r="G60" s="1569">
        <v>999999</v>
      </c>
      <c r="H60" s="1569">
        <v>999999</v>
      </c>
      <c r="I60" s="507">
        <f t="shared" si="3"/>
        <v>0</v>
      </c>
      <c r="J60" s="507">
        <f t="shared" si="4"/>
        <v>0</v>
      </c>
      <c r="K60" s="507">
        <f t="shared" si="8"/>
        <v>0</v>
      </c>
      <c r="L60" s="507">
        <f t="shared" si="9"/>
        <v>0</v>
      </c>
      <c r="M60" s="507">
        <f t="shared" si="10"/>
        <v>0</v>
      </c>
      <c r="N60" s="1582">
        <v>6.1101491476387135</v>
      </c>
      <c r="O60" s="1583">
        <v>7.5953664134950083</v>
      </c>
      <c r="P60" s="1583">
        <v>11.000287207321254</v>
      </c>
      <c r="Q60" s="1583">
        <v>6.1101491476387135</v>
      </c>
      <c r="R60" s="1583">
        <f t="shared" si="5"/>
        <v>6.1101491476387135</v>
      </c>
      <c r="S60" s="1583">
        <f t="shared" si="6"/>
        <v>6.1101491476387135</v>
      </c>
      <c r="T60" s="1582">
        <v>1</v>
      </c>
      <c r="U60" s="1582">
        <v>12.220298295277427</v>
      </c>
      <c r="V60" s="1582">
        <v>1</v>
      </c>
      <c r="W60" s="1582">
        <v>1</v>
      </c>
      <c r="X60" s="1582">
        <v>1</v>
      </c>
      <c r="Y60" s="1582">
        <v>1</v>
      </c>
      <c r="Z60" s="1582">
        <v>0</v>
      </c>
      <c r="AA60" s="1582">
        <v>80.273997987797458</v>
      </c>
      <c r="AB60" s="1582">
        <v>0</v>
      </c>
      <c r="AC60" s="1582">
        <v>0</v>
      </c>
      <c r="AD60" s="1582">
        <f t="shared" si="7"/>
        <v>145.95272361417724</v>
      </c>
      <c r="AE60" s="1582">
        <v>0</v>
      </c>
    </row>
    <row r="61" spans="2:31" x14ac:dyDescent="0.2">
      <c r="B61" s="513">
        <v>2046</v>
      </c>
      <c r="C61" s="1572">
        <v>70000</v>
      </c>
      <c r="D61" s="1573">
        <v>999999</v>
      </c>
      <c r="E61" s="1573">
        <v>999999</v>
      </c>
      <c r="F61" s="1573">
        <v>999999</v>
      </c>
      <c r="G61" s="1573">
        <v>999999</v>
      </c>
      <c r="H61" s="1573">
        <v>999999</v>
      </c>
      <c r="I61" s="514">
        <f t="shared" si="3"/>
        <v>0</v>
      </c>
      <c r="J61" s="514">
        <f t="shared" si="4"/>
        <v>0</v>
      </c>
      <c r="K61" s="514">
        <f t="shared" si="8"/>
        <v>0</v>
      </c>
      <c r="L61" s="514">
        <f t="shared" si="9"/>
        <v>0</v>
      </c>
      <c r="M61" s="514">
        <f t="shared" si="10"/>
        <v>0</v>
      </c>
      <c r="N61" s="1588">
        <v>6.1125666962883116</v>
      </c>
      <c r="O61" s="1589">
        <v>7.5953664134950056</v>
      </c>
      <c r="P61" s="1589">
        <v>11.000287207321254</v>
      </c>
      <c r="Q61" s="1589">
        <v>6.1125666962883116</v>
      </c>
      <c r="R61" s="1589">
        <f t="shared" si="5"/>
        <v>6.1125666962883116</v>
      </c>
      <c r="S61" s="1589">
        <f t="shared" si="6"/>
        <v>6.1125666962883116</v>
      </c>
      <c r="T61" s="1588">
        <v>1</v>
      </c>
      <c r="U61" s="1588">
        <v>12.225133392576623</v>
      </c>
      <c r="V61" s="1588">
        <v>1</v>
      </c>
      <c r="W61" s="1588">
        <v>1</v>
      </c>
      <c r="X61" s="1588">
        <v>1</v>
      </c>
      <c r="Y61" s="1588">
        <v>1</v>
      </c>
      <c r="Z61" s="1588">
        <v>0</v>
      </c>
      <c r="AA61" s="1588">
        <v>81.076737967675427</v>
      </c>
      <c r="AB61" s="1588">
        <v>0</v>
      </c>
      <c r="AC61" s="1588">
        <v>0</v>
      </c>
      <c r="AD61" s="1588">
        <f t="shared" si="7"/>
        <v>147.41225085031903</v>
      </c>
      <c r="AE61" s="1588">
        <v>0</v>
      </c>
    </row>
    <row r="62" spans="2:31" x14ac:dyDescent="0.2">
      <c r="B62" s="504">
        <v>2047</v>
      </c>
      <c r="C62" s="885">
        <v>70000</v>
      </c>
      <c r="D62" s="1567">
        <v>999999</v>
      </c>
      <c r="E62" s="1567">
        <v>999999</v>
      </c>
      <c r="F62" s="1567">
        <v>999999</v>
      </c>
      <c r="G62" s="1567">
        <v>999999</v>
      </c>
      <c r="H62" s="1567">
        <v>999999</v>
      </c>
      <c r="I62" s="505">
        <f t="shared" si="3"/>
        <v>0</v>
      </c>
      <c r="J62" s="505">
        <f t="shared" si="4"/>
        <v>0</v>
      </c>
      <c r="K62" s="505">
        <f t="shared" si="8"/>
        <v>0</v>
      </c>
      <c r="L62" s="505">
        <f t="shared" si="9"/>
        <v>0</v>
      </c>
      <c r="M62" s="505">
        <f t="shared" si="10"/>
        <v>0</v>
      </c>
      <c r="N62" s="1580">
        <v>6.1150013445115627</v>
      </c>
      <c r="O62" s="1581">
        <v>7.5953664134950047</v>
      </c>
      <c r="P62" s="1581">
        <v>11.000287207321252</v>
      </c>
      <c r="Q62" s="1581">
        <v>6.1150013445115627</v>
      </c>
      <c r="R62" s="1581">
        <f t="shared" si="5"/>
        <v>6.1150013445115627</v>
      </c>
      <c r="S62" s="1581">
        <f t="shared" si="6"/>
        <v>6.1150013445115627</v>
      </c>
      <c r="T62" s="1580">
        <v>1</v>
      </c>
      <c r="U62" s="1580">
        <v>12.230002689023125</v>
      </c>
      <c r="V62" s="1580">
        <v>1</v>
      </c>
      <c r="W62" s="1580">
        <v>1</v>
      </c>
      <c r="X62" s="1580">
        <v>1</v>
      </c>
      <c r="Y62" s="1580">
        <v>1</v>
      </c>
      <c r="Z62" s="1580">
        <v>0</v>
      </c>
      <c r="AA62" s="1580">
        <v>81.887505347352189</v>
      </c>
      <c r="AB62" s="1580">
        <v>0</v>
      </c>
      <c r="AC62" s="1580">
        <v>0</v>
      </c>
      <c r="AD62" s="1580">
        <f t="shared" si="7"/>
        <v>148.88637335882223</v>
      </c>
      <c r="AE62" s="1580">
        <v>0</v>
      </c>
    </row>
    <row r="63" spans="2:31" x14ac:dyDescent="0.2">
      <c r="B63" s="504">
        <v>2048</v>
      </c>
      <c r="C63" s="885">
        <v>70000</v>
      </c>
      <c r="D63" s="1567">
        <v>999999</v>
      </c>
      <c r="E63" s="1567">
        <v>999999</v>
      </c>
      <c r="F63" s="1567">
        <v>999999</v>
      </c>
      <c r="G63" s="1567">
        <v>999999</v>
      </c>
      <c r="H63" s="1567">
        <v>999999</v>
      </c>
      <c r="I63" s="505">
        <f t="shared" si="3"/>
        <v>0</v>
      </c>
      <c r="J63" s="505">
        <f t="shared" si="4"/>
        <v>0</v>
      </c>
      <c r="K63" s="505">
        <f t="shared" si="8"/>
        <v>0</v>
      </c>
      <c r="L63" s="505">
        <f t="shared" si="9"/>
        <v>0</v>
      </c>
      <c r="M63" s="505">
        <f t="shared" si="10"/>
        <v>0</v>
      </c>
      <c r="N63" s="1580">
        <v>6.1174439270299885</v>
      </c>
      <c r="O63" s="1581">
        <v>7.5953664134950056</v>
      </c>
      <c r="P63" s="1581">
        <v>11.000287207321252</v>
      </c>
      <c r="Q63" s="1581">
        <v>6.1174439270299885</v>
      </c>
      <c r="R63" s="1581">
        <f t="shared" si="5"/>
        <v>6.1174439270299885</v>
      </c>
      <c r="S63" s="1581">
        <f t="shared" si="6"/>
        <v>6.1174439270299885</v>
      </c>
      <c r="T63" s="1580">
        <v>1</v>
      </c>
      <c r="U63" s="1580">
        <v>12.234887854059977</v>
      </c>
      <c r="V63" s="1580">
        <v>1</v>
      </c>
      <c r="W63" s="1580">
        <v>1</v>
      </c>
      <c r="X63" s="1580">
        <v>1</v>
      </c>
      <c r="Y63" s="1580">
        <v>1</v>
      </c>
      <c r="Z63" s="1580">
        <v>0</v>
      </c>
      <c r="AA63" s="1580">
        <v>82.706380400825708</v>
      </c>
      <c r="AB63" s="1580">
        <v>0</v>
      </c>
      <c r="AC63" s="1580">
        <v>0</v>
      </c>
      <c r="AD63" s="1580">
        <f t="shared" si="7"/>
        <v>150.37523709241046</v>
      </c>
      <c r="AE63" s="1580">
        <v>0</v>
      </c>
    </row>
    <row r="64" spans="2:31" x14ac:dyDescent="0.2">
      <c r="B64" s="504">
        <v>2049</v>
      </c>
      <c r="C64" s="885">
        <v>70000</v>
      </c>
      <c r="D64" s="1567">
        <v>999999</v>
      </c>
      <c r="E64" s="1567">
        <v>999999</v>
      </c>
      <c r="F64" s="1567">
        <v>999999</v>
      </c>
      <c r="G64" s="1567">
        <v>999999</v>
      </c>
      <c r="H64" s="1567">
        <v>999999</v>
      </c>
      <c r="I64" s="505">
        <f t="shared" si="3"/>
        <v>0</v>
      </c>
      <c r="J64" s="505">
        <f t="shared" si="4"/>
        <v>0</v>
      </c>
      <c r="K64" s="505">
        <f t="shared" si="8"/>
        <v>0</v>
      </c>
      <c r="L64" s="505">
        <f t="shared" si="9"/>
        <v>0</v>
      </c>
      <c r="M64" s="505">
        <f t="shared" si="10"/>
        <v>0</v>
      </c>
      <c r="N64" s="1580">
        <v>6.1198845350582189</v>
      </c>
      <c r="O64" s="1581">
        <v>7.5953664134950065</v>
      </c>
      <c r="P64" s="1581">
        <v>11.000287207321254</v>
      </c>
      <c r="Q64" s="1581">
        <v>6.1198845350582189</v>
      </c>
      <c r="R64" s="1581">
        <f t="shared" si="5"/>
        <v>6.1198845350582189</v>
      </c>
      <c r="S64" s="1581">
        <f t="shared" si="6"/>
        <v>6.1198845350582189</v>
      </c>
      <c r="T64" s="1580">
        <v>1</v>
      </c>
      <c r="U64" s="1580">
        <v>12.239769070116438</v>
      </c>
      <c r="V64" s="1580">
        <v>1</v>
      </c>
      <c r="W64" s="1580">
        <v>1</v>
      </c>
      <c r="X64" s="1580">
        <v>1</v>
      </c>
      <c r="Y64" s="1580">
        <v>1</v>
      </c>
      <c r="Z64" s="1580">
        <v>0</v>
      </c>
      <c r="AA64" s="1580">
        <v>83.53344420483397</v>
      </c>
      <c r="AB64" s="1580">
        <v>0</v>
      </c>
      <c r="AC64" s="1580">
        <v>0</v>
      </c>
      <c r="AD64" s="1580">
        <f t="shared" si="7"/>
        <v>151.87898946333456</v>
      </c>
      <c r="AE64" s="1580">
        <v>0</v>
      </c>
    </row>
    <row r="65" spans="2:31" ht="13.5" thickBot="1" x14ac:dyDescent="0.25">
      <c r="B65" s="506">
        <v>2050</v>
      </c>
      <c r="C65" s="1568">
        <v>70000</v>
      </c>
      <c r="D65" s="1569">
        <v>999999</v>
      </c>
      <c r="E65" s="1569">
        <v>999999</v>
      </c>
      <c r="F65" s="1569">
        <v>999999</v>
      </c>
      <c r="G65" s="1569">
        <v>999999</v>
      </c>
      <c r="H65" s="1569">
        <v>999999</v>
      </c>
      <c r="I65" s="507">
        <f t="shared" si="3"/>
        <v>0</v>
      </c>
      <c r="J65" s="507">
        <f t="shared" si="4"/>
        <v>0</v>
      </c>
      <c r="K65" s="507">
        <f t="shared" si="8"/>
        <v>0</v>
      </c>
      <c r="L65" s="507">
        <f t="shared" si="9"/>
        <v>0</v>
      </c>
      <c r="M65" s="507">
        <f t="shared" si="10"/>
        <v>0</v>
      </c>
      <c r="N65" s="1582">
        <v>6.1223268466441887</v>
      </c>
      <c r="O65" s="1583">
        <v>7.5953664134950074</v>
      </c>
      <c r="P65" s="1583">
        <v>11.000287207321254</v>
      </c>
      <c r="Q65" s="1584">
        <v>6.1223268466441887</v>
      </c>
      <c r="R65" s="1584">
        <f t="shared" si="5"/>
        <v>6.1223268466441887</v>
      </c>
      <c r="S65" s="1584">
        <f t="shared" si="6"/>
        <v>6.1223268466441887</v>
      </c>
      <c r="T65" s="1582">
        <v>1</v>
      </c>
      <c r="U65" s="1582">
        <v>12.244653693288377</v>
      </c>
      <c r="V65" s="1582">
        <v>1</v>
      </c>
      <c r="W65" s="1582">
        <v>1</v>
      </c>
      <c r="X65" s="1582">
        <v>1</v>
      </c>
      <c r="Y65" s="1582">
        <v>1</v>
      </c>
      <c r="Z65" s="1582">
        <v>0</v>
      </c>
      <c r="AA65" s="1582">
        <v>84.368778646882305</v>
      </c>
      <c r="AB65" s="1582">
        <v>0</v>
      </c>
      <c r="AC65" s="1582">
        <v>0</v>
      </c>
      <c r="AD65" s="1582">
        <f t="shared" si="7"/>
        <v>153.39777935796792</v>
      </c>
      <c r="AE65" s="1582">
        <v>0</v>
      </c>
    </row>
    <row r="66" spans="2:31" ht="13.5" thickBot="1" x14ac:dyDescent="0.25">
      <c r="C66" s="478"/>
      <c r="D66" s="478"/>
      <c r="F66" s="478"/>
    </row>
    <row r="67" spans="2:31" ht="13.5" thickBot="1" x14ac:dyDescent="0.25">
      <c r="B67" s="1526"/>
      <c r="C67" s="517" t="s">
        <v>176</v>
      </c>
      <c r="D67" s="478"/>
      <c r="F67" s="478"/>
    </row>
    <row r="68" spans="2:31" x14ac:dyDescent="0.2">
      <c r="F68" s="515"/>
      <c r="G68" s="516"/>
      <c r="H68" s="515"/>
      <c r="I68" s="515"/>
      <c r="J68" s="515"/>
      <c r="K68" s="515"/>
      <c r="L68" s="515"/>
      <c r="M68" s="515"/>
      <c r="N68" s="515"/>
      <c r="O68" s="515"/>
      <c r="P68" s="515"/>
    </row>
    <row r="69" spans="2:31" x14ac:dyDescent="0.2">
      <c r="D69" s="517"/>
      <c r="F69" s="515"/>
      <c r="G69" s="516"/>
      <c r="H69" s="515"/>
      <c r="I69" s="515"/>
      <c r="J69" s="515"/>
      <c r="K69" s="515"/>
      <c r="L69" s="515"/>
      <c r="M69" s="515"/>
      <c r="N69" s="515"/>
      <c r="O69" s="515"/>
      <c r="P69" s="515"/>
    </row>
    <row r="70" spans="2:31" x14ac:dyDescent="0.2">
      <c r="B70" s="518"/>
      <c r="F70" s="515"/>
      <c r="G70" s="516"/>
      <c r="H70" s="515"/>
      <c r="I70" s="515"/>
      <c r="J70" s="515"/>
      <c r="K70" s="515"/>
      <c r="L70" s="515"/>
      <c r="M70" s="515"/>
      <c r="N70" s="515"/>
      <c r="O70" s="515"/>
      <c r="P70" s="515"/>
    </row>
    <row r="71" spans="2:31" x14ac:dyDescent="0.2">
      <c r="B71" s="518"/>
      <c r="C71" s="518"/>
      <c r="D71" s="518"/>
      <c r="F71" s="515"/>
      <c r="G71" s="516"/>
      <c r="H71" s="515"/>
      <c r="I71" s="515"/>
      <c r="J71" s="515"/>
      <c r="K71" s="515"/>
      <c r="L71" s="515"/>
      <c r="M71" s="515"/>
      <c r="N71" s="515"/>
      <c r="O71" s="515"/>
      <c r="P71" s="515"/>
    </row>
    <row r="72" spans="2:31" x14ac:dyDescent="0.2">
      <c r="F72" s="515"/>
      <c r="G72" s="516"/>
      <c r="H72" s="515"/>
      <c r="I72" s="515"/>
      <c r="J72" s="515"/>
      <c r="K72" s="515"/>
      <c r="L72" s="515"/>
      <c r="M72" s="515"/>
      <c r="N72" s="515"/>
      <c r="O72" s="515"/>
      <c r="P72" s="515"/>
    </row>
    <row r="73" spans="2:31" x14ac:dyDescent="0.2">
      <c r="F73" s="515"/>
      <c r="G73" s="516"/>
      <c r="H73" s="515"/>
      <c r="I73" s="515"/>
      <c r="J73" s="515"/>
      <c r="K73" s="515"/>
      <c r="L73" s="515"/>
      <c r="M73" s="515"/>
      <c r="N73" s="515"/>
      <c r="O73" s="515"/>
      <c r="P73" s="515"/>
    </row>
    <row r="74" spans="2:31" x14ac:dyDescent="0.2">
      <c r="F74" s="515"/>
      <c r="G74" s="516"/>
      <c r="H74" s="515"/>
      <c r="I74" s="515"/>
      <c r="J74" s="515"/>
      <c r="K74" s="515"/>
      <c r="L74" s="515"/>
      <c r="M74" s="515"/>
      <c r="N74" s="515"/>
      <c r="O74" s="515"/>
      <c r="P74" s="515"/>
    </row>
    <row r="75" spans="2:31" x14ac:dyDescent="0.2">
      <c r="F75" s="515"/>
      <c r="G75" s="516"/>
      <c r="H75" s="515"/>
      <c r="I75" s="515"/>
      <c r="J75" s="515"/>
      <c r="K75" s="515"/>
      <c r="L75" s="515"/>
      <c r="M75" s="515"/>
      <c r="N75" s="515"/>
      <c r="O75" s="515"/>
      <c r="P75" s="515"/>
    </row>
    <row r="76" spans="2:31" x14ac:dyDescent="0.2">
      <c r="F76" s="515"/>
      <c r="G76" s="516"/>
      <c r="H76" s="515"/>
      <c r="I76" s="515"/>
      <c r="J76" s="515"/>
      <c r="K76" s="515"/>
      <c r="L76" s="515"/>
      <c r="M76" s="515"/>
      <c r="N76" s="515"/>
      <c r="O76" s="515"/>
      <c r="P76" s="515"/>
    </row>
    <row r="77" spans="2:31" x14ac:dyDescent="0.2">
      <c r="F77" s="515"/>
      <c r="G77" s="516"/>
      <c r="H77" s="515"/>
      <c r="I77" s="515"/>
      <c r="J77" s="515"/>
      <c r="K77" s="515"/>
      <c r="L77" s="515"/>
      <c r="M77" s="515"/>
      <c r="N77" s="515"/>
      <c r="O77" s="515"/>
      <c r="P77" s="515"/>
    </row>
    <row r="78" spans="2:31" x14ac:dyDescent="0.2">
      <c r="F78" s="515"/>
      <c r="G78" s="516"/>
      <c r="H78" s="515"/>
      <c r="I78" s="515"/>
      <c r="J78" s="515"/>
      <c r="K78" s="515"/>
      <c r="L78" s="515"/>
      <c r="M78" s="515"/>
      <c r="N78" s="515"/>
      <c r="O78" s="515"/>
      <c r="P78" s="515"/>
    </row>
    <row r="79" spans="2:31" x14ac:dyDescent="0.2">
      <c r="F79" s="515"/>
      <c r="G79" s="516"/>
      <c r="H79" s="515"/>
      <c r="I79" s="515"/>
      <c r="J79" s="515"/>
      <c r="K79" s="515"/>
      <c r="L79" s="515"/>
      <c r="M79" s="515"/>
      <c r="N79" s="515"/>
      <c r="O79" s="515"/>
      <c r="P79" s="515"/>
    </row>
    <row r="80" spans="2:31" x14ac:dyDescent="0.2">
      <c r="F80" s="515"/>
      <c r="G80" s="516"/>
      <c r="H80" s="515"/>
      <c r="I80" s="515"/>
      <c r="J80" s="515"/>
      <c r="K80" s="515"/>
      <c r="L80" s="515"/>
      <c r="M80" s="515"/>
      <c r="N80" s="515"/>
      <c r="O80" s="515"/>
      <c r="P80" s="515"/>
    </row>
    <row r="81" spans="6:16" x14ac:dyDescent="0.2">
      <c r="F81" s="515"/>
      <c r="G81" s="516"/>
      <c r="H81" s="515"/>
      <c r="I81" s="515"/>
      <c r="J81" s="515"/>
      <c r="K81" s="515"/>
      <c r="L81" s="515"/>
      <c r="M81" s="515"/>
      <c r="N81" s="515"/>
      <c r="O81" s="515"/>
      <c r="P81" s="515"/>
    </row>
    <row r="82" spans="6:16" x14ac:dyDescent="0.2">
      <c r="F82" s="515"/>
      <c r="G82" s="516"/>
      <c r="H82" s="515"/>
      <c r="I82" s="515"/>
      <c r="J82" s="515"/>
      <c r="K82" s="515"/>
      <c r="L82" s="515"/>
      <c r="M82" s="515"/>
      <c r="N82" s="515"/>
      <c r="O82" s="515"/>
      <c r="P82" s="515"/>
    </row>
    <row r="83" spans="6:16" x14ac:dyDescent="0.2">
      <c r="F83" s="515"/>
      <c r="G83" s="516"/>
      <c r="H83" s="515"/>
      <c r="I83" s="515"/>
      <c r="J83" s="515"/>
      <c r="K83" s="515"/>
      <c r="L83" s="515"/>
      <c r="M83" s="515"/>
      <c r="N83" s="515"/>
      <c r="O83" s="515"/>
      <c r="P83" s="515"/>
    </row>
    <row r="84" spans="6:16" x14ac:dyDescent="0.2">
      <c r="F84" s="515"/>
      <c r="G84" s="516"/>
      <c r="H84" s="515"/>
      <c r="I84" s="515"/>
      <c r="J84" s="515"/>
      <c r="K84" s="515"/>
      <c r="L84" s="515"/>
      <c r="M84" s="515"/>
      <c r="N84" s="515"/>
      <c r="O84" s="515"/>
      <c r="P84" s="515"/>
    </row>
    <row r="85" spans="6:16" x14ac:dyDescent="0.2">
      <c r="F85" s="515"/>
      <c r="G85" s="516"/>
      <c r="H85" s="515"/>
      <c r="I85" s="515"/>
      <c r="J85" s="515"/>
      <c r="K85" s="515"/>
      <c r="L85" s="515"/>
      <c r="M85" s="515"/>
      <c r="N85" s="515"/>
      <c r="O85" s="515"/>
      <c r="P85" s="515"/>
    </row>
    <row r="86" spans="6:16" x14ac:dyDescent="0.2">
      <c r="F86" s="515"/>
      <c r="G86" s="516"/>
      <c r="H86" s="515"/>
      <c r="I86" s="515"/>
      <c r="J86" s="515"/>
      <c r="K86" s="515"/>
      <c r="L86" s="515"/>
      <c r="M86" s="515"/>
      <c r="N86" s="515"/>
      <c r="O86" s="515"/>
      <c r="P86" s="515"/>
    </row>
    <row r="87" spans="6:16" x14ac:dyDescent="0.2">
      <c r="F87" s="515"/>
      <c r="G87" s="516"/>
      <c r="H87" s="515"/>
      <c r="I87" s="515"/>
      <c r="J87" s="515"/>
      <c r="K87" s="515"/>
      <c r="L87" s="515"/>
      <c r="M87" s="515"/>
      <c r="N87" s="515"/>
      <c r="O87" s="515"/>
      <c r="P87" s="515"/>
    </row>
    <row r="88" spans="6:16" x14ac:dyDescent="0.2">
      <c r="F88" s="515"/>
      <c r="G88" s="516"/>
      <c r="H88" s="515"/>
      <c r="I88" s="515"/>
      <c r="J88" s="515"/>
      <c r="K88" s="515"/>
      <c r="L88" s="515"/>
      <c r="M88" s="515"/>
      <c r="N88" s="515"/>
      <c r="O88" s="515"/>
      <c r="P88" s="515"/>
    </row>
    <row r="89" spans="6:16" x14ac:dyDescent="0.2">
      <c r="F89" s="515"/>
      <c r="G89" s="516"/>
      <c r="H89" s="515"/>
      <c r="I89" s="515"/>
      <c r="J89" s="515"/>
      <c r="K89" s="515"/>
      <c r="L89" s="515"/>
      <c r="M89" s="515"/>
      <c r="N89" s="515"/>
      <c r="O89" s="515"/>
      <c r="P89" s="515"/>
    </row>
    <row r="90" spans="6:16" x14ac:dyDescent="0.2">
      <c r="F90" s="515"/>
      <c r="G90" s="516"/>
      <c r="H90" s="515"/>
      <c r="I90" s="515"/>
      <c r="J90" s="515"/>
      <c r="K90" s="515"/>
      <c r="L90" s="515"/>
      <c r="M90" s="515"/>
      <c r="N90" s="515"/>
      <c r="O90" s="515"/>
      <c r="P90" s="515"/>
    </row>
    <row r="91" spans="6:16" x14ac:dyDescent="0.2">
      <c r="F91" s="515"/>
      <c r="G91" s="516"/>
      <c r="H91" s="515"/>
      <c r="I91" s="515"/>
      <c r="J91" s="515"/>
      <c r="K91" s="515"/>
      <c r="L91" s="515"/>
      <c r="M91" s="515"/>
      <c r="N91" s="515"/>
      <c r="O91" s="515"/>
      <c r="P91" s="515"/>
    </row>
    <row r="92" spans="6:16" x14ac:dyDescent="0.2">
      <c r="F92" s="515"/>
      <c r="G92" s="516"/>
      <c r="H92" s="515"/>
      <c r="I92" s="515"/>
      <c r="J92" s="515"/>
      <c r="K92" s="515"/>
      <c r="L92" s="515"/>
      <c r="M92" s="515"/>
      <c r="N92" s="515"/>
      <c r="O92" s="515"/>
      <c r="P92" s="515"/>
    </row>
    <row r="93" spans="6:16" x14ac:dyDescent="0.2">
      <c r="F93" s="515"/>
      <c r="G93" s="516"/>
      <c r="H93" s="515"/>
      <c r="I93" s="515"/>
      <c r="J93" s="515"/>
      <c r="K93" s="515"/>
      <c r="L93" s="515"/>
      <c r="M93" s="515"/>
      <c r="N93" s="515"/>
      <c r="O93" s="515"/>
      <c r="P93" s="515"/>
    </row>
    <row r="94" spans="6:16" x14ac:dyDescent="0.2">
      <c r="F94" s="515"/>
      <c r="G94" s="516"/>
      <c r="H94" s="515"/>
      <c r="I94" s="515"/>
      <c r="J94" s="515"/>
      <c r="K94" s="515"/>
      <c r="L94" s="515"/>
      <c r="M94" s="515"/>
      <c r="N94" s="515"/>
      <c r="O94" s="515"/>
      <c r="P94" s="515"/>
    </row>
    <row r="95" spans="6:16" x14ac:dyDescent="0.2">
      <c r="F95" s="515"/>
      <c r="G95" s="516"/>
      <c r="H95" s="515"/>
      <c r="I95" s="515"/>
      <c r="J95" s="515"/>
      <c r="K95" s="515"/>
      <c r="L95" s="515"/>
      <c r="M95" s="515"/>
      <c r="N95" s="515"/>
      <c r="O95" s="515"/>
      <c r="P95" s="515"/>
    </row>
    <row r="96" spans="6:16" x14ac:dyDescent="0.2">
      <c r="F96" s="515"/>
      <c r="G96" s="516"/>
      <c r="H96" s="515"/>
      <c r="I96" s="515"/>
      <c r="J96" s="515"/>
      <c r="K96" s="515"/>
      <c r="L96" s="515"/>
      <c r="M96" s="515"/>
      <c r="N96" s="515"/>
      <c r="O96" s="515"/>
      <c r="P96" s="515"/>
    </row>
    <row r="97" spans="6:16" x14ac:dyDescent="0.2">
      <c r="F97" s="515"/>
      <c r="G97" s="516"/>
      <c r="H97" s="515"/>
      <c r="I97" s="515"/>
      <c r="J97" s="515"/>
      <c r="K97" s="515"/>
      <c r="L97" s="515"/>
      <c r="M97" s="515"/>
      <c r="N97" s="515"/>
      <c r="O97" s="515"/>
      <c r="P97" s="515"/>
    </row>
    <row r="98" spans="6:16" x14ac:dyDescent="0.2">
      <c r="F98" s="515"/>
      <c r="G98" s="516"/>
      <c r="H98" s="515"/>
      <c r="I98" s="515"/>
      <c r="J98" s="515"/>
      <c r="K98" s="515"/>
      <c r="L98" s="515"/>
      <c r="M98" s="515"/>
      <c r="N98" s="515"/>
      <c r="O98" s="515"/>
      <c r="P98" s="515"/>
    </row>
    <row r="99" spans="6:16" x14ac:dyDescent="0.2">
      <c r="F99" s="515"/>
      <c r="G99" s="516"/>
      <c r="H99" s="515"/>
      <c r="I99" s="515"/>
      <c r="J99" s="515"/>
      <c r="K99" s="515"/>
      <c r="L99" s="515"/>
      <c r="M99" s="515"/>
      <c r="N99" s="515"/>
      <c r="O99" s="515"/>
      <c r="P99" s="515"/>
    </row>
    <row r="100" spans="6:16" x14ac:dyDescent="0.2">
      <c r="F100" s="515"/>
      <c r="G100" s="516"/>
      <c r="H100" s="515"/>
      <c r="I100" s="515"/>
      <c r="J100" s="515"/>
      <c r="K100" s="515"/>
      <c r="L100" s="515"/>
      <c r="M100" s="515"/>
      <c r="N100" s="515"/>
      <c r="O100" s="515"/>
      <c r="P100" s="515"/>
    </row>
    <row r="101" spans="6:16" x14ac:dyDescent="0.2">
      <c r="F101" s="515"/>
      <c r="G101" s="516"/>
      <c r="H101" s="515"/>
      <c r="I101" s="515"/>
      <c r="J101" s="515"/>
      <c r="K101" s="515"/>
      <c r="L101" s="515"/>
      <c r="M101" s="515"/>
      <c r="N101" s="515"/>
      <c r="O101" s="515"/>
      <c r="P101" s="515"/>
    </row>
    <row r="102" spans="6:16" x14ac:dyDescent="0.2">
      <c r="F102" s="515"/>
      <c r="G102" s="516"/>
      <c r="H102" s="515"/>
      <c r="I102" s="515"/>
      <c r="J102" s="515"/>
      <c r="K102" s="515"/>
      <c r="L102" s="515"/>
      <c r="M102" s="515"/>
      <c r="N102" s="515"/>
      <c r="O102" s="515"/>
      <c r="P102" s="515"/>
    </row>
    <row r="103" spans="6:16" x14ac:dyDescent="0.2">
      <c r="F103" s="515"/>
      <c r="G103" s="516"/>
      <c r="H103" s="515"/>
      <c r="I103" s="515"/>
      <c r="J103" s="515"/>
      <c r="K103" s="515"/>
      <c r="L103" s="515"/>
      <c r="M103" s="515"/>
      <c r="N103" s="515"/>
      <c r="O103" s="515"/>
      <c r="P103" s="515"/>
    </row>
    <row r="104" spans="6:16" x14ac:dyDescent="0.2">
      <c r="F104" s="515"/>
      <c r="G104" s="516"/>
      <c r="H104" s="515"/>
      <c r="I104" s="515"/>
      <c r="J104" s="515"/>
      <c r="K104" s="515"/>
      <c r="L104" s="515"/>
      <c r="M104" s="515"/>
      <c r="N104" s="515"/>
      <c r="O104" s="515"/>
      <c r="P104" s="515"/>
    </row>
    <row r="105" spans="6:16" x14ac:dyDescent="0.2">
      <c r="F105" s="515"/>
      <c r="G105" s="516"/>
      <c r="H105" s="515"/>
      <c r="I105" s="515"/>
      <c r="J105" s="515"/>
      <c r="K105" s="515"/>
      <c r="L105" s="515"/>
      <c r="M105" s="515"/>
      <c r="N105" s="515"/>
      <c r="O105" s="515"/>
      <c r="P105" s="515"/>
    </row>
    <row r="106" spans="6:16" x14ac:dyDescent="0.2">
      <c r="F106" s="515"/>
      <c r="G106" s="516"/>
      <c r="H106" s="515"/>
      <c r="I106" s="515"/>
      <c r="J106" s="515"/>
      <c r="K106" s="515"/>
      <c r="L106" s="515"/>
      <c r="M106" s="515"/>
      <c r="N106" s="515"/>
      <c r="O106" s="515"/>
      <c r="P106" s="515"/>
    </row>
    <row r="107" spans="6:16" x14ac:dyDescent="0.2">
      <c r="F107" s="515"/>
      <c r="G107" s="516"/>
      <c r="H107" s="515"/>
      <c r="I107" s="515"/>
      <c r="J107" s="515"/>
      <c r="K107" s="515"/>
      <c r="L107" s="515"/>
      <c r="M107" s="515"/>
      <c r="N107" s="515"/>
      <c r="O107" s="515"/>
      <c r="P107" s="515"/>
    </row>
    <row r="108" spans="6:16" x14ac:dyDescent="0.2">
      <c r="F108" s="515"/>
      <c r="G108" s="516"/>
      <c r="H108" s="515"/>
      <c r="I108" s="515"/>
      <c r="J108" s="515"/>
      <c r="K108" s="515"/>
      <c r="L108" s="515"/>
      <c r="M108" s="515"/>
      <c r="N108" s="515"/>
      <c r="O108" s="515"/>
      <c r="P108" s="515"/>
    </row>
    <row r="109" spans="6:16" x14ac:dyDescent="0.2">
      <c r="F109" s="515"/>
      <c r="G109" s="516"/>
      <c r="H109" s="515"/>
      <c r="I109" s="515"/>
      <c r="J109" s="515"/>
      <c r="K109" s="515"/>
      <c r="L109" s="515"/>
      <c r="M109" s="515"/>
      <c r="N109" s="515"/>
      <c r="O109" s="515"/>
      <c r="P109" s="515"/>
    </row>
    <row r="110" spans="6:16" x14ac:dyDescent="0.2">
      <c r="F110" s="515"/>
      <c r="G110" s="516"/>
      <c r="H110" s="515"/>
      <c r="I110" s="515"/>
      <c r="J110" s="515"/>
      <c r="K110" s="515"/>
      <c r="L110" s="515"/>
      <c r="M110" s="515"/>
      <c r="N110" s="515"/>
      <c r="O110" s="515"/>
      <c r="P110" s="515"/>
    </row>
    <row r="111" spans="6:16" x14ac:dyDescent="0.2">
      <c r="F111" s="515"/>
      <c r="G111" s="516"/>
      <c r="H111" s="515"/>
      <c r="I111" s="515"/>
      <c r="J111" s="515"/>
      <c r="K111" s="515"/>
      <c r="L111" s="515"/>
      <c r="M111" s="515"/>
      <c r="N111" s="515"/>
      <c r="O111" s="515"/>
      <c r="P111" s="515"/>
    </row>
    <row r="112" spans="6:16" x14ac:dyDescent="0.2">
      <c r="F112" s="515"/>
      <c r="G112" s="516"/>
      <c r="H112" s="515"/>
      <c r="I112" s="515"/>
      <c r="J112" s="515"/>
      <c r="K112" s="515"/>
      <c r="L112" s="515"/>
      <c r="M112" s="515"/>
      <c r="N112" s="515"/>
      <c r="O112" s="515"/>
      <c r="P112" s="515"/>
    </row>
    <row r="113" spans="6:16" x14ac:dyDescent="0.2">
      <c r="F113" s="515"/>
      <c r="G113" s="516"/>
      <c r="H113" s="515"/>
      <c r="I113" s="515"/>
      <c r="J113" s="515"/>
      <c r="K113" s="515"/>
      <c r="L113" s="515"/>
      <c r="M113" s="515"/>
      <c r="N113" s="515"/>
      <c r="O113" s="515"/>
      <c r="P113" s="515"/>
    </row>
    <row r="114" spans="6:16" x14ac:dyDescent="0.2">
      <c r="F114" s="515"/>
      <c r="G114" s="516"/>
      <c r="H114" s="515"/>
      <c r="I114" s="515"/>
      <c r="J114" s="515"/>
      <c r="K114" s="515"/>
      <c r="L114" s="515"/>
      <c r="M114" s="515"/>
      <c r="N114" s="515"/>
      <c r="O114" s="515"/>
      <c r="P114" s="515"/>
    </row>
    <row r="115" spans="6:16" x14ac:dyDescent="0.2">
      <c r="F115" s="515"/>
      <c r="G115" s="516"/>
      <c r="H115" s="515"/>
      <c r="I115" s="515"/>
      <c r="J115" s="515"/>
      <c r="K115" s="515"/>
      <c r="L115" s="515"/>
      <c r="M115" s="515"/>
      <c r="N115" s="515"/>
      <c r="O115" s="515"/>
      <c r="P115" s="515"/>
    </row>
    <row r="116" spans="6:16" x14ac:dyDescent="0.2">
      <c r="F116" s="515"/>
      <c r="G116" s="516"/>
      <c r="H116" s="515"/>
      <c r="I116" s="515"/>
      <c r="J116" s="515"/>
      <c r="K116" s="515"/>
      <c r="L116" s="515"/>
      <c r="M116" s="515"/>
      <c r="N116" s="515"/>
      <c r="O116" s="515"/>
      <c r="P116" s="515"/>
    </row>
    <row r="117" spans="6:16" x14ac:dyDescent="0.2">
      <c r="F117" s="515"/>
      <c r="G117" s="516"/>
      <c r="H117" s="515"/>
      <c r="I117" s="515"/>
      <c r="J117" s="515"/>
      <c r="K117" s="515"/>
      <c r="L117" s="515"/>
      <c r="M117" s="515"/>
      <c r="N117" s="515"/>
      <c r="O117" s="515"/>
      <c r="P117" s="515"/>
    </row>
    <row r="118" spans="6:16" x14ac:dyDescent="0.2">
      <c r="F118" s="515"/>
      <c r="G118" s="516"/>
      <c r="H118" s="515"/>
      <c r="I118" s="515"/>
      <c r="J118" s="515"/>
      <c r="K118" s="515"/>
      <c r="L118" s="515"/>
      <c r="M118" s="515"/>
      <c r="N118" s="515"/>
      <c r="O118" s="515"/>
      <c r="P118" s="515"/>
    </row>
    <row r="119" spans="6:16" x14ac:dyDescent="0.2">
      <c r="F119" s="515"/>
      <c r="G119" s="516"/>
      <c r="H119" s="515"/>
      <c r="I119" s="515"/>
      <c r="J119" s="515"/>
      <c r="K119" s="515"/>
      <c r="L119" s="515"/>
      <c r="M119" s="515"/>
      <c r="N119" s="515"/>
      <c r="O119" s="515"/>
      <c r="P119" s="515"/>
    </row>
    <row r="120" spans="6:16" x14ac:dyDescent="0.2">
      <c r="F120" s="515"/>
      <c r="G120" s="516"/>
      <c r="H120" s="515"/>
      <c r="I120" s="515"/>
      <c r="J120" s="515"/>
      <c r="K120" s="515"/>
      <c r="L120" s="515"/>
      <c r="M120" s="515"/>
      <c r="N120" s="515"/>
      <c r="O120" s="515"/>
      <c r="P120" s="515"/>
    </row>
    <row r="121" spans="6:16" x14ac:dyDescent="0.2">
      <c r="F121" s="515"/>
      <c r="G121" s="516"/>
      <c r="H121" s="515"/>
      <c r="I121" s="515"/>
      <c r="J121" s="515"/>
      <c r="K121" s="515"/>
      <c r="L121" s="515"/>
      <c r="M121" s="515"/>
      <c r="N121" s="515"/>
      <c r="O121" s="515"/>
      <c r="P121" s="515"/>
    </row>
    <row r="122" spans="6:16" x14ac:dyDescent="0.2">
      <c r="F122" s="515"/>
      <c r="G122" s="516"/>
      <c r="H122" s="515"/>
      <c r="I122" s="515"/>
      <c r="J122" s="515"/>
      <c r="K122" s="515"/>
      <c r="L122" s="515"/>
      <c r="M122" s="515"/>
      <c r="N122" s="515"/>
      <c r="O122" s="515"/>
      <c r="P122" s="515"/>
    </row>
    <row r="123" spans="6:16" x14ac:dyDescent="0.2">
      <c r="F123" s="515"/>
      <c r="G123" s="516"/>
      <c r="H123" s="515"/>
      <c r="I123" s="515"/>
      <c r="J123" s="515"/>
      <c r="K123" s="515"/>
      <c r="L123" s="515"/>
      <c r="M123" s="515"/>
      <c r="N123" s="515"/>
      <c r="O123" s="515"/>
      <c r="P123" s="515"/>
    </row>
    <row r="124" spans="6:16" x14ac:dyDescent="0.2">
      <c r="F124" s="515"/>
      <c r="G124" s="516"/>
      <c r="H124" s="515"/>
      <c r="I124" s="515"/>
      <c r="J124" s="515"/>
      <c r="K124" s="515"/>
      <c r="L124" s="515"/>
      <c r="M124" s="515"/>
      <c r="N124" s="515"/>
      <c r="O124" s="515"/>
      <c r="P124" s="515"/>
    </row>
    <row r="125" spans="6:16" x14ac:dyDescent="0.2">
      <c r="F125" s="515"/>
      <c r="G125" s="516"/>
      <c r="H125" s="515"/>
      <c r="I125" s="515"/>
      <c r="J125" s="515"/>
      <c r="K125" s="515"/>
      <c r="L125" s="515"/>
      <c r="M125" s="515"/>
      <c r="N125" s="515"/>
      <c r="O125" s="515"/>
      <c r="P125" s="515"/>
    </row>
    <row r="126" spans="6:16" x14ac:dyDescent="0.2">
      <c r="F126" s="515"/>
      <c r="G126" s="516"/>
      <c r="H126" s="515"/>
      <c r="I126" s="515"/>
      <c r="J126" s="515"/>
      <c r="K126" s="515"/>
      <c r="L126" s="515"/>
      <c r="M126" s="515"/>
      <c r="N126" s="515"/>
      <c r="O126" s="515"/>
      <c r="P126" s="515"/>
    </row>
    <row r="127" spans="6:16" x14ac:dyDescent="0.2">
      <c r="F127" s="515"/>
      <c r="G127" s="516"/>
      <c r="H127" s="515"/>
      <c r="I127" s="515"/>
      <c r="J127" s="515"/>
      <c r="K127" s="515"/>
      <c r="L127" s="515"/>
      <c r="M127" s="515"/>
      <c r="N127" s="515"/>
      <c r="O127" s="515"/>
      <c r="P127" s="515"/>
    </row>
    <row r="128" spans="6:16" x14ac:dyDescent="0.2">
      <c r="F128" s="515"/>
      <c r="G128" s="516"/>
      <c r="H128" s="515"/>
      <c r="I128" s="515"/>
      <c r="J128" s="515"/>
      <c r="K128" s="515"/>
      <c r="L128" s="515"/>
      <c r="M128" s="515"/>
      <c r="N128" s="515"/>
      <c r="O128" s="515"/>
      <c r="P128" s="515"/>
    </row>
    <row r="129" spans="6:16" x14ac:dyDescent="0.2">
      <c r="F129" s="515"/>
      <c r="G129" s="516"/>
      <c r="H129" s="515"/>
      <c r="I129" s="515"/>
      <c r="J129" s="515"/>
      <c r="K129" s="515"/>
      <c r="L129" s="515"/>
      <c r="M129" s="515"/>
      <c r="N129" s="515"/>
      <c r="O129" s="515"/>
      <c r="P129" s="515"/>
    </row>
    <row r="130" spans="6:16" x14ac:dyDescent="0.2">
      <c r="F130" s="515"/>
      <c r="G130" s="516"/>
      <c r="H130" s="515"/>
      <c r="I130" s="515"/>
      <c r="J130" s="515"/>
      <c r="K130" s="515"/>
      <c r="L130" s="515"/>
      <c r="M130" s="515"/>
      <c r="N130" s="515"/>
      <c r="O130" s="515"/>
      <c r="P130" s="515"/>
    </row>
    <row r="131" spans="6:16" x14ac:dyDescent="0.2">
      <c r="F131" s="515"/>
      <c r="G131" s="516"/>
      <c r="H131" s="515"/>
      <c r="I131" s="515"/>
      <c r="J131" s="515"/>
      <c r="K131" s="515"/>
      <c r="L131" s="515"/>
      <c r="M131" s="515"/>
      <c r="N131" s="515"/>
      <c r="O131" s="515"/>
      <c r="P131" s="515"/>
    </row>
    <row r="132" spans="6:16" x14ac:dyDescent="0.2">
      <c r="F132" s="515"/>
      <c r="G132" s="516"/>
      <c r="H132" s="515"/>
      <c r="I132" s="515"/>
      <c r="J132" s="515"/>
      <c r="K132" s="515"/>
      <c r="L132" s="515"/>
      <c r="M132" s="515"/>
      <c r="N132" s="515"/>
      <c r="O132" s="515"/>
      <c r="P132" s="515"/>
    </row>
    <row r="133" spans="6:16" x14ac:dyDescent="0.2">
      <c r="F133" s="515"/>
      <c r="G133" s="516"/>
      <c r="H133" s="515"/>
      <c r="I133" s="515"/>
      <c r="J133" s="515"/>
      <c r="K133" s="515"/>
      <c r="L133" s="515"/>
      <c r="M133" s="515"/>
      <c r="N133" s="515"/>
      <c r="O133" s="515"/>
      <c r="P133" s="515"/>
    </row>
    <row r="134" spans="6:16" x14ac:dyDescent="0.2">
      <c r="F134" s="515"/>
      <c r="G134" s="516"/>
      <c r="H134" s="515"/>
      <c r="I134" s="515"/>
      <c r="J134" s="515"/>
      <c r="K134" s="515"/>
      <c r="L134" s="515"/>
      <c r="M134" s="515"/>
      <c r="N134" s="515"/>
      <c r="O134" s="515"/>
      <c r="P134" s="515"/>
    </row>
    <row r="135" spans="6:16" x14ac:dyDescent="0.2">
      <c r="F135" s="515"/>
      <c r="G135" s="516"/>
      <c r="H135" s="515"/>
      <c r="I135" s="515"/>
      <c r="J135" s="515"/>
      <c r="K135" s="515"/>
      <c r="L135" s="515"/>
      <c r="M135" s="515"/>
      <c r="N135" s="515"/>
      <c r="O135" s="515"/>
      <c r="P135" s="515"/>
    </row>
    <row r="136" spans="6:16" x14ac:dyDescent="0.2">
      <c r="F136" s="515"/>
      <c r="G136" s="516"/>
      <c r="H136" s="515"/>
      <c r="I136" s="515"/>
      <c r="J136" s="515"/>
      <c r="K136" s="515"/>
      <c r="L136" s="515"/>
      <c r="M136" s="515"/>
      <c r="N136" s="515"/>
      <c r="O136" s="515"/>
      <c r="P136" s="515"/>
    </row>
    <row r="137" spans="6:16" x14ac:dyDescent="0.2">
      <c r="F137" s="515"/>
      <c r="G137" s="516"/>
      <c r="H137" s="515"/>
      <c r="I137" s="515"/>
      <c r="J137" s="515"/>
      <c r="K137" s="515"/>
      <c r="L137" s="515"/>
      <c r="M137" s="515"/>
      <c r="N137" s="515"/>
      <c r="O137" s="515"/>
      <c r="P137" s="515"/>
    </row>
    <row r="138" spans="6:16" x14ac:dyDescent="0.2">
      <c r="F138" s="515"/>
      <c r="G138" s="516"/>
      <c r="H138" s="515"/>
      <c r="I138" s="515"/>
      <c r="J138" s="515"/>
      <c r="K138" s="515"/>
      <c r="L138" s="515"/>
      <c r="M138" s="515"/>
      <c r="N138" s="515"/>
      <c r="O138" s="515"/>
      <c r="P138" s="515"/>
    </row>
    <row r="139" spans="6:16" x14ac:dyDescent="0.2">
      <c r="F139" s="515"/>
      <c r="G139" s="516"/>
      <c r="H139" s="515"/>
      <c r="I139" s="515"/>
      <c r="J139" s="515"/>
      <c r="K139" s="515"/>
      <c r="L139" s="515"/>
      <c r="M139" s="515"/>
      <c r="N139" s="515"/>
      <c r="O139" s="515"/>
      <c r="P139" s="515"/>
    </row>
    <row r="140" spans="6:16" x14ac:dyDescent="0.2">
      <c r="F140" s="515"/>
      <c r="G140" s="516"/>
      <c r="H140" s="515"/>
      <c r="I140" s="515"/>
      <c r="J140" s="515"/>
      <c r="K140" s="515"/>
      <c r="L140" s="515"/>
      <c r="M140" s="515"/>
      <c r="N140" s="515"/>
      <c r="O140" s="515"/>
      <c r="P140" s="515"/>
    </row>
    <row r="141" spans="6:16" x14ac:dyDescent="0.2">
      <c r="F141" s="515"/>
      <c r="G141" s="516"/>
      <c r="H141" s="515"/>
      <c r="I141" s="515"/>
      <c r="J141" s="515"/>
      <c r="K141" s="515"/>
      <c r="L141" s="515"/>
      <c r="M141" s="515"/>
      <c r="N141" s="515"/>
      <c r="O141" s="515"/>
      <c r="P141" s="515"/>
    </row>
    <row r="142" spans="6:16" x14ac:dyDescent="0.2">
      <c r="F142" s="515"/>
      <c r="G142" s="516"/>
      <c r="H142" s="515"/>
      <c r="I142" s="515"/>
      <c r="J142" s="515"/>
      <c r="K142" s="515"/>
      <c r="L142" s="515"/>
      <c r="M142" s="515"/>
      <c r="N142" s="515"/>
      <c r="O142" s="515"/>
      <c r="P142" s="515"/>
    </row>
    <row r="143" spans="6:16" x14ac:dyDescent="0.2">
      <c r="F143" s="515"/>
      <c r="G143" s="516"/>
      <c r="H143" s="515"/>
      <c r="I143" s="515"/>
      <c r="J143" s="515"/>
      <c r="K143" s="515"/>
      <c r="L143" s="515"/>
      <c r="M143" s="515"/>
      <c r="N143" s="515"/>
      <c r="O143" s="515"/>
      <c r="P143" s="515"/>
    </row>
    <row r="144" spans="6:16" x14ac:dyDescent="0.2">
      <c r="F144" s="515"/>
      <c r="G144" s="516"/>
      <c r="H144" s="515"/>
      <c r="I144" s="515"/>
      <c r="J144" s="515"/>
      <c r="K144" s="515"/>
      <c r="L144" s="515"/>
      <c r="M144" s="515"/>
      <c r="N144" s="515"/>
      <c r="O144" s="515"/>
      <c r="P144" s="515"/>
    </row>
    <row r="145" spans="6:16" x14ac:dyDescent="0.2">
      <c r="F145" s="515"/>
      <c r="G145" s="516"/>
      <c r="H145" s="515"/>
      <c r="I145" s="515"/>
      <c r="J145" s="515"/>
      <c r="K145" s="515"/>
      <c r="L145" s="515"/>
      <c r="M145" s="515"/>
      <c r="N145" s="515"/>
      <c r="O145" s="515"/>
      <c r="P145" s="515"/>
    </row>
    <row r="146" spans="6:16" x14ac:dyDescent="0.2">
      <c r="F146" s="515"/>
      <c r="G146" s="516"/>
      <c r="H146" s="515"/>
      <c r="I146" s="515"/>
      <c r="J146" s="515"/>
      <c r="K146" s="515"/>
      <c r="L146" s="515"/>
      <c r="M146" s="515"/>
      <c r="N146" s="515"/>
      <c r="O146" s="515"/>
      <c r="P146" s="515"/>
    </row>
    <row r="147" spans="6:16" x14ac:dyDescent="0.2">
      <c r="F147" s="515"/>
      <c r="G147" s="516"/>
      <c r="H147" s="515"/>
      <c r="I147" s="515"/>
      <c r="J147" s="515"/>
      <c r="K147" s="515"/>
      <c r="L147" s="515"/>
      <c r="M147" s="515"/>
      <c r="N147" s="515"/>
      <c r="O147" s="515"/>
      <c r="P147" s="515"/>
    </row>
    <row r="148" spans="6:16" x14ac:dyDescent="0.2">
      <c r="F148" s="515"/>
      <c r="G148" s="516"/>
      <c r="H148" s="515"/>
      <c r="I148" s="515"/>
      <c r="J148" s="515"/>
      <c r="K148" s="515"/>
      <c r="L148" s="515"/>
      <c r="M148" s="515"/>
      <c r="N148" s="515"/>
      <c r="O148" s="515"/>
      <c r="P148" s="515"/>
    </row>
    <row r="149" spans="6:16" x14ac:dyDescent="0.2">
      <c r="F149" s="515"/>
      <c r="G149" s="516"/>
      <c r="H149" s="515"/>
      <c r="I149" s="515"/>
      <c r="J149" s="515"/>
      <c r="K149" s="515"/>
      <c r="L149" s="515"/>
      <c r="M149" s="515"/>
      <c r="N149" s="515"/>
      <c r="O149" s="515"/>
      <c r="P149" s="515"/>
    </row>
    <row r="150" spans="6:16" x14ac:dyDescent="0.2">
      <c r="F150" s="515"/>
      <c r="G150" s="516"/>
      <c r="H150" s="515"/>
      <c r="I150" s="515"/>
      <c r="J150" s="515"/>
      <c r="K150" s="515"/>
      <c r="L150" s="515"/>
      <c r="M150" s="515"/>
      <c r="N150" s="515"/>
      <c r="O150" s="515"/>
      <c r="P150" s="515"/>
    </row>
    <row r="151" spans="6:16" x14ac:dyDescent="0.2">
      <c r="F151" s="515"/>
      <c r="G151" s="516"/>
      <c r="H151" s="515"/>
      <c r="I151" s="515"/>
      <c r="J151" s="515"/>
      <c r="K151" s="515"/>
      <c r="L151" s="515"/>
      <c r="M151" s="515"/>
      <c r="N151" s="515"/>
      <c r="O151" s="515"/>
      <c r="P151" s="515"/>
    </row>
    <row r="152" spans="6:16" x14ac:dyDescent="0.2">
      <c r="F152" s="515"/>
      <c r="G152" s="516"/>
      <c r="H152" s="515"/>
      <c r="I152" s="515"/>
      <c r="J152" s="515"/>
      <c r="K152" s="515"/>
      <c r="L152" s="515"/>
      <c r="M152" s="515"/>
      <c r="N152" s="515"/>
      <c r="O152" s="515"/>
      <c r="P152" s="515"/>
    </row>
    <row r="153" spans="6:16" x14ac:dyDescent="0.2">
      <c r="F153" s="515"/>
      <c r="G153" s="516"/>
      <c r="H153" s="515"/>
      <c r="I153" s="515"/>
      <c r="J153" s="515"/>
      <c r="K153" s="515"/>
      <c r="L153" s="515"/>
      <c r="M153" s="515"/>
      <c r="N153" s="515"/>
      <c r="O153" s="515"/>
      <c r="P153" s="515"/>
    </row>
    <row r="154" spans="6:16" x14ac:dyDescent="0.2">
      <c r="F154" s="515"/>
      <c r="G154" s="516"/>
      <c r="H154" s="515"/>
      <c r="I154" s="515"/>
      <c r="J154" s="515"/>
      <c r="K154" s="515"/>
      <c r="L154" s="515"/>
      <c r="M154" s="515"/>
      <c r="N154" s="515"/>
      <c r="O154" s="515"/>
      <c r="P154" s="515"/>
    </row>
    <row r="155" spans="6:16" x14ac:dyDescent="0.2">
      <c r="F155" s="515"/>
      <c r="G155" s="516"/>
      <c r="H155" s="515"/>
      <c r="I155" s="515"/>
      <c r="J155" s="515"/>
      <c r="K155" s="515"/>
      <c r="L155" s="515"/>
      <c r="M155" s="515"/>
      <c r="N155" s="515"/>
      <c r="O155" s="515"/>
      <c r="P155" s="515"/>
    </row>
    <row r="156" spans="6:16" x14ac:dyDescent="0.2">
      <c r="F156" s="515"/>
      <c r="G156" s="516"/>
      <c r="H156" s="515"/>
      <c r="I156" s="515"/>
      <c r="J156" s="515"/>
      <c r="K156" s="515"/>
      <c r="L156" s="515"/>
      <c r="M156" s="515"/>
      <c r="N156" s="515"/>
      <c r="O156" s="515"/>
      <c r="P156" s="515"/>
    </row>
    <row r="157" spans="6:16" x14ac:dyDescent="0.2">
      <c r="F157" s="515"/>
      <c r="G157" s="516"/>
      <c r="H157" s="515"/>
      <c r="I157" s="515"/>
      <c r="J157" s="515"/>
      <c r="K157" s="515"/>
      <c r="L157" s="515"/>
      <c r="M157" s="515"/>
      <c r="N157" s="515"/>
      <c r="O157" s="515"/>
      <c r="P157" s="515"/>
    </row>
    <row r="158" spans="6:16" x14ac:dyDescent="0.2">
      <c r="F158" s="515"/>
      <c r="G158" s="516"/>
      <c r="H158" s="515"/>
      <c r="I158" s="515"/>
      <c r="J158" s="515"/>
      <c r="K158" s="515"/>
      <c r="L158" s="515"/>
      <c r="M158" s="515"/>
      <c r="N158" s="515"/>
      <c r="O158" s="515"/>
      <c r="P158" s="515"/>
    </row>
    <row r="159" spans="6:16" x14ac:dyDescent="0.2">
      <c r="F159" s="515"/>
      <c r="G159" s="516"/>
      <c r="H159" s="515"/>
      <c r="I159" s="515"/>
      <c r="J159" s="515"/>
      <c r="K159" s="515"/>
      <c r="L159" s="515"/>
      <c r="M159" s="515"/>
      <c r="N159" s="515"/>
      <c r="O159" s="515"/>
      <c r="P159" s="515"/>
    </row>
    <row r="160" spans="6:16" x14ac:dyDescent="0.2">
      <c r="F160" s="515"/>
      <c r="G160" s="516"/>
      <c r="H160" s="515"/>
      <c r="I160" s="515"/>
      <c r="J160" s="515"/>
      <c r="K160" s="515"/>
      <c r="L160" s="515"/>
      <c r="M160" s="515"/>
      <c r="N160" s="515"/>
      <c r="O160" s="515"/>
      <c r="P160" s="515"/>
    </row>
    <row r="161" spans="6:16" x14ac:dyDescent="0.2">
      <c r="F161" s="515"/>
      <c r="G161" s="516"/>
      <c r="H161" s="515"/>
      <c r="I161" s="515"/>
      <c r="J161" s="515"/>
      <c r="K161" s="515"/>
      <c r="L161" s="515"/>
      <c r="M161" s="515"/>
      <c r="N161" s="515"/>
      <c r="O161" s="515"/>
      <c r="P161" s="515"/>
    </row>
    <row r="162" spans="6:16" x14ac:dyDescent="0.2">
      <c r="F162" s="515"/>
      <c r="G162" s="516"/>
      <c r="H162" s="515"/>
      <c r="I162" s="515"/>
      <c r="J162" s="515"/>
      <c r="K162" s="515"/>
      <c r="L162" s="515"/>
      <c r="M162" s="515"/>
      <c r="N162" s="515"/>
      <c r="O162" s="515"/>
      <c r="P162" s="515"/>
    </row>
    <row r="163" spans="6:16" x14ac:dyDescent="0.2">
      <c r="F163" s="515"/>
      <c r="G163" s="516"/>
      <c r="H163" s="515"/>
      <c r="I163" s="515"/>
      <c r="J163" s="515"/>
      <c r="K163" s="515"/>
      <c r="L163" s="515"/>
      <c r="M163" s="515"/>
      <c r="N163" s="515"/>
      <c r="O163" s="515"/>
      <c r="P163" s="515"/>
    </row>
    <row r="164" spans="6:16" x14ac:dyDescent="0.2">
      <c r="F164" s="515"/>
      <c r="G164" s="516"/>
      <c r="H164" s="515"/>
      <c r="I164" s="515"/>
      <c r="J164" s="515"/>
      <c r="K164" s="515"/>
      <c r="L164" s="515"/>
      <c r="M164" s="515"/>
      <c r="N164" s="515"/>
      <c r="O164" s="515"/>
      <c r="P164" s="515"/>
    </row>
    <row r="165" spans="6:16" x14ac:dyDescent="0.2">
      <c r="F165" s="515"/>
      <c r="G165" s="516"/>
      <c r="H165" s="515"/>
      <c r="I165" s="515"/>
      <c r="J165" s="515"/>
      <c r="K165" s="515"/>
      <c r="L165" s="515"/>
      <c r="M165" s="515"/>
      <c r="N165" s="515"/>
      <c r="O165" s="515"/>
      <c r="P165" s="515"/>
    </row>
    <row r="166" spans="6:16" x14ac:dyDescent="0.2">
      <c r="F166" s="515"/>
      <c r="G166" s="516"/>
      <c r="H166" s="515"/>
      <c r="I166" s="515"/>
      <c r="J166" s="515"/>
      <c r="K166" s="515"/>
      <c r="L166" s="515"/>
      <c r="M166" s="515"/>
      <c r="N166" s="515"/>
      <c r="O166" s="515"/>
      <c r="P166" s="515"/>
    </row>
    <row r="167" spans="6:16" x14ac:dyDescent="0.2">
      <c r="F167" s="515"/>
      <c r="G167" s="516"/>
      <c r="H167" s="515"/>
      <c r="I167" s="515"/>
      <c r="J167" s="515"/>
      <c r="K167" s="515"/>
      <c r="L167" s="515"/>
      <c r="M167" s="515"/>
      <c r="N167" s="515"/>
      <c r="O167" s="515"/>
      <c r="P167" s="515"/>
    </row>
    <row r="168" spans="6:16" x14ac:dyDescent="0.2">
      <c r="F168" s="515"/>
      <c r="G168" s="516"/>
      <c r="H168" s="515"/>
      <c r="I168" s="515"/>
      <c r="J168" s="515"/>
      <c r="K168" s="515"/>
      <c r="L168" s="515"/>
      <c r="M168" s="515"/>
      <c r="N168" s="515"/>
      <c r="O168" s="515"/>
      <c r="P168" s="515"/>
    </row>
    <row r="169" spans="6:16" x14ac:dyDescent="0.2">
      <c r="F169" s="515"/>
      <c r="G169" s="516"/>
      <c r="H169" s="515"/>
      <c r="I169" s="515"/>
      <c r="J169" s="515"/>
      <c r="K169" s="515"/>
      <c r="L169" s="515"/>
      <c r="M169" s="515"/>
      <c r="N169" s="515"/>
      <c r="O169" s="515"/>
      <c r="P169" s="515"/>
    </row>
    <row r="170" spans="6:16" x14ac:dyDescent="0.2">
      <c r="F170" s="515"/>
      <c r="G170" s="516"/>
      <c r="H170" s="515"/>
      <c r="I170" s="515"/>
      <c r="J170" s="515"/>
      <c r="K170" s="515"/>
      <c r="L170" s="515"/>
      <c r="M170" s="515"/>
      <c r="N170" s="515"/>
      <c r="O170" s="515"/>
      <c r="P170" s="515"/>
    </row>
    <row r="171" spans="6:16" x14ac:dyDescent="0.2">
      <c r="F171" s="515"/>
      <c r="G171" s="516"/>
      <c r="H171" s="515"/>
      <c r="I171" s="515"/>
      <c r="J171" s="515"/>
      <c r="K171" s="515"/>
      <c r="L171" s="515"/>
      <c r="M171" s="515"/>
      <c r="N171" s="515"/>
      <c r="O171" s="515"/>
      <c r="P171" s="515"/>
    </row>
    <row r="172" spans="6:16" x14ac:dyDescent="0.2">
      <c r="F172" s="515"/>
      <c r="G172" s="516"/>
      <c r="H172" s="515"/>
      <c r="I172" s="515"/>
      <c r="J172" s="515"/>
      <c r="K172" s="515"/>
      <c r="L172" s="515"/>
      <c r="M172" s="515"/>
      <c r="N172" s="515"/>
      <c r="O172" s="515"/>
      <c r="P172" s="515"/>
    </row>
    <row r="173" spans="6:16" x14ac:dyDescent="0.2">
      <c r="F173" s="515"/>
      <c r="G173" s="516"/>
      <c r="H173" s="515"/>
      <c r="I173" s="515"/>
      <c r="J173" s="515"/>
      <c r="K173" s="515"/>
      <c r="L173" s="515"/>
      <c r="M173" s="515"/>
      <c r="N173" s="515"/>
      <c r="O173" s="515"/>
      <c r="P173" s="515"/>
    </row>
    <row r="174" spans="6:16" x14ac:dyDescent="0.2">
      <c r="F174" s="515"/>
      <c r="G174" s="516"/>
      <c r="H174" s="515"/>
      <c r="I174" s="515"/>
      <c r="J174" s="515"/>
      <c r="K174" s="515"/>
      <c r="L174" s="515"/>
      <c r="M174" s="515"/>
      <c r="N174" s="515"/>
      <c r="O174" s="515"/>
      <c r="P174" s="515"/>
    </row>
    <row r="175" spans="6:16" x14ac:dyDescent="0.2">
      <c r="F175" s="515"/>
      <c r="G175" s="516"/>
      <c r="H175" s="515"/>
      <c r="I175" s="515"/>
      <c r="J175" s="515"/>
      <c r="K175" s="515"/>
      <c r="L175" s="515"/>
      <c r="M175" s="515"/>
      <c r="N175" s="515"/>
      <c r="O175" s="515"/>
      <c r="P175" s="515"/>
    </row>
    <row r="176" spans="6:16" x14ac:dyDescent="0.2">
      <c r="F176" s="515"/>
      <c r="G176" s="516"/>
      <c r="H176" s="515"/>
      <c r="I176" s="515"/>
      <c r="J176" s="515"/>
      <c r="K176" s="515"/>
      <c r="L176" s="515"/>
      <c r="M176" s="515"/>
      <c r="N176" s="515"/>
      <c r="O176" s="515"/>
      <c r="P176" s="515"/>
    </row>
    <row r="177" spans="6:16" x14ac:dyDescent="0.2">
      <c r="F177" s="515"/>
      <c r="G177" s="516"/>
      <c r="H177" s="515"/>
      <c r="I177" s="515"/>
      <c r="J177" s="515"/>
      <c r="K177" s="515"/>
      <c r="L177" s="515"/>
      <c r="M177" s="515"/>
      <c r="N177" s="515"/>
      <c r="O177" s="515"/>
      <c r="P177" s="515"/>
    </row>
    <row r="178" spans="6:16" x14ac:dyDescent="0.2">
      <c r="F178" s="515"/>
      <c r="G178" s="516"/>
      <c r="H178" s="515"/>
      <c r="I178" s="515"/>
      <c r="J178" s="515"/>
      <c r="K178" s="515"/>
      <c r="L178" s="515"/>
      <c r="M178" s="515"/>
      <c r="N178" s="515"/>
      <c r="O178" s="515"/>
      <c r="P178" s="515"/>
    </row>
    <row r="179" spans="6:16" x14ac:dyDescent="0.2">
      <c r="F179" s="515"/>
      <c r="G179" s="516"/>
      <c r="H179" s="515"/>
      <c r="I179" s="515"/>
      <c r="J179" s="515"/>
      <c r="K179" s="515"/>
      <c r="L179" s="515"/>
      <c r="M179" s="515"/>
      <c r="N179" s="515"/>
      <c r="O179" s="515"/>
      <c r="P179" s="515"/>
    </row>
    <row r="180" spans="6:16" x14ac:dyDescent="0.2">
      <c r="F180" s="515"/>
      <c r="G180" s="516"/>
      <c r="H180" s="515"/>
      <c r="I180" s="515"/>
      <c r="J180" s="515"/>
      <c r="K180" s="515"/>
      <c r="L180" s="515"/>
      <c r="M180" s="515"/>
      <c r="N180" s="515"/>
      <c r="O180" s="515"/>
      <c r="P180" s="515"/>
    </row>
    <row r="181" spans="6:16" x14ac:dyDescent="0.2">
      <c r="F181" s="515"/>
      <c r="G181" s="516"/>
      <c r="H181" s="515"/>
      <c r="I181" s="515"/>
      <c r="J181" s="515"/>
      <c r="K181" s="515"/>
      <c r="L181" s="515"/>
      <c r="M181" s="515"/>
      <c r="N181" s="515"/>
      <c r="O181" s="515"/>
      <c r="P181" s="515"/>
    </row>
    <row r="182" spans="6:16" x14ac:dyDescent="0.2">
      <c r="F182" s="515"/>
      <c r="G182" s="516"/>
      <c r="H182" s="515"/>
      <c r="I182" s="515"/>
      <c r="J182" s="515"/>
      <c r="K182" s="515"/>
      <c r="L182" s="515"/>
      <c r="M182" s="515"/>
      <c r="N182" s="515"/>
      <c r="O182" s="515"/>
      <c r="P182" s="515"/>
    </row>
    <row r="183" spans="6:16" x14ac:dyDescent="0.2">
      <c r="F183" s="515"/>
      <c r="G183" s="516"/>
      <c r="H183" s="515"/>
      <c r="I183" s="515"/>
      <c r="J183" s="515"/>
      <c r="K183" s="515"/>
      <c r="L183" s="515"/>
      <c r="M183" s="515"/>
      <c r="N183" s="515"/>
      <c r="O183" s="515"/>
      <c r="P183" s="515"/>
    </row>
    <row r="184" spans="6:16" x14ac:dyDescent="0.2">
      <c r="F184" s="515"/>
      <c r="G184" s="516"/>
      <c r="H184" s="515"/>
      <c r="I184" s="515"/>
      <c r="J184" s="515"/>
      <c r="K184" s="515"/>
      <c r="L184" s="515"/>
      <c r="M184" s="515"/>
      <c r="N184" s="515"/>
      <c r="O184" s="515"/>
      <c r="P184" s="515"/>
    </row>
    <row r="185" spans="6:16" x14ac:dyDescent="0.2">
      <c r="F185" s="515"/>
      <c r="G185" s="516"/>
      <c r="H185" s="515"/>
      <c r="I185" s="515"/>
      <c r="J185" s="515"/>
      <c r="K185" s="515"/>
      <c r="L185" s="515"/>
      <c r="M185" s="515"/>
      <c r="N185" s="515"/>
      <c r="O185" s="515"/>
      <c r="P185" s="515"/>
    </row>
    <row r="186" spans="6:16" x14ac:dyDescent="0.2">
      <c r="F186" s="515"/>
      <c r="G186" s="516"/>
      <c r="H186" s="515"/>
      <c r="I186" s="515"/>
      <c r="J186" s="515"/>
      <c r="K186" s="515"/>
      <c r="L186" s="515"/>
      <c r="M186" s="515"/>
      <c r="N186" s="515"/>
      <c r="O186" s="515"/>
      <c r="P186" s="515"/>
    </row>
    <row r="187" spans="6:16" x14ac:dyDescent="0.2">
      <c r="F187" s="515"/>
      <c r="G187" s="516"/>
      <c r="H187" s="515"/>
      <c r="I187" s="515"/>
      <c r="J187" s="515"/>
      <c r="K187" s="515"/>
      <c r="L187" s="515"/>
      <c r="M187" s="515"/>
      <c r="N187" s="515"/>
      <c r="O187" s="515"/>
      <c r="P187" s="515"/>
    </row>
    <row r="188" spans="6:16" x14ac:dyDescent="0.2">
      <c r="F188" s="515"/>
      <c r="G188" s="516"/>
      <c r="H188" s="515"/>
      <c r="I188" s="515"/>
      <c r="J188" s="515"/>
      <c r="K188" s="515"/>
      <c r="L188" s="515"/>
      <c r="M188" s="515"/>
      <c r="N188" s="515"/>
      <c r="O188" s="515"/>
      <c r="P188" s="515"/>
    </row>
    <row r="189" spans="6:16" x14ac:dyDescent="0.2">
      <c r="F189" s="515"/>
      <c r="G189" s="516"/>
      <c r="H189" s="515"/>
      <c r="I189" s="515"/>
      <c r="J189" s="515"/>
      <c r="K189" s="515"/>
      <c r="L189" s="515"/>
      <c r="M189" s="515"/>
      <c r="N189" s="515"/>
      <c r="O189" s="515"/>
      <c r="P189" s="515"/>
    </row>
    <row r="190" spans="6:16" x14ac:dyDescent="0.2">
      <c r="F190" s="515"/>
      <c r="G190" s="516"/>
      <c r="H190" s="515"/>
      <c r="I190" s="515"/>
      <c r="J190" s="515"/>
      <c r="K190" s="515"/>
      <c r="L190" s="515"/>
      <c r="M190" s="515"/>
      <c r="N190" s="515"/>
      <c r="O190" s="515"/>
      <c r="P190" s="515"/>
    </row>
    <row r="191" spans="6:16" x14ac:dyDescent="0.2">
      <c r="F191" s="515"/>
      <c r="G191" s="516"/>
      <c r="H191" s="515"/>
      <c r="I191" s="515"/>
      <c r="J191" s="515"/>
      <c r="K191" s="515"/>
      <c r="L191" s="515"/>
      <c r="M191" s="515"/>
      <c r="N191" s="515"/>
      <c r="O191" s="515"/>
      <c r="P191" s="515"/>
    </row>
    <row r="192" spans="6:16" x14ac:dyDescent="0.2">
      <c r="F192" s="515"/>
      <c r="G192" s="516"/>
      <c r="H192" s="515"/>
      <c r="I192" s="515"/>
      <c r="J192" s="515"/>
      <c r="K192" s="515"/>
      <c r="L192" s="515"/>
      <c r="M192" s="515"/>
      <c r="N192" s="515"/>
      <c r="O192" s="515"/>
      <c r="P192" s="515"/>
    </row>
    <row r="193" spans="6:16" x14ac:dyDescent="0.2">
      <c r="F193" s="515"/>
      <c r="G193" s="516"/>
      <c r="H193" s="515"/>
      <c r="I193" s="515"/>
      <c r="J193" s="515"/>
      <c r="K193" s="515"/>
      <c r="L193" s="515"/>
      <c r="M193" s="515"/>
      <c r="N193" s="515"/>
      <c r="O193" s="515"/>
      <c r="P193" s="515"/>
    </row>
    <row r="194" spans="6:16" x14ac:dyDescent="0.2">
      <c r="F194" s="515"/>
      <c r="G194" s="516"/>
      <c r="H194" s="515"/>
      <c r="I194" s="515"/>
      <c r="J194" s="515"/>
      <c r="K194" s="515"/>
      <c r="L194" s="515"/>
      <c r="M194" s="515"/>
      <c r="N194" s="515"/>
      <c r="O194" s="515"/>
      <c r="P194" s="515"/>
    </row>
    <row r="195" spans="6:16" x14ac:dyDescent="0.2">
      <c r="F195" s="515"/>
      <c r="G195" s="516"/>
      <c r="H195" s="515"/>
      <c r="I195" s="515"/>
      <c r="J195" s="515"/>
      <c r="K195" s="515"/>
      <c r="L195" s="515"/>
      <c r="M195" s="515"/>
      <c r="N195" s="515"/>
      <c r="O195" s="515"/>
      <c r="P195" s="515"/>
    </row>
    <row r="196" spans="6:16" x14ac:dyDescent="0.2">
      <c r="F196" s="515"/>
      <c r="G196" s="516"/>
      <c r="H196" s="515"/>
      <c r="I196" s="515"/>
      <c r="J196" s="515"/>
      <c r="K196" s="515"/>
      <c r="L196" s="515"/>
      <c r="M196" s="515"/>
      <c r="N196" s="515"/>
      <c r="O196" s="515"/>
      <c r="P196" s="515"/>
    </row>
    <row r="197" spans="6:16" x14ac:dyDescent="0.2">
      <c r="F197" s="515"/>
      <c r="G197" s="516"/>
      <c r="H197" s="515"/>
      <c r="I197" s="515"/>
      <c r="J197" s="515"/>
      <c r="K197" s="515"/>
      <c r="L197" s="515"/>
      <c r="M197" s="515"/>
      <c r="N197" s="515"/>
      <c r="O197" s="515"/>
      <c r="P197" s="515"/>
    </row>
    <row r="198" spans="6:16" x14ac:dyDescent="0.2">
      <c r="F198" s="515"/>
      <c r="G198" s="516"/>
      <c r="H198" s="515"/>
      <c r="I198" s="515"/>
      <c r="J198" s="515"/>
      <c r="K198" s="515"/>
      <c r="L198" s="515"/>
      <c r="M198" s="515"/>
      <c r="N198" s="515"/>
      <c r="O198" s="515"/>
      <c r="P198" s="515"/>
    </row>
    <row r="199" spans="6:16" x14ac:dyDescent="0.2">
      <c r="F199" s="515"/>
      <c r="G199" s="516"/>
      <c r="H199" s="515"/>
      <c r="I199" s="515"/>
      <c r="J199" s="515"/>
      <c r="K199" s="515"/>
      <c r="L199" s="515"/>
      <c r="M199" s="515"/>
      <c r="N199" s="515"/>
      <c r="O199" s="515"/>
      <c r="P199" s="515"/>
    </row>
    <row r="200" spans="6:16" x14ac:dyDescent="0.2">
      <c r="F200" s="515"/>
      <c r="G200" s="516"/>
      <c r="H200" s="515"/>
      <c r="I200" s="515"/>
      <c r="J200" s="515"/>
      <c r="K200" s="515"/>
      <c r="L200" s="515"/>
      <c r="M200" s="515"/>
      <c r="N200" s="515"/>
      <c r="O200" s="515"/>
      <c r="P200" s="515"/>
    </row>
    <row r="201" spans="6:16" x14ac:dyDescent="0.2">
      <c r="F201" s="515"/>
      <c r="G201" s="516"/>
      <c r="H201" s="515"/>
      <c r="I201" s="515"/>
      <c r="J201" s="515"/>
      <c r="K201" s="515"/>
      <c r="L201" s="515"/>
      <c r="M201" s="515"/>
      <c r="N201" s="515"/>
      <c r="O201" s="515"/>
      <c r="P201" s="515"/>
    </row>
    <row r="202" spans="6:16" x14ac:dyDescent="0.2">
      <c r="F202" s="515"/>
      <c r="G202" s="516"/>
      <c r="H202" s="515"/>
      <c r="I202" s="515"/>
      <c r="J202" s="515"/>
      <c r="K202" s="515"/>
      <c r="L202" s="515"/>
      <c r="M202" s="515"/>
      <c r="N202" s="515"/>
      <c r="O202" s="515"/>
      <c r="P202" s="515"/>
    </row>
    <row r="203" spans="6:16" x14ac:dyDescent="0.2">
      <c r="F203" s="515"/>
      <c r="G203" s="516"/>
      <c r="H203" s="515"/>
      <c r="I203" s="515"/>
      <c r="J203" s="515"/>
      <c r="K203" s="515"/>
      <c r="L203" s="515"/>
      <c r="M203" s="515"/>
      <c r="N203" s="515"/>
      <c r="O203" s="515"/>
      <c r="P203" s="515"/>
    </row>
    <row r="204" spans="6:16" x14ac:dyDescent="0.2">
      <c r="F204" s="515"/>
      <c r="G204" s="516"/>
      <c r="H204" s="515"/>
      <c r="I204" s="515"/>
      <c r="J204" s="515"/>
      <c r="K204" s="515"/>
      <c r="L204" s="515"/>
      <c r="M204" s="515"/>
      <c r="N204" s="515"/>
      <c r="O204" s="515"/>
      <c r="P204" s="515"/>
    </row>
    <row r="205" spans="6:16" x14ac:dyDescent="0.2">
      <c r="F205" s="515"/>
      <c r="G205" s="516"/>
      <c r="H205" s="515"/>
      <c r="I205" s="515"/>
      <c r="J205" s="515"/>
      <c r="K205" s="515"/>
      <c r="L205" s="515"/>
      <c r="M205" s="515"/>
      <c r="N205" s="515"/>
      <c r="O205" s="515"/>
      <c r="P205" s="515"/>
    </row>
    <row r="206" spans="6:16" x14ac:dyDescent="0.2">
      <c r="F206" s="515"/>
      <c r="G206" s="516"/>
      <c r="H206" s="515"/>
      <c r="I206" s="515"/>
      <c r="J206" s="515"/>
      <c r="K206" s="515"/>
      <c r="L206" s="515"/>
      <c r="M206" s="515"/>
      <c r="N206" s="515"/>
      <c r="O206" s="515"/>
      <c r="P206" s="515"/>
    </row>
    <row r="207" spans="6:16" x14ac:dyDescent="0.2">
      <c r="F207" s="515"/>
      <c r="G207" s="516"/>
      <c r="H207" s="515"/>
      <c r="I207" s="515"/>
      <c r="J207" s="515"/>
      <c r="K207" s="515"/>
      <c r="L207" s="515"/>
      <c r="M207" s="515"/>
      <c r="N207" s="515"/>
      <c r="O207" s="515"/>
      <c r="P207" s="515"/>
    </row>
    <row r="208" spans="6:16" x14ac:dyDescent="0.2">
      <c r="F208" s="515"/>
      <c r="G208" s="516"/>
      <c r="H208" s="515"/>
      <c r="I208" s="515"/>
      <c r="J208" s="515"/>
      <c r="K208" s="515"/>
      <c r="L208" s="515"/>
      <c r="M208" s="515"/>
      <c r="N208" s="515"/>
      <c r="O208" s="515"/>
      <c r="P208" s="515"/>
    </row>
    <row r="209" spans="6:16" x14ac:dyDescent="0.2">
      <c r="F209" s="515"/>
      <c r="G209" s="516"/>
      <c r="H209" s="515"/>
      <c r="I209" s="515"/>
      <c r="J209" s="515"/>
      <c r="K209" s="515"/>
      <c r="L209" s="515"/>
      <c r="M209" s="515"/>
      <c r="N209" s="515"/>
      <c r="O209" s="515"/>
      <c r="P209" s="515"/>
    </row>
    <row r="210" spans="6:16" x14ac:dyDescent="0.2">
      <c r="F210" s="515"/>
      <c r="G210" s="516"/>
      <c r="H210" s="515"/>
      <c r="I210" s="515"/>
      <c r="J210" s="515"/>
      <c r="K210" s="515"/>
      <c r="L210" s="515"/>
      <c r="M210" s="515"/>
      <c r="N210" s="515"/>
      <c r="O210" s="515"/>
      <c r="P210" s="515"/>
    </row>
    <row r="211" spans="6:16" x14ac:dyDescent="0.2">
      <c r="F211" s="515"/>
      <c r="G211" s="516"/>
      <c r="H211" s="515"/>
      <c r="I211" s="515"/>
      <c r="J211" s="515"/>
      <c r="K211" s="515"/>
      <c r="L211" s="515"/>
      <c r="M211" s="515"/>
      <c r="N211" s="515"/>
      <c r="O211" s="515"/>
      <c r="P211" s="515"/>
    </row>
    <row r="212" spans="6:16" x14ac:dyDescent="0.2">
      <c r="F212" s="515"/>
      <c r="G212" s="516"/>
      <c r="H212" s="515"/>
      <c r="I212" s="515"/>
      <c r="J212" s="515"/>
      <c r="K212" s="515"/>
      <c r="L212" s="515"/>
      <c r="M212" s="515"/>
      <c r="N212" s="515"/>
      <c r="O212" s="515"/>
      <c r="P212" s="515"/>
    </row>
    <row r="213" spans="6:16" x14ac:dyDescent="0.2">
      <c r="F213" s="515"/>
      <c r="G213" s="516"/>
      <c r="H213" s="515"/>
      <c r="I213" s="515"/>
      <c r="J213" s="515"/>
      <c r="K213" s="515"/>
      <c r="L213" s="515"/>
      <c r="M213" s="515"/>
      <c r="N213" s="515"/>
      <c r="O213" s="515"/>
      <c r="P213" s="515"/>
    </row>
    <row r="214" spans="6:16" x14ac:dyDescent="0.2">
      <c r="F214" s="515"/>
      <c r="G214" s="516"/>
      <c r="H214" s="515"/>
      <c r="I214" s="515"/>
      <c r="J214" s="515"/>
      <c r="K214" s="515"/>
      <c r="L214" s="515"/>
      <c r="M214" s="515"/>
      <c r="N214" s="515"/>
      <c r="O214" s="515"/>
      <c r="P214" s="515"/>
    </row>
    <row r="215" spans="6:16" x14ac:dyDescent="0.2">
      <c r="F215" s="515"/>
      <c r="G215" s="516"/>
      <c r="H215" s="515"/>
      <c r="I215" s="515"/>
      <c r="J215" s="515"/>
      <c r="K215" s="515"/>
      <c r="L215" s="515"/>
      <c r="M215" s="515"/>
      <c r="N215" s="515"/>
      <c r="O215" s="515"/>
      <c r="P215" s="515"/>
    </row>
    <row r="216" spans="6:16" x14ac:dyDescent="0.2">
      <c r="F216" s="515"/>
      <c r="G216" s="516"/>
      <c r="H216" s="515"/>
      <c r="I216" s="515"/>
      <c r="J216" s="515"/>
      <c r="K216" s="515"/>
      <c r="L216" s="515"/>
      <c r="M216" s="515"/>
      <c r="N216" s="515"/>
      <c r="O216" s="515"/>
      <c r="P216" s="515"/>
    </row>
    <row r="217" spans="6:16" x14ac:dyDescent="0.2">
      <c r="F217" s="515"/>
      <c r="G217" s="516"/>
      <c r="H217" s="515"/>
      <c r="I217" s="515"/>
      <c r="J217" s="515"/>
      <c r="K217" s="515"/>
      <c r="L217" s="515"/>
      <c r="M217" s="515"/>
      <c r="N217" s="515"/>
      <c r="O217" s="515"/>
      <c r="P217" s="515"/>
    </row>
    <row r="218" spans="6:16" x14ac:dyDescent="0.2">
      <c r="F218" s="515"/>
      <c r="G218" s="516"/>
      <c r="H218" s="515"/>
      <c r="I218" s="515"/>
      <c r="J218" s="515"/>
      <c r="K218" s="515"/>
      <c r="L218" s="515"/>
      <c r="M218" s="515"/>
      <c r="N218" s="515"/>
      <c r="O218" s="515"/>
      <c r="P218" s="515"/>
    </row>
    <row r="219" spans="6:16" x14ac:dyDescent="0.2">
      <c r="F219" s="515"/>
      <c r="G219" s="516"/>
      <c r="H219" s="515"/>
      <c r="I219" s="515"/>
      <c r="J219" s="515"/>
      <c r="K219" s="515"/>
      <c r="L219" s="515"/>
      <c r="M219" s="515"/>
      <c r="N219" s="515"/>
      <c r="O219" s="515"/>
      <c r="P219" s="515"/>
    </row>
    <row r="220" spans="6:16" x14ac:dyDescent="0.2">
      <c r="F220" s="515"/>
      <c r="G220" s="516"/>
      <c r="H220" s="515"/>
      <c r="I220" s="515"/>
      <c r="J220" s="515"/>
      <c r="K220" s="515"/>
      <c r="L220" s="515"/>
      <c r="M220" s="515"/>
      <c r="N220" s="515"/>
      <c r="O220" s="515"/>
      <c r="P220" s="515"/>
    </row>
    <row r="221" spans="6:16" x14ac:dyDescent="0.2">
      <c r="F221" s="515"/>
      <c r="G221" s="516"/>
      <c r="H221" s="515"/>
      <c r="I221" s="515"/>
      <c r="J221" s="515"/>
      <c r="K221" s="515"/>
      <c r="L221" s="515"/>
      <c r="M221" s="515"/>
      <c r="N221" s="515"/>
      <c r="O221" s="515"/>
      <c r="P221" s="515"/>
    </row>
    <row r="222" spans="6:16" x14ac:dyDescent="0.2">
      <c r="F222" s="515"/>
      <c r="G222" s="516"/>
      <c r="H222" s="515"/>
      <c r="I222" s="515"/>
      <c r="J222" s="515"/>
      <c r="K222" s="515"/>
      <c r="L222" s="515"/>
      <c r="M222" s="515"/>
      <c r="N222" s="515"/>
      <c r="O222" s="515"/>
      <c r="P222" s="515"/>
    </row>
    <row r="223" spans="6:16" x14ac:dyDescent="0.2">
      <c r="F223" s="515"/>
      <c r="G223" s="516"/>
      <c r="H223" s="515"/>
      <c r="I223" s="515"/>
      <c r="J223" s="515"/>
      <c r="K223" s="515"/>
      <c r="L223" s="515"/>
      <c r="M223" s="515"/>
      <c r="N223" s="515"/>
      <c r="O223" s="515"/>
      <c r="P223" s="515"/>
    </row>
    <row r="224" spans="6:16" x14ac:dyDescent="0.2">
      <c r="F224" s="515"/>
      <c r="G224" s="516"/>
      <c r="H224" s="515"/>
      <c r="I224" s="515"/>
      <c r="J224" s="515"/>
      <c r="K224" s="515"/>
      <c r="L224" s="515"/>
      <c r="M224" s="515"/>
      <c r="N224" s="515"/>
      <c r="O224" s="515"/>
      <c r="P224" s="515"/>
    </row>
    <row r="225" spans="6:16" x14ac:dyDescent="0.2">
      <c r="F225" s="515"/>
      <c r="G225" s="516"/>
      <c r="H225" s="515"/>
      <c r="I225" s="515"/>
      <c r="J225" s="515"/>
      <c r="K225" s="515"/>
      <c r="L225" s="515"/>
      <c r="M225" s="515"/>
      <c r="N225" s="515"/>
      <c r="O225" s="515"/>
      <c r="P225" s="515"/>
    </row>
    <row r="226" spans="6:16" x14ac:dyDescent="0.2">
      <c r="F226" s="515"/>
      <c r="G226" s="516"/>
      <c r="H226" s="515"/>
      <c r="I226" s="515"/>
      <c r="J226" s="515"/>
      <c r="K226" s="515"/>
      <c r="L226" s="515"/>
      <c r="M226" s="515"/>
      <c r="N226" s="515"/>
      <c r="O226" s="515"/>
      <c r="P226" s="515"/>
    </row>
    <row r="227" spans="6:16" x14ac:dyDescent="0.2">
      <c r="F227" s="515"/>
      <c r="G227" s="516"/>
      <c r="H227" s="515"/>
      <c r="I227" s="515"/>
      <c r="J227" s="515"/>
      <c r="K227" s="515"/>
      <c r="L227" s="515"/>
      <c r="M227" s="515"/>
      <c r="N227" s="515"/>
      <c r="O227" s="515"/>
      <c r="P227" s="515"/>
    </row>
    <row r="228" spans="6:16" x14ac:dyDescent="0.2">
      <c r="F228" s="515"/>
      <c r="G228" s="516"/>
      <c r="H228" s="515"/>
      <c r="I228" s="515"/>
      <c r="J228" s="515"/>
      <c r="K228" s="515"/>
      <c r="L228" s="515"/>
      <c r="M228" s="515"/>
      <c r="N228" s="515"/>
      <c r="O228" s="515"/>
      <c r="P228" s="515"/>
    </row>
    <row r="229" spans="6:16" x14ac:dyDescent="0.2">
      <c r="F229" s="515"/>
      <c r="G229" s="516"/>
      <c r="H229" s="515"/>
      <c r="I229" s="515"/>
      <c r="J229" s="515"/>
      <c r="K229" s="515"/>
      <c r="L229" s="515"/>
      <c r="M229" s="515"/>
      <c r="N229" s="515"/>
      <c r="O229" s="515"/>
      <c r="P229" s="515"/>
    </row>
    <row r="230" spans="6:16" x14ac:dyDescent="0.2">
      <c r="F230" s="515"/>
      <c r="G230" s="516"/>
      <c r="H230" s="515"/>
      <c r="I230" s="515"/>
      <c r="J230" s="515"/>
      <c r="K230" s="515"/>
      <c r="L230" s="515"/>
      <c r="M230" s="515"/>
      <c r="N230" s="515"/>
      <c r="O230" s="515"/>
      <c r="P230" s="515"/>
    </row>
    <row r="231" spans="6:16" x14ac:dyDescent="0.2">
      <c r="F231" s="515"/>
      <c r="G231" s="516"/>
      <c r="H231" s="515"/>
      <c r="I231" s="515"/>
      <c r="J231" s="515"/>
      <c r="K231" s="515"/>
      <c r="L231" s="515"/>
      <c r="M231" s="515"/>
      <c r="N231" s="515"/>
      <c r="O231" s="515"/>
      <c r="P231" s="515"/>
    </row>
    <row r="232" spans="6:16" x14ac:dyDescent="0.2">
      <c r="F232" s="515"/>
      <c r="G232" s="516"/>
      <c r="H232" s="515"/>
      <c r="I232" s="515"/>
      <c r="J232" s="515"/>
      <c r="K232" s="515"/>
      <c r="L232" s="515"/>
      <c r="M232" s="515"/>
      <c r="N232" s="515"/>
      <c r="O232" s="515"/>
      <c r="P232" s="515"/>
    </row>
    <row r="233" spans="6:16" x14ac:dyDescent="0.2">
      <c r="F233" s="515"/>
      <c r="G233" s="516"/>
      <c r="H233" s="515"/>
      <c r="I233" s="515"/>
      <c r="J233" s="515"/>
      <c r="K233" s="515"/>
      <c r="L233" s="515"/>
      <c r="M233" s="515"/>
      <c r="N233" s="515"/>
      <c r="O233" s="515"/>
      <c r="P233" s="515"/>
    </row>
    <row r="234" spans="6:16" x14ac:dyDescent="0.2">
      <c r="F234" s="515"/>
      <c r="G234" s="516"/>
      <c r="H234" s="515"/>
      <c r="I234" s="515"/>
      <c r="J234" s="515"/>
      <c r="K234" s="515"/>
      <c r="L234" s="515"/>
      <c r="M234" s="515"/>
      <c r="N234" s="515"/>
      <c r="O234" s="515"/>
      <c r="P234" s="515"/>
    </row>
    <row r="235" spans="6:16" x14ac:dyDescent="0.2">
      <c r="F235" s="515"/>
      <c r="G235" s="516"/>
      <c r="H235" s="515"/>
      <c r="I235" s="515"/>
      <c r="J235" s="515"/>
      <c r="K235" s="515"/>
      <c r="L235" s="515"/>
      <c r="M235" s="515"/>
      <c r="N235" s="515"/>
      <c r="O235" s="515"/>
      <c r="P235" s="515"/>
    </row>
    <row r="236" spans="6:16" x14ac:dyDescent="0.2">
      <c r="F236" s="515"/>
      <c r="G236" s="516"/>
      <c r="H236" s="515"/>
      <c r="I236" s="515"/>
      <c r="J236" s="515"/>
      <c r="K236" s="515"/>
      <c r="L236" s="515"/>
      <c r="M236" s="515"/>
      <c r="N236" s="515"/>
      <c r="O236" s="515"/>
      <c r="P236" s="515"/>
    </row>
    <row r="237" spans="6:16" x14ac:dyDescent="0.2">
      <c r="F237" s="515"/>
      <c r="G237" s="516"/>
      <c r="H237" s="515"/>
      <c r="I237" s="515"/>
      <c r="J237" s="515"/>
      <c r="K237" s="515"/>
      <c r="L237" s="515"/>
      <c r="M237" s="515"/>
      <c r="N237" s="515"/>
      <c r="O237" s="515"/>
      <c r="P237" s="515"/>
    </row>
    <row r="238" spans="6:16" x14ac:dyDescent="0.2">
      <c r="F238" s="515"/>
      <c r="G238" s="516"/>
      <c r="H238" s="515"/>
      <c r="I238" s="515"/>
      <c r="J238" s="515"/>
      <c r="K238" s="515"/>
      <c r="L238" s="515"/>
      <c r="M238" s="515"/>
      <c r="N238" s="515"/>
      <c r="O238" s="515"/>
      <c r="P238" s="515"/>
    </row>
    <row r="239" spans="6:16" x14ac:dyDescent="0.2">
      <c r="F239" s="515"/>
      <c r="G239" s="516"/>
      <c r="H239" s="515"/>
      <c r="I239" s="515"/>
      <c r="J239" s="515"/>
      <c r="K239" s="515"/>
      <c r="L239" s="515"/>
      <c r="M239" s="515"/>
      <c r="N239" s="515"/>
      <c r="O239" s="515"/>
      <c r="P239" s="515"/>
    </row>
    <row r="240" spans="6:16" x14ac:dyDescent="0.2">
      <c r="F240" s="515"/>
      <c r="G240" s="516"/>
      <c r="H240" s="515"/>
      <c r="I240" s="515"/>
      <c r="J240" s="515"/>
      <c r="K240" s="515"/>
      <c r="L240" s="515"/>
      <c r="M240" s="515"/>
      <c r="N240" s="515"/>
      <c r="O240" s="515"/>
      <c r="P240" s="515"/>
    </row>
    <row r="241" spans="6:16" x14ac:dyDescent="0.2">
      <c r="F241" s="515"/>
      <c r="G241" s="516"/>
      <c r="H241" s="515"/>
      <c r="I241" s="515"/>
      <c r="J241" s="515"/>
      <c r="K241" s="515"/>
      <c r="L241" s="515"/>
      <c r="M241" s="515"/>
      <c r="N241" s="515"/>
      <c r="O241" s="515"/>
      <c r="P241" s="515"/>
    </row>
    <row r="242" spans="6:16" x14ac:dyDescent="0.2">
      <c r="F242" s="515"/>
      <c r="G242" s="516"/>
      <c r="H242" s="515"/>
      <c r="I242" s="515"/>
      <c r="J242" s="515"/>
      <c r="K242" s="515"/>
      <c r="L242" s="515"/>
      <c r="M242" s="515"/>
      <c r="N242" s="515"/>
      <c r="O242" s="515"/>
      <c r="P242" s="515"/>
    </row>
    <row r="243" spans="6:16" x14ac:dyDescent="0.2">
      <c r="F243" s="515"/>
      <c r="G243" s="516"/>
      <c r="H243" s="515"/>
      <c r="I243" s="515"/>
      <c r="J243" s="515"/>
      <c r="K243" s="515"/>
      <c r="L243" s="515"/>
      <c r="M243" s="515"/>
      <c r="N243" s="515"/>
      <c r="O243" s="515"/>
      <c r="P243" s="515"/>
    </row>
    <row r="244" spans="6:16" x14ac:dyDescent="0.2">
      <c r="F244" s="515"/>
      <c r="G244" s="516"/>
      <c r="H244" s="515"/>
      <c r="I244" s="515"/>
      <c r="J244" s="515"/>
      <c r="K244" s="515"/>
      <c r="L244" s="515"/>
      <c r="M244" s="515"/>
      <c r="N244" s="515"/>
      <c r="O244" s="515"/>
      <c r="P244" s="515"/>
    </row>
    <row r="245" spans="6:16" x14ac:dyDescent="0.2">
      <c r="F245" s="515"/>
      <c r="G245" s="516"/>
      <c r="H245" s="515"/>
      <c r="I245" s="515"/>
      <c r="J245" s="515"/>
      <c r="K245" s="515"/>
      <c r="L245" s="515"/>
      <c r="M245" s="515"/>
      <c r="N245" s="515"/>
      <c r="O245" s="515"/>
      <c r="P245" s="515"/>
    </row>
    <row r="246" spans="6:16" x14ac:dyDescent="0.2">
      <c r="F246" s="515"/>
      <c r="G246" s="516"/>
      <c r="H246" s="515"/>
      <c r="I246" s="515"/>
      <c r="J246" s="515"/>
      <c r="K246" s="515"/>
      <c r="L246" s="515"/>
      <c r="M246" s="515"/>
      <c r="N246" s="515"/>
      <c r="O246" s="515"/>
      <c r="P246" s="515"/>
    </row>
    <row r="247" spans="6:16" x14ac:dyDescent="0.2">
      <c r="F247" s="515"/>
      <c r="G247" s="516"/>
      <c r="H247" s="515"/>
      <c r="I247" s="515"/>
      <c r="J247" s="515"/>
      <c r="K247" s="515"/>
      <c r="L247" s="515"/>
      <c r="M247" s="515"/>
      <c r="N247" s="515"/>
      <c r="O247" s="515"/>
      <c r="P247" s="515"/>
    </row>
    <row r="248" spans="6:16" x14ac:dyDescent="0.2">
      <c r="F248" s="515"/>
      <c r="G248" s="516"/>
      <c r="H248" s="515"/>
      <c r="I248" s="515"/>
      <c r="J248" s="515"/>
      <c r="K248" s="515"/>
      <c r="L248" s="515"/>
      <c r="M248" s="515"/>
      <c r="N248" s="515"/>
      <c r="O248" s="515"/>
      <c r="P248" s="515"/>
    </row>
    <row r="249" spans="6:16" x14ac:dyDescent="0.2">
      <c r="F249" s="515"/>
      <c r="G249" s="516"/>
      <c r="H249" s="515"/>
      <c r="I249" s="515"/>
      <c r="J249" s="515"/>
      <c r="K249" s="515"/>
      <c r="L249" s="515"/>
      <c r="M249" s="515"/>
      <c r="N249" s="515"/>
      <c r="O249" s="515"/>
      <c r="P249" s="515"/>
    </row>
    <row r="250" spans="6:16" x14ac:dyDescent="0.2">
      <c r="F250" s="515"/>
      <c r="G250" s="516"/>
      <c r="H250" s="515"/>
      <c r="I250" s="515"/>
      <c r="J250" s="515"/>
      <c r="K250" s="515"/>
      <c r="L250" s="515"/>
      <c r="M250" s="515"/>
      <c r="N250" s="515"/>
      <c r="O250" s="515"/>
      <c r="P250" s="515"/>
    </row>
    <row r="251" spans="6:16" x14ac:dyDescent="0.2">
      <c r="F251" s="515"/>
      <c r="G251" s="516"/>
      <c r="H251" s="515"/>
      <c r="I251" s="515"/>
      <c r="J251" s="515"/>
      <c r="K251" s="515"/>
      <c r="L251" s="515"/>
      <c r="M251" s="515"/>
      <c r="N251" s="515"/>
      <c r="O251" s="515"/>
      <c r="P251" s="515"/>
    </row>
    <row r="252" spans="6:16" x14ac:dyDescent="0.2">
      <c r="F252" s="515"/>
      <c r="G252" s="516"/>
      <c r="H252" s="515"/>
      <c r="I252" s="515"/>
      <c r="J252" s="515"/>
      <c r="K252" s="515"/>
      <c r="L252" s="515"/>
      <c r="M252" s="515"/>
      <c r="N252" s="515"/>
      <c r="O252" s="515"/>
      <c r="P252" s="515"/>
    </row>
    <row r="253" spans="6:16" x14ac:dyDescent="0.2">
      <c r="F253" s="515"/>
      <c r="G253" s="516"/>
      <c r="H253" s="515"/>
      <c r="I253" s="515"/>
      <c r="J253" s="515"/>
      <c r="K253" s="515"/>
      <c r="L253" s="515"/>
      <c r="M253" s="515"/>
      <c r="N253" s="515"/>
      <c r="O253" s="515"/>
      <c r="P253" s="515"/>
    </row>
    <row r="254" spans="6:16" x14ac:dyDescent="0.2">
      <c r="F254" s="515"/>
      <c r="G254" s="516"/>
      <c r="H254" s="515"/>
      <c r="I254" s="515"/>
      <c r="J254" s="515"/>
      <c r="K254" s="515"/>
      <c r="L254" s="515"/>
      <c r="M254" s="515"/>
      <c r="N254" s="515"/>
      <c r="O254" s="515"/>
      <c r="P254" s="515"/>
    </row>
    <row r="255" spans="6:16" x14ac:dyDescent="0.2">
      <c r="F255" s="515"/>
      <c r="G255" s="516"/>
      <c r="H255" s="515"/>
      <c r="I255" s="515"/>
      <c r="J255" s="515"/>
      <c r="K255" s="515"/>
      <c r="L255" s="515"/>
      <c r="M255" s="515"/>
      <c r="N255" s="515"/>
      <c r="O255" s="515"/>
      <c r="P255" s="515"/>
    </row>
    <row r="256" spans="6:16" x14ac:dyDescent="0.2">
      <c r="F256" s="515"/>
      <c r="G256" s="516"/>
      <c r="H256" s="515"/>
      <c r="I256" s="515"/>
      <c r="J256" s="515"/>
      <c r="K256" s="515"/>
      <c r="L256" s="515"/>
      <c r="M256" s="515"/>
      <c r="N256" s="515"/>
      <c r="O256" s="515"/>
      <c r="P256" s="515"/>
    </row>
    <row r="257" spans="6:16" x14ac:dyDescent="0.2">
      <c r="F257" s="515"/>
      <c r="G257" s="516"/>
      <c r="H257" s="515"/>
      <c r="I257" s="515"/>
      <c r="J257" s="515"/>
      <c r="K257" s="515"/>
      <c r="L257" s="515"/>
      <c r="M257" s="515"/>
      <c r="N257" s="515"/>
      <c r="O257" s="515"/>
      <c r="P257" s="515"/>
    </row>
    <row r="258" spans="6:16" x14ac:dyDescent="0.2">
      <c r="F258" s="515"/>
      <c r="G258" s="516"/>
      <c r="H258" s="515"/>
      <c r="I258" s="515"/>
      <c r="J258" s="515"/>
      <c r="K258" s="515"/>
      <c r="L258" s="515"/>
      <c r="M258" s="515"/>
      <c r="N258" s="515"/>
      <c r="O258" s="515"/>
      <c r="P258" s="515"/>
    </row>
    <row r="259" spans="6:16" x14ac:dyDescent="0.2">
      <c r="F259" s="515"/>
      <c r="G259" s="516"/>
      <c r="H259" s="515"/>
      <c r="I259" s="515"/>
      <c r="J259" s="515"/>
      <c r="K259" s="515"/>
      <c r="L259" s="515"/>
      <c r="M259" s="515"/>
      <c r="N259" s="515"/>
      <c r="O259" s="515"/>
      <c r="P259" s="515"/>
    </row>
    <row r="260" spans="6:16" x14ac:dyDescent="0.2">
      <c r="F260" s="515"/>
      <c r="G260" s="516"/>
      <c r="H260" s="515"/>
      <c r="I260" s="515"/>
      <c r="J260" s="515"/>
      <c r="K260" s="515"/>
      <c r="L260" s="515"/>
      <c r="M260" s="515"/>
      <c r="N260" s="515"/>
      <c r="O260" s="515"/>
      <c r="P260" s="515"/>
    </row>
    <row r="261" spans="6:16" x14ac:dyDescent="0.2">
      <c r="F261" s="515"/>
      <c r="G261" s="516"/>
      <c r="H261" s="515"/>
      <c r="I261" s="515"/>
      <c r="J261" s="515"/>
      <c r="K261" s="515"/>
      <c r="L261" s="515"/>
      <c r="M261" s="515"/>
      <c r="N261" s="515"/>
      <c r="O261" s="515"/>
      <c r="P261" s="515"/>
    </row>
    <row r="262" spans="6:16" x14ac:dyDescent="0.2">
      <c r="F262" s="515"/>
      <c r="G262" s="516"/>
      <c r="H262" s="515"/>
      <c r="I262" s="515"/>
      <c r="J262" s="515"/>
      <c r="K262" s="515"/>
      <c r="L262" s="515"/>
      <c r="M262" s="515"/>
      <c r="N262" s="515"/>
      <c r="O262" s="515"/>
      <c r="P262" s="515"/>
    </row>
    <row r="263" spans="6:16" x14ac:dyDescent="0.2">
      <c r="F263" s="515"/>
      <c r="G263" s="516"/>
      <c r="H263" s="515"/>
      <c r="I263" s="515"/>
      <c r="J263" s="515"/>
      <c r="K263" s="515"/>
      <c r="L263" s="515"/>
      <c r="M263" s="515"/>
      <c r="N263" s="515"/>
      <c r="O263" s="515"/>
      <c r="P263" s="515"/>
    </row>
    <row r="264" spans="6:16" x14ac:dyDescent="0.2">
      <c r="F264" s="515"/>
      <c r="G264" s="516"/>
      <c r="H264" s="515"/>
      <c r="I264" s="515"/>
      <c r="J264" s="515"/>
      <c r="K264" s="515"/>
      <c r="L264" s="515"/>
      <c r="M264" s="515"/>
      <c r="N264" s="515"/>
      <c r="O264" s="515"/>
      <c r="P264" s="515"/>
    </row>
    <row r="265" spans="6:16" x14ac:dyDescent="0.2">
      <c r="F265" s="515"/>
      <c r="G265" s="516"/>
      <c r="H265" s="515"/>
      <c r="I265" s="515"/>
      <c r="J265" s="515"/>
      <c r="K265" s="515"/>
      <c r="L265" s="515"/>
      <c r="M265" s="515"/>
      <c r="N265" s="515"/>
      <c r="O265" s="515"/>
      <c r="P265" s="515"/>
    </row>
    <row r="266" spans="6:16" x14ac:dyDescent="0.2">
      <c r="F266" s="515"/>
      <c r="G266" s="516"/>
      <c r="H266" s="515"/>
      <c r="I266" s="515"/>
      <c r="J266" s="515"/>
      <c r="K266" s="515"/>
      <c r="L266" s="515"/>
      <c r="M266" s="515"/>
      <c r="N266" s="515"/>
      <c r="O266" s="515"/>
      <c r="P266" s="515"/>
    </row>
    <row r="267" spans="6:16" x14ac:dyDescent="0.2">
      <c r="F267" s="515"/>
      <c r="G267" s="516"/>
      <c r="H267" s="515"/>
      <c r="I267" s="515"/>
      <c r="J267" s="515"/>
      <c r="K267" s="515"/>
      <c r="L267" s="515"/>
      <c r="M267" s="515"/>
      <c r="N267" s="515"/>
      <c r="O267" s="515"/>
      <c r="P267" s="515"/>
    </row>
    <row r="268" spans="6:16" x14ac:dyDescent="0.2">
      <c r="F268" s="515"/>
      <c r="G268" s="516"/>
      <c r="H268" s="515"/>
      <c r="I268" s="515"/>
      <c r="J268" s="515"/>
      <c r="K268" s="515"/>
      <c r="L268" s="515"/>
      <c r="M268" s="515"/>
      <c r="N268" s="515"/>
      <c r="O268" s="515"/>
      <c r="P268" s="515"/>
    </row>
    <row r="269" spans="6:16" x14ac:dyDescent="0.2">
      <c r="F269" s="515"/>
      <c r="G269" s="516"/>
      <c r="H269" s="515"/>
      <c r="I269" s="515"/>
      <c r="J269" s="515"/>
      <c r="K269" s="515"/>
      <c r="L269" s="515"/>
      <c r="M269" s="515"/>
      <c r="N269" s="515"/>
      <c r="O269" s="515"/>
      <c r="P269" s="515"/>
    </row>
    <row r="270" spans="6:16" x14ac:dyDescent="0.2">
      <c r="F270" s="515"/>
      <c r="G270" s="516"/>
      <c r="H270" s="515"/>
      <c r="I270" s="515"/>
      <c r="J270" s="515"/>
      <c r="K270" s="515"/>
      <c r="L270" s="515"/>
      <c r="M270" s="515"/>
      <c r="N270" s="515"/>
      <c r="O270" s="515"/>
      <c r="P270" s="515"/>
    </row>
    <row r="271" spans="6:16" x14ac:dyDescent="0.2">
      <c r="F271" s="515"/>
      <c r="G271" s="516"/>
      <c r="H271" s="515"/>
      <c r="I271" s="515"/>
      <c r="J271" s="515"/>
      <c r="K271" s="515"/>
      <c r="L271" s="515"/>
      <c r="M271" s="515"/>
      <c r="N271" s="515"/>
      <c r="O271" s="515"/>
      <c r="P271" s="515"/>
    </row>
    <row r="272" spans="6:16" x14ac:dyDescent="0.2">
      <c r="F272" s="515"/>
      <c r="G272" s="516"/>
      <c r="H272" s="515"/>
      <c r="I272" s="515"/>
      <c r="J272" s="515"/>
      <c r="K272" s="515"/>
      <c r="L272" s="515"/>
      <c r="M272" s="515"/>
      <c r="N272" s="515"/>
      <c r="O272" s="515"/>
      <c r="P272" s="515"/>
    </row>
    <row r="273" spans="6:16" x14ac:dyDescent="0.2">
      <c r="F273" s="515"/>
      <c r="G273" s="516"/>
      <c r="H273" s="515"/>
      <c r="I273" s="515"/>
      <c r="J273" s="515"/>
      <c r="K273" s="515"/>
      <c r="L273" s="515"/>
      <c r="M273" s="515"/>
      <c r="N273" s="515"/>
      <c r="O273" s="515"/>
      <c r="P273" s="515"/>
    </row>
    <row r="274" spans="6:16" x14ac:dyDescent="0.2">
      <c r="F274" s="515"/>
      <c r="G274" s="516"/>
      <c r="H274" s="515"/>
      <c r="I274" s="515"/>
      <c r="J274" s="515"/>
      <c r="K274" s="515"/>
      <c r="L274" s="515"/>
      <c r="M274" s="515"/>
      <c r="N274" s="515"/>
      <c r="O274" s="515"/>
      <c r="P274" s="515"/>
    </row>
    <row r="275" spans="6:16" x14ac:dyDescent="0.2">
      <c r="F275" s="515"/>
      <c r="G275" s="516"/>
      <c r="H275" s="515"/>
      <c r="I275" s="515"/>
      <c r="J275" s="515"/>
      <c r="K275" s="515"/>
      <c r="L275" s="515"/>
      <c r="M275" s="515"/>
      <c r="N275" s="515"/>
      <c r="O275" s="515"/>
      <c r="P275" s="515"/>
    </row>
    <row r="276" spans="6:16" x14ac:dyDescent="0.2">
      <c r="F276" s="515"/>
      <c r="G276" s="516"/>
      <c r="H276" s="515"/>
      <c r="I276" s="515"/>
      <c r="J276" s="515"/>
      <c r="K276" s="515"/>
      <c r="L276" s="515"/>
      <c r="M276" s="515"/>
      <c r="N276" s="515"/>
      <c r="O276" s="515"/>
      <c r="P276" s="515"/>
    </row>
    <row r="277" spans="6:16" x14ac:dyDescent="0.2">
      <c r="F277" s="515"/>
      <c r="G277" s="516"/>
      <c r="H277" s="515"/>
      <c r="I277" s="515"/>
      <c r="J277" s="515"/>
      <c r="K277" s="515"/>
      <c r="L277" s="515"/>
      <c r="M277" s="515"/>
      <c r="N277" s="515"/>
      <c r="O277" s="515"/>
      <c r="P277" s="515"/>
    </row>
    <row r="278" spans="6:16" x14ac:dyDescent="0.2">
      <c r="F278" s="515"/>
      <c r="G278" s="516"/>
      <c r="H278" s="515"/>
      <c r="I278" s="515"/>
      <c r="J278" s="515"/>
      <c r="K278" s="515"/>
      <c r="L278" s="515"/>
      <c r="M278" s="515"/>
      <c r="N278" s="515"/>
      <c r="O278" s="515"/>
      <c r="P278" s="515"/>
    </row>
    <row r="279" spans="6:16" x14ac:dyDescent="0.2">
      <c r="F279" s="515"/>
      <c r="G279" s="516"/>
      <c r="H279" s="515"/>
      <c r="I279" s="515"/>
      <c r="J279" s="515"/>
      <c r="K279" s="515"/>
      <c r="L279" s="515"/>
      <c r="M279" s="515"/>
      <c r="N279" s="515"/>
      <c r="O279" s="515"/>
      <c r="P279" s="515"/>
    </row>
    <row r="280" spans="6:16" x14ac:dyDescent="0.2">
      <c r="F280" s="515"/>
      <c r="G280" s="516"/>
      <c r="H280" s="515"/>
      <c r="I280" s="515"/>
      <c r="J280" s="515"/>
      <c r="K280" s="515"/>
      <c r="L280" s="515"/>
      <c r="M280" s="515"/>
      <c r="N280" s="515"/>
      <c r="O280" s="515"/>
      <c r="P280" s="515"/>
    </row>
    <row r="281" spans="6:16" x14ac:dyDescent="0.2">
      <c r="F281" s="515"/>
      <c r="G281" s="516"/>
      <c r="H281" s="515"/>
      <c r="I281" s="515"/>
      <c r="J281" s="515"/>
      <c r="K281" s="515"/>
      <c r="L281" s="515"/>
      <c r="M281" s="515"/>
      <c r="N281" s="515"/>
      <c r="O281" s="515"/>
      <c r="P281" s="515"/>
    </row>
    <row r="282" spans="6:16" x14ac:dyDescent="0.2">
      <c r="F282" s="515"/>
      <c r="G282" s="516"/>
      <c r="H282" s="515"/>
      <c r="I282" s="515"/>
      <c r="J282" s="515"/>
      <c r="K282" s="515"/>
      <c r="L282" s="515"/>
      <c r="M282" s="515"/>
      <c r="N282" s="515"/>
      <c r="O282" s="515"/>
      <c r="P282" s="515"/>
    </row>
    <row r="283" spans="6:16" x14ac:dyDescent="0.2">
      <c r="F283" s="515"/>
      <c r="G283" s="516"/>
      <c r="H283" s="515"/>
      <c r="I283" s="515"/>
      <c r="J283" s="515"/>
      <c r="K283" s="515"/>
      <c r="L283" s="515"/>
      <c r="M283" s="515"/>
      <c r="N283" s="515"/>
      <c r="O283" s="515"/>
      <c r="P283" s="515"/>
    </row>
    <row r="284" spans="6:16" x14ac:dyDescent="0.2">
      <c r="F284" s="515"/>
      <c r="G284" s="516"/>
      <c r="H284" s="515"/>
      <c r="I284" s="515"/>
      <c r="J284" s="515"/>
      <c r="K284" s="515"/>
      <c r="L284" s="515"/>
      <c r="M284" s="515"/>
      <c r="N284" s="515"/>
      <c r="O284" s="515"/>
      <c r="P284" s="515"/>
    </row>
    <row r="285" spans="6:16" x14ac:dyDescent="0.2">
      <c r="F285" s="515"/>
      <c r="G285" s="516"/>
      <c r="H285" s="515"/>
      <c r="I285" s="515"/>
      <c r="J285" s="515"/>
      <c r="K285" s="515"/>
      <c r="L285" s="515"/>
      <c r="M285" s="515"/>
      <c r="N285" s="515"/>
      <c r="O285" s="515"/>
      <c r="P285" s="515"/>
    </row>
    <row r="286" spans="6:16" x14ac:dyDescent="0.2">
      <c r="F286" s="515"/>
      <c r="G286" s="516"/>
      <c r="H286" s="515"/>
      <c r="I286" s="515"/>
      <c r="J286" s="515"/>
      <c r="K286" s="515"/>
      <c r="L286" s="515"/>
      <c r="M286" s="515"/>
      <c r="N286" s="515"/>
      <c r="O286" s="515"/>
      <c r="P286" s="515"/>
    </row>
    <row r="287" spans="6:16" x14ac:dyDescent="0.2">
      <c r="F287" s="515"/>
      <c r="G287" s="516"/>
      <c r="H287" s="515"/>
      <c r="I287" s="515"/>
      <c r="J287" s="515"/>
      <c r="K287" s="515"/>
      <c r="L287" s="515"/>
      <c r="M287" s="515"/>
      <c r="N287" s="515"/>
      <c r="O287" s="515"/>
      <c r="P287" s="515"/>
    </row>
    <row r="288" spans="6:16" x14ac:dyDescent="0.2">
      <c r="F288" s="515"/>
      <c r="G288" s="516"/>
      <c r="H288" s="515"/>
      <c r="I288" s="515"/>
      <c r="J288" s="515"/>
      <c r="K288" s="515"/>
      <c r="L288" s="515"/>
      <c r="M288" s="515"/>
      <c r="N288" s="515"/>
      <c r="O288" s="515"/>
      <c r="P288" s="515"/>
    </row>
    <row r="289" spans="6:16" x14ac:dyDescent="0.2">
      <c r="F289" s="515"/>
      <c r="G289" s="516"/>
      <c r="H289" s="515"/>
      <c r="I289" s="515"/>
      <c r="J289" s="515"/>
      <c r="K289" s="515"/>
      <c r="L289" s="515"/>
      <c r="M289" s="515"/>
      <c r="N289" s="515"/>
      <c r="O289" s="515"/>
      <c r="P289" s="515"/>
    </row>
    <row r="290" spans="6:16" x14ac:dyDescent="0.2">
      <c r="F290" s="515"/>
      <c r="G290" s="516"/>
      <c r="H290" s="515"/>
      <c r="I290" s="515"/>
      <c r="J290" s="515"/>
      <c r="K290" s="515"/>
      <c r="L290" s="515"/>
      <c r="M290" s="515"/>
      <c r="N290" s="515"/>
      <c r="O290" s="515"/>
      <c r="P290" s="515"/>
    </row>
    <row r="291" spans="6:16" x14ac:dyDescent="0.2">
      <c r="F291" s="515"/>
      <c r="G291" s="516"/>
      <c r="H291" s="515"/>
      <c r="I291" s="515"/>
      <c r="J291" s="515"/>
      <c r="K291" s="515"/>
      <c r="L291" s="515"/>
      <c r="M291" s="515"/>
      <c r="N291" s="515"/>
      <c r="O291" s="515"/>
      <c r="P291" s="515"/>
    </row>
    <row r="292" spans="6:16" x14ac:dyDescent="0.2">
      <c r="F292" s="515"/>
      <c r="G292" s="516"/>
      <c r="H292" s="515"/>
      <c r="I292" s="515"/>
      <c r="J292" s="515"/>
      <c r="K292" s="515"/>
      <c r="L292" s="515"/>
      <c r="M292" s="515"/>
      <c r="N292" s="515"/>
      <c r="O292" s="515"/>
      <c r="P292" s="515"/>
    </row>
    <row r="293" spans="6:16" x14ac:dyDescent="0.2">
      <c r="F293" s="515"/>
      <c r="G293" s="516"/>
      <c r="H293" s="515"/>
      <c r="I293" s="515"/>
      <c r="J293" s="515"/>
      <c r="K293" s="515"/>
      <c r="L293" s="515"/>
      <c r="M293" s="515"/>
      <c r="N293" s="515"/>
      <c r="O293" s="515"/>
      <c r="P293" s="515"/>
    </row>
    <row r="294" spans="6:16" x14ac:dyDescent="0.2">
      <c r="F294" s="515"/>
      <c r="G294" s="516"/>
      <c r="H294" s="515"/>
      <c r="I294" s="515"/>
      <c r="J294" s="515"/>
      <c r="K294" s="515"/>
      <c r="L294" s="515"/>
      <c r="M294" s="515"/>
      <c r="N294" s="515"/>
      <c r="O294" s="515"/>
      <c r="P294" s="515"/>
    </row>
    <row r="295" spans="6:16" x14ac:dyDescent="0.2">
      <c r="F295" s="515"/>
      <c r="G295" s="516"/>
      <c r="H295" s="515"/>
      <c r="I295" s="515"/>
      <c r="J295" s="515"/>
      <c r="K295" s="515"/>
      <c r="L295" s="515"/>
      <c r="M295" s="515"/>
      <c r="N295" s="515"/>
      <c r="O295" s="515"/>
      <c r="P295" s="515"/>
    </row>
    <row r="296" spans="6:16" x14ac:dyDescent="0.2">
      <c r="F296" s="515"/>
      <c r="G296" s="516"/>
      <c r="H296" s="515"/>
      <c r="I296" s="515"/>
      <c r="J296" s="515"/>
      <c r="K296" s="515"/>
      <c r="L296" s="515"/>
      <c r="M296" s="515"/>
      <c r="N296" s="515"/>
      <c r="O296" s="515"/>
      <c r="P296" s="515"/>
    </row>
    <row r="297" spans="6:16" x14ac:dyDescent="0.2">
      <c r="F297" s="515"/>
      <c r="G297" s="516"/>
      <c r="H297" s="515"/>
      <c r="I297" s="515"/>
      <c r="J297" s="515"/>
      <c r="K297" s="515"/>
      <c r="L297" s="515"/>
      <c r="M297" s="515"/>
      <c r="N297" s="515"/>
      <c r="O297" s="515"/>
      <c r="P297" s="515"/>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49" priority="7">
      <formula>AND($G$8="N/A",$T22&gt;1)</formula>
    </cfRule>
  </conditionalFormatting>
  <conditionalFormatting sqref="V22:V65">
    <cfRule type="expression" dxfId="48" priority="5">
      <formula>AND($G$10="N/A",$V22&gt;1)</formula>
    </cfRule>
  </conditionalFormatting>
  <conditionalFormatting sqref="U22:U65">
    <cfRule type="expression" dxfId="47" priority="6">
      <formula>AND($G$9="N/A",U22&gt;1)</formula>
    </cfRule>
  </conditionalFormatting>
  <conditionalFormatting sqref="W22:W65">
    <cfRule type="expression" dxfId="46" priority="4">
      <formula>AND($G$11="N/A",$W22&gt;1)</formula>
    </cfRule>
  </conditionalFormatting>
  <conditionalFormatting sqref="X22:X65">
    <cfRule type="expression" dxfId="45" priority="3">
      <formula>AND($G$12="N/A",$X22&gt;1)</formula>
    </cfRule>
  </conditionalFormatting>
  <conditionalFormatting sqref="Y22:Y65">
    <cfRule type="expression" dxfId="44" priority="2">
      <formula>AND($G$13="N/A",$Y22&gt;1)</formula>
    </cfRule>
  </conditionalFormatting>
  <conditionalFormatting sqref="Z20:AE20">
    <cfRule type="expression" dxfId="43"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uelPrice">
    <tabColor indexed="43"/>
    <pageSetUpPr fitToPage="1"/>
  </sheetPr>
  <dimension ref="A1:AZ105"/>
  <sheetViews>
    <sheetView zoomScale="85" zoomScaleNormal="85" workbookViewId="0">
      <pane xSplit="1" ySplit="10" topLeftCell="I11" activePane="bottomRight" state="frozen"/>
      <selection activeCell="B5" sqref="B5:H5"/>
      <selection pane="topRight" activeCell="B5" sqref="B5:H5"/>
      <selection pane="bottomLeft" activeCell="B5" sqref="B5:H5"/>
      <selection pane="bottomRight" activeCell="B11" sqref="B11"/>
    </sheetView>
  </sheetViews>
  <sheetFormatPr defaultColWidth="9.140625" defaultRowHeight="12.75" x14ac:dyDescent="0.2"/>
  <cols>
    <col min="1" max="1" width="9.140625" style="3"/>
    <col min="2" max="4" width="9.5703125" style="3" customWidth="1"/>
    <col min="5" max="10" width="9.5703125" style="7" customWidth="1"/>
    <col min="11" max="11" width="8.42578125" style="52" customWidth="1"/>
    <col min="12" max="18" width="8.42578125" style="3" customWidth="1"/>
    <col min="19" max="20" width="9.5703125" style="3" customWidth="1"/>
    <col min="23" max="23" width="9.140625" style="3"/>
    <col min="24" max="24" width="14.140625" style="3" customWidth="1"/>
    <col min="25" max="28" width="9.140625" style="3"/>
    <col min="29" max="30" width="9.140625" style="47"/>
    <col min="31" max="16384" width="9.140625" style="3"/>
  </cols>
  <sheetData>
    <row r="1" spans="1:52" x14ac:dyDescent="0.2">
      <c r="A1" s="54" t="s">
        <v>4</v>
      </c>
      <c r="M1" s="3" t="s">
        <v>323</v>
      </c>
      <c r="P1" s="3" t="s">
        <v>336</v>
      </c>
    </row>
    <row r="2" spans="1:52" x14ac:dyDescent="0.2">
      <c r="A2" s="473" t="s">
        <v>381</v>
      </c>
      <c r="B2" s="474"/>
      <c r="C2" s="474"/>
      <c r="D2" s="474"/>
      <c r="E2" s="55" t="s">
        <v>382</v>
      </c>
      <c r="F2" s="52"/>
      <c r="G2" s="56" t="s">
        <v>383</v>
      </c>
      <c r="H2" s="56"/>
      <c r="I2" s="56"/>
      <c r="J2" s="56"/>
      <c r="K2" s="235"/>
      <c r="L2" s="57" t="s">
        <v>184</v>
      </c>
      <c r="M2" s="2">
        <v>134200</v>
      </c>
      <c r="N2" s="3" t="s">
        <v>185</v>
      </c>
      <c r="P2" s="3">
        <f>107.932/104.757</f>
        <v>1.0303082371583761</v>
      </c>
      <c r="X2" s="1217"/>
      <c r="Y2" s="1217"/>
      <c r="Z2" s="1217"/>
      <c r="AA2" s="1217"/>
    </row>
    <row r="3" spans="1:52" x14ac:dyDescent="0.2">
      <c r="A3" s="475" t="s">
        <v>177</v>
      </c>
      <c r="B3" s="474"/>
      <c r="C3" s="476"/>
      <c r="D3" s="474"/>
      <c r="E3" s="235" t="s">
        <v>384</v>
      </c>
      <c r="F3" s="52"/>
      <c r="L3" s="57" t="s">
        <v>324</v>
      </c>
      <c r="M3" s="2">
        <v>138700</v>
      </c>
      <c r="N3" s="3" t="s">
        <v>325</v>
      </c>
      <c r="X3" s="731"/>
      <c r="Z3" s="731"/>
    </row>
    <row r="4" spans="1:52" x14ac:dyDescent="0.2">
      <c r="A4" s="622" t="s">
        <v>366</v>
      </c>
      <c r="B4" s="623"/>
      <c r="C4" s="624"/>
      <c r="D4" s="623"/>
      <c r="E4" s="56" t="s">
        <v>400</v>
      </c>
      <c r="F4" s="52"/>
      <c r="L4" s="57" t="s">
        <v>396</v>
      </c>
      <c r="M4" s="2">
        <v>120726</v>
      </c>
      <c r="N4" s="3" t="s">
        <v>325</v>
      </c>
      <c r="O4" s="3" t="s">
        <v>397</v>
      </c>
      <c r="X4" s="731"/>
    </row>
    <row r="5" spans="1:52" ht="15.75" x14ac:dyDescent="0.25">
      <c r="A5" s="58"/>
      <c r="B5" s="47"/>
      <c r="C5" s="59"/>
      <c r="D5" s="47"/>
      <c r="E5" s="52"/>
      <c r="F5" s="52"/>
      <c r="L5" s="583"/>
      <c r="N5" s="1216"/>
      <c r="X5" s="1313" t="s">
        <v>328</v>
      </c>
      <c r="AC5" s="3"/>
      <c r="AD5" s="3"/>
    </row>
    <row r="6" spans="1:52" ht="16.5" thickBot="1" x14ac:dyDescent="0.3">
      <c r="D6" s="47"/>
      <c r="E6" s="47"/>
      <c r="F6" s="3"/>
      <c r="G6" s="3"/>
      <c r="H6" s="3"/>
      <c r="I6" s="3"/>
      <c r="J6" s="3"/>
      <c r="K6" s="3"/>
      <c r="X6" s="1314">
        <f>2.24/2.86</f>
        <v>0.78321678321678334</v>
      </c>
      <c r="Y6" s="1314">
        <f>2.34/2.2</f>
        <v>1.0636363636363635</v>
      </c>
      <c r="Z6" s="1314">
        <f>AVERAGE(2.54/2.77,2.54/2.64,2.65/2.56,2.43/2.57,3.11/3.42)</f>
        <v>0.95382539762429508</v>
      </c>
      <c r="AA6" s="1315">
        <v>1</v>
      </c>
      <c r="AB6" s="1314">
        <f>AVERAGE(3.14/3.15,3.13/3.14,2.68/2.93,2.65/2.91)</f>
        <v>0.95474234308247208</v>
      </c>
      <c r="AC6" s="1315">
        <v>1</v>
      </c>
      <c r="AD6" s="1314">
        <f>1.93/2.23</f>
        <v>0.86547085201793716</v>
      </c>
      <c r="AE6" s="1315">
        <v>1</v>
      </c>
      <c r="AF6" s="7"/>
      <c r="AG6" s="7"/>
      <c r="AH6" s="583"/>
      <c r="AU6" s="3" t="s">
        <v>390</v>
      </c>
    </row>
    <row r="7" spans="1:52" ht="16.5" customHeight="1" thickBot="1" x14ac:dyDescent="0.3">
      <c r="A7" s="1617" t="s">
        <v>222</v>
      </c>
      <c r="B7" s="1618"/>
      <c r="C7" s="1618"/>
      <c r="D7" s="1618"/>
      <c r="E7" s="1618"/>
      <c r="F7" s="1618"/>
      <c r="G7" s="1618"/>
      <c r="H7" s="1618"/>
      <c r="I7" s="1618"/>
      <c r="J7" s="1618"/>
      <c r="K7" s="1618"/>
      <c r="L7" s="1618"/>
      <c r="M7" s="1618"/>
      <c r="N7" s="1618"/>
      <c r="O7" s="1618"/>
      <c r="P7" s="1618"/>
      <c r="Q7" s="1618"/>
      <c r="R7" s="1618"/>
      <c r="S7" s="1618"/>
      <c r="T7" s="1619"/>
      <c r="U7" s="1295" t="b">
        <v>1</v>
      </c>
      <c r="W7" s="1617" t="s">
        <v>221</v>
      </c>
      <c r="X7" s="1618"/>
      <c r="Y7" s="1618"/>
      <c r="Z7" s="1618"/>
      <c r="AA7" s="1618"/>
      <c r="AB7" s="1618"/>
      <c r="AC7" s="1618"/>
      <c r="AD7" s="1618"/>
      <c r="AE7" s="1618"/>
      <c r="AF7" s="1618"/>
      <c r="AG7" s="1618"/>
      <c r="AH7" s="1618"/>
      <c r="AI7" s="1618"/>
      <c r="AJ7" s="1618"/>
      <c r="AK7" s="1618"/>
      <c r="AL7" s="1618"/>
      <c r="AM7" s="1618"/>
      <c r="AN7" s="1618"/>
      <c r="AO7" s="1618"/>
      <c r="AP7" s="1619"/>
      <c r="AQ7" s="938"/>
      <c r="AU7" s="3" t="s">
        <v>391</v>
      </c>
    </row>
    <row r="8" spans="1:52" x14ac:dyDescent="0.2">
      <c r="A8" s="537"/>
      <c r="B8" s="1624" t="s">
        <v>388</v>
      </c>
      <c r="C8" s="1625"/>
      <c r="D8" s="1625"/>
      <c r="E8" s="1625"/>
      <c r="F8" s="1625"/>
      <c r="G8" s="1625"/>
      <c r="H8" s="1625"/>
      <c r="I8" s="1625"/>
      <c r="J8" s="1626"/>
      <c r="K8" s="1624" t="s">
        <v>387</v>
      </c>
      <c r="L8" s="1625"/>
      <c r="M8" s="1625"/>
      <c r="N8" s="1625"/>
      <c r="O8" s="1625"/>
      <c r="P8" s="1625"/>
      <c r="Q8" s="1625"/>
      <c r="R8" s="1625"/>
      <c r="S8" s="1626"/>
      <c r="T8" s="538"/>
      <c r="U8" s="477"/>
      <c r="W8" s="930"/>
      <c r="X8" s="1627" t="s">
        <v>386</v>
      </c>
      <c r="Y8" s="1628"/>
      <c r="Z8" s="1628"/>
      <c r="AA8" s="1628"/>
      <c r="AB8" s="1628"/>
      <c r="AC8" s="1628"/>
      <c r="AD8" s="1628"/>
      <c r="AE8" s="1628"/>
      <c r="AF8" s="1629"/>
      <c r="AG8" s="1627" t="s">
        <v>387</v>
      </c>
      <c r="AH8" s="1628"/>
      <c r="AI8" s="1628"/>
      <c r="AJ8" s="1628"/>
      <c r="AK8" s="1628"/>
      <c r="AL8" s="1628"/>
      <c r="AM8" s="1628"/>
      <c r="AN8" s="1628"/>
      <c r="AO8" s="1629"/>
      <c r="AP8" s="1316"/>
      <c r="AQ8" s="939"/>
      <c r="AU8" s="3" t="s">
        <v>392</v>
      </c>
      <c r="AW8" s="3" t="s">
        <v>393</v>
      </c>
      <c r="AY8" s="3" t="s">
        <v>394</v>
      </c>
    </row>
    <row r="9" spans="1:52" ht="12.75" hidden="1" customHeight="1" x14ac:dyDescent="0.2">
      <c r="A9" s="539"/>
      <c r="B9" s="1620"/>
      <c r="C9" s="1620"/>
      <c r="D9" s="1620"/>
      <c r="E9" s="1620"/>
      <c r="F9" s="1620"/>
      <c r="G9" s="1620"/>
      <c r="H9" s="1620"/>
      <c r="I9" s="1620"/>
      <c r="J9" s="924"/>
      <c r="K9" s="924"/>
      <c r="L9" s="1621"/>
      <c r="M9" s="1621"/>
      <c r="N9" s="1621"/>
      <c r="O9" s="1621"/>
      <c r="P9" s="1621"/>
      <c r="Q9" s="1621"/>
      <c r="R9" s="1621"/>
      <c r="S9" s="1621"/>
      <c r="T9" s="540"/>
      <c r="U9" s="477"/>
      <c r="W9" s="539"/>
      <c r="X9" s="1623"/>
      <c r="Y9" s="1623"/>
      <c r="Z9" s="1623"/>
      <c r="AA9" s="1623"/>
      <c r="AB9" s="1623"/>
      <c r="AC9" s="1623"/>
      <c r="AD9" s="1623"/>
      <c r="AE9" s="1623"/>
      <c r="AF9" s="1317"/>
      <c r="AG9" s="1317"/>
      <c r="AH9" s="1622"/>
      <c r="AI9" s="1622"/>
      <c r="AJ9" s="1622"/>
      <c r="AK9" s="1622"/>
      <c r="AL9" s="1622"/>
      <c r="AM9" s="1622"/>
      <c r="AN9" s="1622"/>
      <c r="AO9" s="1622"/>
      <c r="AP9" s="1318"/>
      <c r="AQ9" s="939"/>
    </row>
    <row r="10" spans="1:52" ht="26.25" thickBot="1" x14ac:dyDescent="0.25">
      <c r="A10" s="541" t="s">
        <v>3</v>
      </c>
      <c r="B10" s="542" t="s">
        <v>2</v>
      </c>
      <c r="C10" s="543" t="s">
        <v>52</v>
      </c>
      <c r="D10" s="543" t="s">
        <v>0</v>
      </c>
      <c r="E10" s="543" t="s">
        <v>53</v>
      </c>
      <c r="F10" s="543" t="s">
        <v>5</v>
      </c>
      <c r="G10" s="543" t="s">
        <v>54</v>
      </c>
      <c r="H10" s="543" t="s">
        <v>1</v>
      </c>
      <c r="I10" s="543" t="s">
        <v>6</v>
      </c>
      <c r="J10" s="543" t="s">
        <v>181</v>
      </c>
      <c r="K10" s="545" t="str">
        <f>A10</f>
        <v>Year</v>
      </c>
      <c r="L10" s="546" t="s">
        <v>2</v>
      </c>
      <c r="M10" s="546" t="s">
        <v>52</v>
      </c>
      <c r="N10" s="546" t="s">
        <v>0</v>
      </c>
      <c r="O10" s="546" t="s">
        <v>53</v>
      </c>
      <c r="P10" s="546" t="s">
        <v>5</v>
      </c>
      <c r="Q10" s="546" t="s">
        <v>54</v>
      </c>
      <c r="R10" s="546" t="s">
        <v>1</v>
      </c>
      <c r="S10" s="546" t="s">
        <v>6</v>
      </c>
      <c r="T10" s="547" t="s">
        <v>181</v>
      </c>
      <c r="U10" s="1310" t="s">
        <v>379</v>
      </c>
      <c r="W10" s="541" t="s">
        <v>3</v>
      </c>
      <c r="X10" s="542" t="s">
        <v>2</v>
      </c>
      <c r="Y10" s="543" t="s">
        <v>52</v>
      </c>
      <c r="Z10" s="543" t="s">
        <v>0</v>
      </c>
      <c r="AA10" s="543" t="s">
        <v>53</v>
      </c>
      <c r="AB10" s="543" t="s">
        <v>5</v>
      </c>
      <c r="AC10" s="543" t="s">
        <v>54</v>
      </c>
      <c r="AD10" s="543" t="s">
        <v>1</v>
      </c>
      <c r="AE10" s="543" t="s">
        <v>6</v>
      </c>
      <c r="AF10" s="543" t="s">
        <v>181</v>
      </c>
      <c r="AG10" s="546" t="str">
        <f>W10</f>
        <v>Year</v>
      </c>
      <c r="AH10" s="546" t="s">
        <v>2</v>
      </c>
      <c r="AI10" s="546" t="s">
        <v>52</v>
      </c>
      <c r="AJ10" s="546" t="s">
        <v>0</v>
      </c>
      <c r="AK10" s="546" t="s">
        <v>53</v>
      </c>
      <c r="AL10" s="546" t="s">
        <v>5</v>
      </c>
      <c r="AM10" s="546" t="s">
        <v>54</v>
      </c>
      <c r="AN10" s="546" t="s">
        <v>1</v>
      </c>
      <c r="AO10" s="546" t="s">
        <v>6</v>
      </c>
      <c r="AP10" s="547" t="s">
        <v>181</v>
      </c>
      <c r="AQ10" s="939"/>
      <c r="AR10" s="3" t="s">
        <v>389</v>
      </c>
      <c r="AT10" s="1328" t="s">
        <v>395</v>
      </c>
      <c r="AU10" s="3" t="s">
        <v>0</v>
      </c>
      <c r="AV10" s="3" t="s">
        <v>5</v>
      </c>
      <c r="AW10" s="3" t="s">
        <v>0</v>
      </c>
      <c r="AX10" s="3" t="s">
        <v>5</v>
      </c>
      <c r="AY10" s="3" t="s">
        <v>0</v>
      </c>
      <c r="AZ10" s="3" t="s">
        <v>5</v>
      </c>
    </row>
    <row r="11" spans="1:52" ht="13.5" thickBot="1" x14ac:dyDescent="0.25">
      <c r="A11" s="931">
        <v>2007</v>
      </c>
      <c r="B11" s="1296">
        <v>23.831382999999999</v>
      </c>
      <c r="C11" s="1296">
        <v>27.431152000000001</v>
      </c>
      <c r="D11" s="1297">
        <f>AY11</f>
        <v>19.139039844907355</v>
      </c>
      <c r="E11" s="1296">
        <v>15.767529</v>
      </c>
      <c r="F11" s="1297">
        <f>AZ11</f>
        <v>16.870047225373874</v>
      </c>
      <c r="G11" s="1296">
        <v>9.1869709999999998</v>
      </c>
      <c r="H11" s="1296">
        <v>13.840966</v>
      </c>
      <c r="I11" s="1296">
        <v>32.004199999999997</v>
      </c>
      <c r="J11" s="1298">
        <f t="shared" ref="J11:J54" si="0">K62/$M$2*10^6</f>
        <v>89.418777943368113</v>
      </c>
      <c r="K11" s="526">
        <f t="shared" ref="K11:K15" si="1">A11</f>
        <v>2007</v>
      </c>
      <c r="L11" s="527">
        <f t="shared" ref="L11:L54" si="2">B11*HVDiesel/10^6</f>
        <v>3.3054128221000001</v>
      </c>
      <c r="M11" s="527">
        <f t="shared" ref="M11:M54" si="3">C11*HVDiesel/10^6</f>
        <v>3.8047007823999999</v>
      </c>
      <c r="N11" s="527">
        <f t="shared" ref="N11:N54" si="4">D11*HVDiesel/10^6</f>
        <v>2.6545848264886498</v>
      </c>
      <c r="O11" s="527">
        <f t="shared" ref="O11:O54" si="5">E11*HVDiesel/10^6</f>
        <v>2.1869562722999998</v>
      </c>
      <c r="P11" s="527">
        <f t="shared" ref="P11:P54" si="6">F11*HVDiesel/10^6</f>
        <v>2.339875550159356</v>
      </c>
      <c r="Q11" s="527">
        <f t="shared" ref="Q11:Q54" si="7">G11*HVDiesel/10^6</f>
        <v>1.2742328777</v>
      </c>
      <c r="R11" s="527">
        <f t="shared" ref="R11:R54" si="8">H11*HVDiesel/10^6</f>
        <v>1.9197419842000001</v>
      </c>
      <c r="S11" s="527">
        <f t="shared" ref="S11:S23" si="9">I11*HVDiesel/10^6</f>
        <v>4.4389825400000005</v>
      </c>
      <c r="T11" s="528">
        <f t="shared" ref="T11:T54" si="10">J11*HVDiesel/10^6</f>
        <v>12.402384500745157</v>
      </c>
      <c r="U11" s="1311">
        <f t="shared" ref="U11:U23" si="11">U12</f>
        <v>2</v>
      </c>
      <c r="W11" s="536">
        <v>2007</v>
      </c>
      <c r="X11" s="1319">
        <f t="shared" ref="X11:X54" si="12">$X$6*B11</f>
        <v>18.665139132867136</v>
      </c>
      <c r="Y11" s="1319">
        <f t="shared" ref="Y11:Y54" si="13">$Y$6*C11</f>
        <v>29.176770763636359</v>
      </c>
      <c r="Z11" s="1319">
        <f t="shared" ref="Z11:Z54" si="14">$Z$6*D11</f>
        <v>18.255302290215983</v>
      </c>
      <c r="AA11" s="1319">
        <f>$AA$6*E11</f>
        <v>15.767529</v>
      </c>
      <c r="AB11" s="1319">
        <f t="shared" ref="AB11:AB54" si="15">$AB$6*F11</f>
        <v>16.106548415865408</v>
      </c>
      <c r="AC11" s="1319">
        <f>$AC$6*G11</f>
        <v>9.1869709999999998</v>
      </c>
      <c r="AD11" s="1319">
        <f t="shared" ref="AD11:AD54" si="16">$AD$6*H11</f>
        <v>11.9789526367713</v>
      </c>
      <c r="AE11" s="1319">
        <f>$AE$6*I11</f>
        <v>32.004199999999997</v>
      </c>
      <c r="AF11" s="620">
        <f t="shared" ref="AF11:AF54" si="17">AG62/$M$2*10^6</f>
        <v>89.418777943368113</v>
      </c>
      <c r="AG11" s="1320">
        <f t="shared" ref="AG11:AG15" si="18">W11</f>
        <v>2007</v>
      </c>
      <c r="AH11" s="1321">
        <f t="shared" ref="AH11:AH54" si="19">X11*HVDiesel/10^6</f>
        <v>2.5888547977286716</v>
      </c>
      <c r="AI11" s="1321">
        <f t="shared" ref="AI11:AI54" si="20">Y11*HVDiesel/10^6</f>
        <v>4.0468181049163627</v>
      </c>
      <c r="AJ11" s="1321">
        <f t="shared" ref="AJ11:AJ54" si="21">Z11*HVDiesel/10^6</f>
        <v>2.5320104276529567</v>
      </c>
      <c r="AK11" s="1321">
        <f t="shared" ref="AK11:AK54" si="22">AA11*HVDiesel/10^6</f>
        <v>2.1869562722999998</v>
      </c>
      <c r="AL11" s="1321">
        <f t="shared" ref="AL11:AL54" si="23">AB11*HVDiesel/10^6</f>
        <v>2.2339782652805322</v>
      </c>
      <c r="AM11" s="1321">
        <f t="shared" ref="AM11:AM54" si="24">AC11*HVDiesel/10^6</f>
        <v>1.2742328777</v>
      </c>
      <c r="AN11" s="1321">
        <f t="shared" ref="AN11:AN54" si="25">AD11*HVDiesel/10^6</f>
        <v>1.6614807307201793</v>
      </c>
      <c r="AO11" s="1321">
        <f t="shared" ref="AO11:AO54" si="26">IF($U$7,U11,1)*AE11*HVDiesel/10^6</f>
        <v>8.877965080000001</v>
      </c>
      <c r="AP11" s="1322">
        <f t="shared" ref="AP11:AP54" si="27">AF11*HVDiesel/10^6</f>
        <v>12.402384500745157</v>
      </c>
      <c r="AQ11" s="10"/>
      <c r="AR11" s="1" t="s">
        <v>186</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3.5" thickTop="1" x14ac:dyDescent="0.2">
      <c r="A12" s="468">
        <v>2008</v>
      </c>
      <c r="B12" s="1299">
        <v>28.925077000000002</v>
      </c>
      <c r="C12" s="1299">
        <v>33.544201000000001</v>
      </c>
      <c r="D12" s="1300">
        <f t="shared" ref="D12:D22" si="31">AY12</f>
        <v>23.14446391167051</v>
      </c>
      <c r="E12" s="1299">
        <v>24.678422999999999</v>
      </c>
      <c r="F12" s="1300">
        <f t="shared" ref="F12:F22" si="32">AZ12</f>
        <v>23.0911244330991</v>
      </c>
      <c r="G12" s="1299">
        <v>15.781518</v>
      </c>
      <c r="H12" s="1299">
        <v>20.719681000000001</v>
      </c>
      <c r="I12" s="1299">
        <v>41.567065999999997</v>
      </c>
      <c r="J12" s="1301">
        <f t="shared" si="0"/>
        <v>89.418777943368113</v>
      </c>
      <c r="K12" s="529">
        <f t="shared" si="1"/>
        <v>2008</v>
      </c>
      <c r="L12" s="524">
        <f t="shared" si="2"/>
        <v>4.0119081799000007</v>
      </c>
      <c r="M12" s="524">
        <f t="shared" si="3"/>
        <v>4.6525806786999997</v>
      </c>
      <c r="N12" s="524">
        <f t="shared" si="4"/>
        <v>3.2101371445486997</v>
      </c>
      <c r="O12" s="524">
        <f t="shared" si="5"/>
        <v>3.4228972701</v>
      </c>
      <c r="P12" s="524">
        <f t="shared" si="6"/>
        <v>3.2027389588708455</v>
      </c>
      <c r="Q12" s="524">
        <f t="shared" si="7"/>
        <v>2.1888965466000001</v>
      </c>
      <c r="R12" s="524">
        <f t="shared" si="8"/>
        <v>2.8738197547000004</v>
      </c>
      <c r="S12" s="524">
        <f t="shared" si="9"/>
        <v>5.7653520541999992</v>
      </c>
      <c r="T12" s="530">
        <f t="shared" si="10"/>
        <v>12.402384500745157</v>
      </c>
      <c r="U12" s="1311">
        <f t="shared" si="11"/>
        <v>2</v>
      </c>
      <c r="W12" s="468">
        <v>2008</v>
      </c>
      <c r="X12" s="1300">
        <f t="shared" si="12"/>
        <v>22.654605762237768</v>
      </c>
      <c r="Y12" s="1300">
        <f t="shared" si="13"/>
        <v>35.678831972727266</v>
      </c>
      <c r="Z12" s="1300">
        <f t="shared" si="14"/>
        <v>22.075777493350273</v>
      </c>
      <c r="AA12" s="1300">
        <f t="shared" ref="AA12:AA54" si="33">$AA$6*E12</f>
        <v>24.678422999999999</v>
      </c>
      <c r="AB12" s="1300">
        <f t="shared" si="15"/>
        <v>22.046074245665956</v>
      </c>
      <c r="AC12" s="1300">
        <f t="shared" ref="AC12:AC54" si="34">$AC$6*G12</f>
        <v>15.781518</v>
      </c>
      <c r="AD12" s="1300">
        <f t="shared" si="16"/>
        <v>17.932279968609866</v>
      </c>
      <c r="AE12" s="1300">
        <f t="shared" ref="AE12:AE54" si="35">$AE$6*I12</f>
        <v>41.567065999999997</v>
      </c>
      <c r="AF12" s="620">
        <f t="shared" si="17"/>
        <v>89.418777943368113</v>
      </c>
      <c r="AG12" s="1323">
        <f t="shared" si="18"/>
        <v>2008</v>
      </c>
      <c r="AH12" s="1324">
        <f t="shared" si="19"/>
        <v>3.1421938192223786</v>
      </c>
      <c r="AI12" s="1324">
        <f t="shared" si="20"/>
        <v>4.9486539946172723</v>
      </c>
      <c r="AJ12" s="1324">
        <f t="shared" si="21"/>
        <v>3.0619103383276829</v>
      </c>
      <c r="AK12" s="1324">
        <f t="shared" si="22"/>
        <v>3.4228972701</v>
      </c>
      <c r="AL12" s="1324">
        <f t="shared" si="23"/>
        <v>3.0577904978738677</v>
      </c>
      <c r="AM12" s="1324">
        <f t="shared" si="24"/>
        <v>2.1888965466000001</v>
      </c>
      <c r="AN12" s="1324">
        <f t="shared" si="25"/>
        <v>2.4872072316461886</v>
      </c>
      <c r="AO12" s="1324">
        <f t="shared" si="26"/>
        <v>11.530704108399998</v>
      </c>
      <c r="AP12" s="1325">
        <f t="shared" si="27"/>
        <v>12.402384500745157</v>
      </c>
      <c r="AQ12" s="10"/>
      <c r="AR12" s="935"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68">
        <v>2009</v>
      </c>
      <c r="B13" s="1299">
        <v>27.142980999999999</v>
      </c>
      <c r="C13" s="1299">
        <v>22.027393</v>
      </c>
      <c r="D13" s="1300">
        <f t="shared" si="31"/>
        <v>16.686242881839721</v>
      </c>
      <c r="E13" s="1299">
        <v>13.673363</v>
      </c>
      <c r="F13" s="1300">
        <f t="shared" si="32"/>
        <v>14.925186643575737</v>
      </c>
      <c r="G13" s="1299">
        <v>11.342912999999999</v>
      </c>
      <c r="H13" s="1299">
        <v>16.473005000000001</v>
      </c>
      <c r="I13" s="1299">
        <v>62.290424000000002</v>
      </c>
      <c r="J13" s="1301">
        <f t="shared" si="0"/>
        <v>89.418777943368113</v>
      </c>
      <c r="K13" s="529">
        <f t="shared" si="1"/>
        <v>2009</v>
      </c>
      <c r="L13" s="524">
        <f t="shared" si="2"/>
        <v>3.7647314647000001</v>
      </c>
      <c r="M13" s="524">
        <f t="shared" si="3"/>
        <v>3.0551994090999997</v>
      </c>
      <c r="N13" s="524">
        <f t="shared" si="4"/>
        <v>2.314381887711169</v>
      </c>
      <c r="O13" s="524">
        <f t="shared" si="5"/>
        <v>1.8964954480999998</v>
      </c>
      <c r="P13" s="524">
        <f t="shared" si="6"/>
        <v>2.0701233874639549</v>
      </c>
      <c r="Q13" s="524">
        <f t="shared" si="7"/>
        <v>1.5732620330999998</v>
      </c>
      <c r="R13" s="524">
        <f t="shared" si="8"/>
        <v>2.2848057935000003</v>
      </c>
      <c r="S13" s="524">
        <f t="shared" si="9"/>
        <v>8.6396818088000007</v>
      </c>
      <c r="T13" s="530">
        <f t="shared" si="10"/>
        <v>12.402384500745157</v>
      </c>
      <c r="U13" s="1311">
        <f t="shared" si="11"/>
        <v>2</v>
      </c>
      <c r="W13" s="468">
        <v>2009</v>
      </c>
      <c r="X13" s="1300">
        <f t="shared" si="12"/>
        <v>21.258838265734269</v>
      </c>
      <c r="Y13" s="1300">
        <f t="shared" si="13"/>
        <v>23.429136190909087</v>
      </c>
      <c r="Z13" s="1300">
        <f t="shared" si="14"/>
        <v>15.915762251626335</v>
      </c>
      <c r="AA13" s="1300">
        <f t="shared" si="33"/>
        <v>13.673363</v>
      </c>
      <c r="AB13" s="1300">
        <f t="shared" si="15"/>
        <v>14.249707667030716</v>
      </c>
      <c r="AC13" s="1300">
        <f t="shared" si="34"/>
        <v>11.342912999999999</v>
      </c>
      <c r="AD13" s="1300">
        <f t="shared" si="16"/>
        <v>14.25690567264574</v>
      </c>
      <c r="AE13" s="1300">
        <f t="shared" si="35"/>
        <v>62.290424000000002</v>
      </c>
      <c r="AF13" s="620">
        <f t="shared" si="17"/>
        <v>89.418777943368113</v>
      </c>
      <c r="AG13" s="1323">
        <f t="shared" si="18"/>
        <v>2009</v>
      </c>
      <c r="AH13" s="1324">
        <f t="shared" si="19"/>
        <v>2.9486008674573432</v>
      </c>
      <c r="AI13" s="1324">
        <f t="shared" si="20"/>
        <v>3.2496211896790905</v>
      </c>
      <c r="AJ13" s="1324">
        <f t="shared" si="21"/>
        <v>2.2075162243005728</v>
      </c>
      <c r="AK13" s="1324">
        <f t="shared" si="22"/>
        <v>1.8964954480999998</v>
      </c>
      <c r="AL13" s="1324">
        <f t="shared" si="23"/>
        <v>1.9764344534171603</v>
      </c>
      <c r="AM13" s="1324">
        <f t="shared" si="24"/>
        <v>1.5732620330999998</v>
      </c>
      <c r="AN13" s="1324">
        <f t="shared" si="25"/>
        <v>1.9774328167959641</v>
      </c>
      <c r="AO13" s="1324">
        <f t="shared" si="26"/>
        <v>17.279363617600001</v>
      </c>
      <c r="AP13" s="1325">
        <f t="shared" si="27"/>
        <v>12.402384500745157</v>
      </c>
      <c r="AQ13" s="10"/>
      <c r="AR13" s="936"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69">
        <v>2010</v>
      </c>
      <c r="B14" s="1299">
        <v>26.497553</v>
      </c>
      <c r="C14" s="1299">
        <v>26.790133000000001</v>
      </c>
      <c r="D14" s="1300">
        <f t="shared" si="31"/>
        <v>20.042935750421385</v>
      </c>
      <c r="E14" s="1299">
        <v>17.441685</v>
      </c>
      <c r="F14" s="1300">
        <f t="shared" si="32"/>
        <v>18.399326924350003</v>
      </c>
      <c r="G14" s="1299">
        <v>11.209270999999999</v>
      </c>
      <c r="H14" s="1299">
        <v>17.178132999999999</v>
      </c>
      <c r="I14" s="1299">
        <v>44.797077000000002</v>
      </c>
      <c r="J14" s="1301">
        <f t="shared" si="0"/>
        <v>89.418777943368113</v>
      </c>
      <c r="K14" s="531">
        <f t="shared" si="1"/>
        <v>2010</v>
      </c>
      <c r="L14" s="525">
        <f t="shared" si="2"/>
        <v>3.6752106011000003</v>
      </c>
      <c r="M14" s="525">
        <f t="shared" si="3"/>
        <v>3.7157914471</v>
      </c>
      <c r="N14" s="525">
        <f t="shared" si="4"/>
        <v>2.7799551885834464</v>
      </c>
      <c r="O14" s="525">
        <f t="shared" si="5"/>
        <v>2.4191617095</v>
      </c>
      <c r="P14" s="525">
        <f t="shared" si="6"/>
        <v>2.5519866444073456</v>
      </c>
      <c r="Q14" s="525">
        <f t="shared" si="7"/>
        <v>1.5547258876999999</v>
      </c>
      <c r="R14" s="525">
        <f t="shared" si="8"/>
        <v>2.3826070471</v>
      </c>
      <c r="S14" s="525">
        <f t="shared" si="9"/>
        <v>6.2133545798999998</v>
      </c>
      <c r="T14" s="532">
        <f t="shared" si="10"/>
        <v>12.402384500745157</v>
      </c>
      <c r="U14" s="1311">
        <f t="shared" si="11"/>
        <v>2</v>
      </c>
      <c r="W14" s="469">
        <v>2010</v>
      </c>
      <c r="X14" s="1300">
        <f t="shared" si="12"/>
        <v>20.753328223776226</v>
      </c>
      <c r="Y14" s="1300">
        <f t="shared" si="13"/>
        <v>28.494959645454543</v>
      </c>
      <c r="Z14" s="1300">
        <f t="shared" si="14"/>
        <v>19.117461161703876</v>
      </c>
      <c r="AA14" s="1300">
        <f t="shared" si="33"/>
        <v>17.441685</v>
      </c>
      <c r="AB14" s="1300">
        <f t="shared" si="15"/>
        <v>17.566616498894337</v>
      </c>
      <c r="AC14" s="1300">
        <f t="shared" si="34"/>
        <v>11.209270999999999</v>
      </c>
      <c r="AD14" s="1300">
        <f t="shared" si="16"/>
        <v>14.867173403587442</v>
      </c>
      <c r="AE14" s="1300">
        <f t="shared" si="35"/>
        <v>44.797077000000002</v>
      </c>
      <c r="AF14" s="620">
        <f t="shared" si="17"/>
        <v>89.418777943368113</v>
      </c>
      <c r="AG14" s="1326">
        <f t="shared" si="18"/>
        <v>2010</v>
      </c>
      <c r="AH14" s="525">
        <f t="shared" si="19"/>
        <v>2.8784866246377625</v>
      </c>
      <c r="AI14" s="525">
        <f t="shared" si="20"/>
        <v>3.9522509028245452</v>
      </c>
      <c r="AJ14" s="525">
        <f t="shared" si="21"/>
        <v>2.6515918631283277</v>
      </c>
      <c r="AK14" s="525">
        <f t="shared" si="22"/>
        <v>2.4191617095</v>
      </c>
      <c r="AL14" s="525">
        <f t="shared" si="23"/>
        <v>2.4364897083966448</v>
      </c>
      <c r="AM14" s="525">
        <f t="shared" si="24"/>
        <v>1.5547258876999999</v>
      </c>
      <c r="AN14" s="525">
        <f t="shared" si="25"/>
        <v>2.0620769510775783</v>
      </c>
      <c r="AO14" s="525">
        <f t="shared" si="26"/>
        <v>12.4267091598</v>
      </c>
      <c r="AP14" s="532">
        <f t="shared" si="27"/>
        <v>12.402384500745157</v>
      </c>
      <c r="AQ14" s="10"/>
      <c r="AR14" s="936"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70">
        <v>2011</v>
      </c>
      <c r="B15" s="1299">
        <v>27.153307000000002</v>
      </c>
      <c r="C15" s="1299">
        <v>34.314692999999998</v>
      </c>
      <c r="D15" s="1300">
        <f t="shared" si="31"/>
        <v>26.064227985794453</v>
      </c>
      <c r="E15" s="1299">
        <v>23.669519000000001</v>
      </c>
      <c r="F15" s="1300">
        <f t="shared" si="32"/>
        <v>24.357827814441997</v>
      </c>
      <c r="G15" s="1299">
        <v>18.559363999999999</v>
      </c>
      <c r="H15" s="1299">
        <v>17.058402999999998</v>
      </c>
      <c r="I15" s="1299">
        <v>35.388840000000002</v>
      </c>
      <c r="J15" s="1301">
        <f t="shared" si="0"/>
        <v>89.418777943368113</v>
      </c>
      <c r="K15" s="529">
        <f t="shared" si="1"/>
        <v>2011</v>
      </c>
      <c r="L15" s="524">
        <f t="shared" si="2"/>
        <v>3.7661636809000001</v>
      </c>
      <c r="M15" s="524">
        <f t="shared" si="3"/>
        <v>4.7594479190999994</v>
      </c>
      <c r="N15" s="524">
        <f t="shared" si="4"/>
        <v>3.6151084216296905</v>
      </c>
      <c r="O15" s="524">
        <f t="shared" si="5"/>
        <v>3.2829622853</v>
      </c>
      <c r="P15" s="524">
        <f t="shared" si="6"/>
        <v>3.3784307178631048</v>
      </c>
      <c r="Q15" s="524">
        <f t="shared" si="7"/>
        <v>2.5741837867999999</v>
      </c>
      <c r="R15" s="524">
        <f t="shared" si="8"/>
        <v>2.3660004960999999</v>
      </c>
      <c r="S15" s="524">
        <f t="shared" si="9"/>
        <v>4.9084321080000004</v>
      </c>
      <c r="T15" s="530">
        <f t="shared" si="10"/>
        <v>12.402384500745157</v>
      </c>
      <c r="U15" s="1311">
        <f t="shared" si="11"/>
        <v>2</v>
      </c>
      <c r="W15" s="468">
        <v>2011</v>
      </c>
      <c r="X15" s="1300">
        <f t="shared" si="12"/>
        <v>21.266925762237769</v>
      </c>
      <c r="Y15" s="1300">
        <f t="shared" si="13"/>
        <v>36.498355281818178</v>
      </c>
      <c r="Z15" s="1300">
        <f t="shared" si="14"/>
        <v>24.860722622320672</v>
      </c>
      <c r="AA15" s="1300">
        <f t="shared" si="33"/>
        <v>23.669519000000001</v>
      </c>
      <c r="AB15" s="1300">
        <f t="shared" si="15"/>
        <v>23.255449599959761</v>
      </c>
      <c r="AC15" s="1300">
        <f t="shared" si="34"/>
        <v>18.559363999999999</v>
      </c>
      <c r="AD15" s="1300">
        <f t="shared" si="16"/>
        <v>14.763550578475334</v>
      </c>
      <c r="AE15" s="1300">
        <f t="shared" si="35"/>
        <v>35.388840000000002</v>
      </c>
      <c r="AF15" s="620">
        <f t="shared" si="17"/>
        <v>89.418777943368113</v>
      </c>
      <c r="AG15" s="1323">
        <f t="shared" si="18"/>
        <v>2011</v>
      </c>
      <c r="AH15" s="1324">
        <f t="shared" si="19"/>
        <v>2.9497226032223787</v>
      </c>
      <c r="AI15" s="1324">
        <f t="shared" si="20"/>
        <v>5.0623218775881806</v>
      </c>
      <c r="AJ15" s="1324">
        <f t="shared" si="21"/>
        <v>3.4481822277158773</v>
      </c>
      <c r="AK15" s="1324">
        <f t="shared" si="22"/>
        <v>3.2829622853</v>
      </c>
      <c r="AL15" s="1324">
        <f t="shared" si="23"/>
        <v>3.2255308595144192</v>
      </c>
      <c r="AM15" s="1324">
        <f t="shared" si="24"/>
        <v>2.5741837867999999</v>
      </c>
      <c r="AN15" s="1324">
        <f t="shared" si="25"/>
        <v>2.0477044652345286</v>
      </c>
      <c r="AO15" s="1324">
        <f t="shared" si="26"/>
        <v>9.8168642160000008</v>
      </c>
      <c r="AP15" s="1325">
        <f t="shared" si="27"/>
        <v>12.402384500745157</v>
      </c>
      <c r="AQ15" s="10"/>
      <c r="AR15" s="936"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32">
        <v>2012</v>
      </c>
      <c r="B16" s="1302">
        <v>26.060852000000001</v>
      </c>
      <c r="C16" s="1302">
        <v>36.734264000000003</v>
      </c>
      <c r="D16" s="1303">
        <f t="shared" si="31"/>
        <v>27.478804154101759</v>
      </c>
      <c r="E16" s="1302">
        <v>23.645123000000002</v>
      </c>
      <c r="F16" s="1303">
        <f t="shared" si="32"/>
        <v>25.690778463111101</v>
      </c>
      <c r="G16" s="1302">
        <v>20.590979000000001</v>
      </c>
      <c r="H16" s="1302">
        <v>17.207750000000001</v>
      </c>
      <c r="I16" s="1302">
        <v>30.248889999999999</v>
      </c>
      <c r="J16" s="1301">
        <f t="shared" si="0"/>
        <v>89.418777943368113</v>
      </c>
      <c r="K16" s="529">
        <v>2012</v>
      </c>
      <c r="L16" s="524">
        <f t="shared" si="2"/>
        <v>3.6146401724000001</v>
      </c>
      <c r="M16" s="524">
        <f t="shared" si="3"/>
        <v>5.095042416800001</v>
      </c>
      <c r="N16" s="524">
        <f t="shared" si="4"/>
        <v>3.8113101361739141</v>
      </c>
      <c r="O16" s="524">
        <f t="shared" si="5"/>
        <v>3.2795785601000005</v>
      </c>
      <c r="P16" s="524">
        <f t="shared" si="6"/>
        <v>3.5633109728335097</v>
      </c>
      <c r="Q16" s="524">
        <f t="shared" si="7"/>
        <v>2.8559687873000001</v>
      </c>
      <c r="R16" s="524">
        <f t="shared" si="8"/>
        <v>2.3867149250000002</v>
      </c>
      <c r="S16" s="524">
        <f t="shared" si="9"/>
        <v>4.1955210429999994</v>
      </c>
      <c r="T16" s="530">
        <f t="shared" si="10"/>
        <v>12.402384500745157</v>
      </c>
      <c r="U16" s="1311">
        <f t="shared" si="11"/>
        <v>2</v>
      </c>
      <c r="W16" s="1305">
        <v>2012</v>
      </c>
      <c r="X16" s="1303">
        <f t="shared" si="12"/>
        <v>20.411296671328675</v>
      </c>
      <c r="Y16" s="1303">
        <f t="shared" si="13"/>
        <v>39.07189898181818</v>
      </c>
      <c r="Z16" s="1303">
        <f t="shared" si="14"/>
        <v>26.209981298526241</v>
      </c>
      <c r="AA16" s="1303">
        <f t="shared" si="33"/>
        <v>23.645123000000002</v>
      </c>
      <c r="AB16" s="1303">
        <f t="shared" si="15"/>
        <v>24.528074025483402</v>
      </c>
      <c r="AC16" s="1303">
        <f t="shared" si="34"/>
        <v>20.590979000000001</v>
      </c>
      <c r="AD16" s="1303">
        <f t="shared" si="16"/>
        <v>14.892806053811659</v>
      </c>
      <c r="AE16" s="1303">
        <f t="shared" si="35"/>
        <v>30.248889999999999</v>
      </c>
      <c r="AF16" s="620">
        <f t="shared" si="17"/>
        <v>89.418777943368113</v>
      </c>
      <c r="AG16" s="1323">
        <v>2012</v>
      </c>
      <c r="AH16" s="1324">
        <f t="shared" si="19"/>
        <v>2.8310468483132873</v>
      </c>
      <c r="AI16" s="1324">
        <f t="shared" si="20"/>
        <v>5.4192723887781815</v>
      </c>
      <c r="AJ16" s="1324">
        <f t="shared" si="21"/>
        <v>3.6353244061055894</v>
      </c>
      <c r="AK16" s="1324">
        <f t="shared" si="22"/>
        <v>3.2795785601000005</v>
      </c>
      <c r="AL16" s="1324">
        <f t="shared" si="23"/>
        <v>3.4020438673345481</v>
      </c>
      <c r="AM16" s="1324">
        <f t="shared" si="24"/>
        <v>2.8559687873000001</v>
      </c>
      <c r="AN16" s="1324">
        <f t="shared" si="25"/>
        <v>2.0656321996636771</v>
      </c>
      <c r="AO16" s="1324">
        <f t="shared" si="26"/>
        <v>8.3910420859999988</v>
      </c>
      <c r="AP16" s="1325">
        <f t="shared" si="27"/>
        <v>12.402384500745157</v>
      </c>
      <c r="AQ16" s="10"/>
      <c r="AR16" s="936"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32">
        <v>2013</v>
      </c>
      <c r="B17" s="1302">
        <v>25.294118999999998</v>
      </c>
      <c r="C17" s="1302">
        <v>33.997013000000003</v>
      </c>
      <c r="D17" s="1303">
        <f t="shared" si="31"/>
        <v>27.042850352976672</v>
      </c>
      <c r="E17" s="1302">
        <v>22.417128000000002</v>
      </c>
      <c r="F17" s="1303">
        <f t="shared" si="32"/>
        <v>25.766314550818404</v>
      </c>
      <c r="G17" s="1302">
        <v>19.805682999999998</v>
      </c>
      <c r="H17" s="1302">
        <v>18.155642</v>
      </c>
      <c r="I17" s="1302">
        <v>31.006128</v>
      </c>
      <c r="J17" s="1301">
        <f t="shared" si="0"/>
        <v>89.418777943368113</v>
      </c>
      <c r="K17" s="529">
        <v>2013</v>
      </c>
      <c r="L17" s="524">
        <f t="shared" si="2"/>
        <v>3.5082943052999997</v>
      </c>
      <c r="M17" s="524">
        <f t="shared" si="3"/>
        <v>4.7153857031000008</v>
      </c>
      <c r="N17" s="524">
        <f t="shared" si="4"/>
        <v>3.7508433439578641</v>
      </c>
      <c r="O17" s="524">
        <f t="shared" si="5"/>
        <v>3.1092556536000004</v>
      </c>
      <c r="P17" s="524">
        <f t="shared" si="6"/>
        <v>3.5737878281985127</v>
      </c>
      <c r="Q17" s="524">
        <f t="shared" si="7"/>
        <v>2.7470482320999996</v>
      </c>
      <c r="R17" s="524">
        <f t="shared" si="8"/>
        <v>2.5181875454</v>
      </c>
      <c r="S17" s="524">
        <f t="shared" si="9"/>
        <v>4.3005499536</v>
      </c>
      <c r="T17" s="530">
        <f t="shared" si="10"/>
        <v>12.402384500745157</v>
      </c>
      <c r="U17" s="1311">
        <f t="shared" si="11"/>
        <v>2</v>
      </c>
      <c r="W17" s="1305">
        <v>2013</v>
      </c>
      <c r="X17" s="1303">
        <f t="shared" si="12"/>
        <v>19.810778517482518</v>
      </c>
      <c r="Y17" s="1303">
        <f t="shared" si="13"/>
        <v>36.160459281818177</v>
      </c>
      <c r="Z17" s="1303">
        <f t="shared" si="14"/>
        <v>25.794157490822283</v>
      </c>
      <c r="AA17" s="1303">
        <f t="shared" si="33"/>
        <v>22.417128000000002</v>
      </c>
      <c r="AB17" s="1303">
        <f t="shared" si="15"/>
        <v>24.600191526848356</v>
      </c>
      <c r="AC17" s="1303">
        <f t="shared" si="34"/>
        <v>19.805682999999998</v>
      </c>
      <c r="AD17" s="1303">
        <f t="shared" si="16"/>
        <v>15.713178950672646</v>
      </c>
      <c r="AE17" s="1303">
        <f t="shared" si="35"/>
        <v>31.006128</v>
      </c>
      <c r="AF17" s="620">
        <f t="shared" si="17"/>
        <v>89.418777943368113</v>
      </c>
      <c r="AG17" s="1323">
        <v>2013</v>
      </c>
      <c r="AH17" s="1324">
        <f t="shared" si="19"/>
        <v>2.7477549803748254</v>
      </c>
      <c r="AI17" s="1324">
        <f t="shared" si="20"/>
        <v>5.0154557023881816</v>
      </c>
      <c r="AJ17" s="1324">
        <f t="shared" si="21"/>
        <v>3.5776496439770509</v>
      </c>
      <c r="AK17" s="1324">
        <f t="shared" si="22"/>
        <v>3.1092556536000004</v>
      </c>
      <c r="AL17" s="1324">
        <f t="shared" si="23"/>
        <v>3.4120465647738669</v>
      </c>
      <c r="AM17" s="1324">
        <f t="shared" si="24"/>
        <v>2.7470482320999996</v>
      </c>
      <c r="AN17" s="1324">
        <f t="shared" si="25"/>
        <v>2.1794179204582957</v>
      </c>
      <c r="AO17" s="1324">
        <f t="shared" si="26"/>
        <v>8.6010999072000001</v>
      </c>
      <c r="AP17" s="1325">
        <f t="shared" si="27"/>
        <v>12.402384500745157</v>
      </c>
      <c r="AQ17" s="10"/>
      <c r="AR17" s="936"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32">
        <v>2014</v>
      </c>
      <c r="B18" s="1302">
        <v>24.395772999999998</v>
      </c>
      <c r="C18" s="1302">
        <v>33.250518999999997</v>
      </c>
      <c r="D18" s="1303">
        <f t="shared" si="31"/>
        <v>26.273234518958141</v>
      </c>
      <c r="E18" s="1302">
        <v>20.819944</v>
      </c>
      <c r="F18" s="1303">
        <f t="shared" si="32"/>
        <v>25.535037257590947</v>
      </c>
      <c r="G18" s="1302">
        <v>14.62518</v>
      </c>
      <c r="H18" s="1302">
        <v>18.43741</v>
      </c>
      <c r="I18" s="1302">
        <v>32.181133000000003</v>
      </c>
      <c r="J18" s="1301">
        <f t="shared" si="0"/>
        <v>89.418777943368113</v>
      </c>
      <c r="K18" s="529">
        <v>2014</v>
      </c>
      <c r="L18" s="524">
        <f t="shared" si="2"/>
        <v>3.3836937150999997</v>
      </c>
      <c r="M18" s="524">
        <f t="shared" si="3"/>
        <v>4.6118469852999997</v>
      </c>
      <c r="N18" s="524">
        <f t="shared" si="4"/>
        <v>3.6440976277794941</v>
      </c>
      <c r="O18" s="524">
        <f t="shared" si="5"/>
        <v>2.8877262328</v>
      </c>
      <c r="P18" s="524">
        <f t="shared" si="6"/>
        <v>3.5417096676278645</v>
      </c>
      <c r="Q18" s="524">
        <f t="shared" si="7"/>
        <v>2.028512466</v>
      </c>
      <c r="R18" s="524">
        <f t="shared" si="8"/>
        <v>2.5572687670000001</v>
      </c>
      <c r="S18" s="524">
        <f t="shared" si="9"/>
        <v>4.463523147100001</v>
      </c>
      <c r="T18" s="530">
        <f t="shared" si="10"/>
        <v>12.402384500745157</v>
      </c>
      <c r="U18" s="1311">
        <f t="shared" si="11"/>
        <v>2</v>
      </c>
      <c r="W18" s="1305">
        <v>2014</v>
      </c>
      <c r="X18" s="1303">
        <f t="shared" si="12"/>
        <v>19.107178853146856</v>
      </c>
      <c r="Y18" s="1303">
        <f t="shared" si="13"/>
        <v>35.36646111818181</v>
      </c>
      <c r="Z18" s="1303">
        <f t="shared" si="14"/>
        <v>25.060078361921605</v>
      </c>
      <c r="AA18" s="1303">
        <f t="shared" si="33"/>
        <v>20.819944</v>
      </c>
      <c r="AB18" s="1303">
        <f t="shared" si="15"/>
        <v>24.379381302010604</v>
      </c>
      <c r="AC18" s="1303">
        <f t="shared" si="34"/>
        <v>14.62518</v>
      </c>
      <c r="AD18" s="1303">
        <f t="shared" si="16"/>
        <v>15.957040941704035</v>
      </c>
      <c r="AE18" s="1303">
        <f t="shared" si="35"/>
        <v>32.181133000000003</v>
      </c>
      <c r="AF18" s="620">
        <f t="shared" si="17"/>
        <v>89.418777943368113</v>
      </c>
      <c r="AG18" s="1323">
        <v>2014</v>
      </c>
      <c r="AH18" s="1324">
        <f t="shared" si="19"/>
        <v>2.6501657069314692</v>
      </c>
      <c r="AI18" s="1324">
        <f t="shared" si="20"/>
        <v>4.9053281570918168</v>
      </c>
      <c r="AJ18" s="1324">
        <f t="shared" si="21"/>
        <v>3.4758328687985265</v>
      </c>
      <c r="AK18" s="1324">
        <f t="shared" si="22"/>
        <v>2.8877262328</v>
      </c>
      <c r="AL18" s="1324">
        <f t="shared" si="23"/>
        <v>3.3814201865888709</v>
      </c>
      <c r="AM18" s="1324">
        <f t="shared" si="24"/>
        <v>2.028512466</v>
      </c>
      <c r="AN18" s="1324">
        <f t="shared" si="25"/>
        <v>2.2132415786143493</v>
      </c>
      <c r="AO18" s="1324">
        <f t="shared" si="26"/>
        <v>8.927046294200002</v>
      </c>
      <c r="AP18" s="1325">
        <f t="shared" si="27"/>
        <v>12.402384500745157</v>
      </c>
      <c r="AQ18" s="10"/>
      <c r="AR18" s="936"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33">
        <v>2015</v>
      </c>
      <c r="B19" s="1302">
        <v>17.964410999999998</v>
      </c>
      <c r="C19" s="1302">
        <v>23.267790000000002</v>
      </c>
      <c r="D19" s="1303">
        <f t="shared" si="31"/>
        <v>19.276370412676094</v>
      </c>
      <c r="E19" s="1302">
        <v>11.972967000000001</v>
      </c>
      <c r="F19" s="1303">
        <f t="shared" si="32"/>
        <v>18.095159363615679</v>
      </c>
      <c r="G19" s="1302">
        <v>8.1054680000000001</v>
      </c>
      <c r="H19" s="1302">
        <v>16.648273</v>
      </c>
      <c r="I19" s="1302">
        <v>29.485486999999999</v>
      </c>
      <c r="J19" s="1301">
        <f t="shared" si="0"/>
        <v>89.418777943368113</v>
      </c>
      <c r="K19" s="531">
        <v>2015</v>
      </c>
      <c r="L19" s="525">
        <f t="shared" si="2"/>
        <v>2.4916638057</v>
      </c>
      <c r="M19" s="525">
        <f t="shared" si="3"/>
        <v>3.2272424730000004</v>
      </c>
      <c r="N19" s="525">
        <f t="shared" si="4"/>
        <v>2.6736325762381745</v>
      </c>
      <c r="O19" s="525">
        <f t="shared" si="5"/>
        <v>1.6606505228999999</v>
      </c>
      <c r="P19" s="525">
        <f t="shared" si="6"/>
        <v>2.5097986037334943</v>
      </c>
      <c r="Q19" s="525">
        <f t="shared" si="7"/>
        <v>1.1242284116000001</v>
      </c>
      <c r="R19" s="525">
        <f t="shared" si="8"/>
        <v>2.3091154651000001</v>
      </c>
      <c r="S19" s="525">
        <f t="shared" si="9"/>
        <v>4.0896370469000001</v>
      </c>
      <c r="T19" s="532">
        <f t="shared" si="10"/>
        <v>12.402384500745157</v>
      </c>
      <c r="U19" s="1311">
        <f t="shared" si="11"/>
        <v>2</v>
      </c>
      <c r="W19" s="1306">
        <v>2015</v>
      </c>
      <c r="X19" s="1303">
        <f t="shared" si="12"/>
        <v>14.070028195804197</v>
      </c>
      <c r="Y19" s="1303">
        <f t="shared" si="13"/>
        <v>24.748467545454545</v>
      </c>
      <c r="Z19" s="1303">
        <f t="shared" si="14"/>
        <v>18.386291673623973</v>
      </c>
      <c r="AA19" s="1303">
        <f t="shared" si="33"/>
        <v>11.972967000000001</v>
      </c>
      <c r="AB19" s="1303">
        <f t="shared" si="15"/>
        <v>17.276214849269167</v>
      </c>
      <c r="AC19" s="1303">
        <f t="shared" si="34"/>
        <v>8.1054680000000001</v>
      </c>
      <c r="AD19" s="1303">
        <f t="shared" si="16"/>
        <v>14.408595017937218</v>
      </c>
      <c r="AE19" s="1303">
        <f t="shared" si="35"/>
        <v>29.485486999999999</v>
      </c>
      <c r="AF19" s="620">
        <f t="shared" si="17"/>
        <v>89.418777943368113</v>
      </c>
      <c r="AG19" s="1326">
        <v>2015</v>
      </c>
      <c r="AH19" s="525">
        <f t="shared" si="19"/>
        <v>1.951512910758042</v>
      </c>
      <c r="AI19" s="525">
        <f t="shared" si="20"/>
        <v>3.4326124485545457</v>
      </c>
      <c r="AJ19" s="525">
        <f t="shared" si="21"/>
        <v>2.5501786551316452</v>
      </c>
      <c r="AK19" s="525">
        <f t="shared" si="22"/>
        <v>1.6606505228999999</v>
      </c>
      <c r="AL19" s="525">
        <f t="shared" si="23"/>
        <v>2.3962109995936332</v>
      </c>
      <c r="AM19" s="525">
        <f t="shared" si="24"/>
        <v>1.1242284116000001</v>
      </c>
      <c r="AN19" s="525">
        <f t="shared" si="25"/>
        <v>1.9984721289878922</v>
      </c>
      <c r="AO19" s="525">
        <f t="shared" si="26"/>
        <v>8.1792740938000001</v>
      </c>
      <c r="AP19" s="532">
        <f t="shared" si="27"/>
        <v>12.402384500745157</v>
      </c>
      <c r="AQ19" s="10"/>
      <c r="AR19" s="936"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32">
        <v>2016</v>
      </c>
      <c r="B20" s="1299">
        <v>17.741709</v>
      </c>
      <c r="C20" s="1299">
        <v>20.812339999999999</v>
      </c>
      <c r="D20" s="1300">
        <f t="shared" si="31"/>
        <v>17.133898361264325</v>
      </c>
      <c r="E20" s="1299">
        <v>9.9809680000000007</v>
      </c>
      <c r="F20" s="1300">
        <f t="shared" si="32"/>
        <v>15.595396535463674</v>
      </c>
      <c r="G20" s="1299">
        <v>6.2571779999999997</v>
      </c>
      <c r="H20" s="1299">
        <v>14.278964</v>
      </c>
      <c r="I20" s="1299">
        <v>28.885411999999999</v>
      </c>
      <c r="J20" s="1301">
        <f t="shared" si="0"/>
        <v>85.692995529061108</v>
      </c>
      <c r="K20" s="529">
        <v>2016</v>
      </c>
      <c r="L20" s="524">
        <f t="shared" si="2"/>
        <v>2.4607750383</v>
      </c>
      <c r="M20" s="524">
        <f t="shared" si="3"/>
        <v>2.8866715579999997</v>
      </c>
      <c r="N20" s="524">
        <f t="shared" si="4"/>
        <v>2.3764717027073621</v>
      </c>
      <c r="O20" s="524">
        <f t="shared" si="5"/>
        <v>1.3843602616000001</v>
      </c>
      <c r="P20" s="524">
        <f t="shared" si="6"/>
        <v>2.1630814994688117</v>
      </c>
      <c r="Q20" s="524">
        <f t="shared" si="7"/>
        <v>0.86787058859999988</v>
      </c>
      <c r="R20" s="524">
        <f t="shared" si="8"/>
        <v>1.9804923068000002</v>
      </c>
      <c r="S20" s="524">
        <f t="shared" si="9"/>
        <v>4.0064066443999993</v>
      </c>
      <c r="T20" s="530">
        <f t="shared" si="10"/>
        <v>11.885618479880776</v>
      </c>
      <c r="U20" s="1311">
        <f t="shared" si="11"/>
        <v>2</v>
      </c>
      <c r="W20" s="1305">
        <v>2016</v>
      </c>
      <c r="X20" s="1299">
        <f t="shared" si="12"/>
        <v>13.895604251748255</v>
      </c>
      <c r="Y20" s="1299">
        <f t="shared" si="13"/>
        <v>22.136761636363634</v>
      </c>
      <c r="Z20" s="1299">
        <f t="shared" si="14"/>
        <v>16.342747417287203</v>
      </c>
      <c r="AA20" s="1299">
        <f t="shared" si="33"/>
        <v>9.9809680000000007</v>
      </c>
      <c r="AB20" s="1299">
        <f t="shared" si="15"/>
        <v>14.889585429568855</v>
      </c>
      <c r="AC20" s="1299">
        <f t="shared" si="34"/>
        <v>6.2571779999999997</v>
      </c>
      <c r="AD20" s="1299">
        <f t="shared" si="16"/>
        <v>12.358027139013453</v>
      </c>
      <c r="AE20" s="1299">
        <f t="shared" si="35"/>
        <v>28.885411999999999</v>
      </c>
      <c r="AF20" s="620">
        <f t="shared" si="17"/>
        <v>85.692995529061108</v>
      </c>
      <c r="AG20" s="1323">
        <v>2016</v>
      </c>
      <c r="AH20" s="1324">
        <f t="shared" si="19"/>
        <v>1.9273203097174829</v>
      </c>
      <c r="AI20" s="1324">
        <f t="shared" si="20"/>
        <v>3.0703688389636361</v>
      </c>
      <c r="AJ20" s="1324">
        <f t="shared" si="21"/>
        <v>2.2667390667777352</v>
      </c>
      <c r="AK20" s="1324">
        <f t="shared" si="22"/>
        <v>1.3843602616000001</v>
      </c>
      <c r="AL20" s="1324">
        <f t="shared" si="23"/>
        <v>2.0651854990812004</v>
      </c>
      <c r="AM20" s="1324">
        <f t="shared" si="24"/>
        <v>0.86787058859999988</v>
      </c>
      <c r="AN20" s="1324">
        <f t="shared" si="25"/>
        <v>1.714058364181166</v>
      </c>
      <c r="AO20" s="1324">
        <f t="shared" si="26"/>
        <v>8.0128132887999985</v>
      </c>
      <c r="AP20" s="1325">
        <f t="shared" si="27"/>
        <v>11.885618479880776</v>
      </c>
      <c r="AQ20" s="10"/>
      <c r="AR20" s="936"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3.5" thickBot="1" x14ac:dyDescent="0.25">
      <c r="A21" s="932">
        <v>2017</v>
      </c>
      <c r="B21" s="1302">
        <v>19.093874</v>
      </c>
      <c r="C21" s="1302">
        <v>22.146609999999999</v>
      </c>
      <c r="D21" s="1303">
        <f t="shared" si="31"/>
        <v>19.605030446056329</v>
      </c>
      <c r="E21" s="1302">
        <v>12.362413999999999</v>
      </c>
      <c r="F21" s="1303">
        <f t="shared" si="32"/>
        <v>18.320171162026067</v>
      </c>
      <c r="G21" s="1302">
        <v>8.6428510000000003</v>
      </c>
      <c r="H21" s="1302">
        <v>14.744268999999999</v>
      </c>
      <c r="I21" s="1302">
        <v>29.101451999999998</v>
      </c>
      <c r="J21" s="1301">
        <f t="shared" si="0"/>
        <v>81.967213114754102</v>
      </c>
      <c r="K21" s="529">
        <v>2017</v>
      </c>
      <c r="L21" s="524">
        <f t="shared" si="2"/>
        <v>2.6483203237999997</v>
      </c>
      <c r="M21" s="524">
        <f t="shared" si="3"/>
        <v>3.0717348069999999</v>
      </c>
      <c r="N21" s="524">
        <f t="shared" si="4"/>
        <v>2.7192177228680126</v>
      </c>
      <c r="O21" s="524">
        <f t="shared" si="5"/>
        <v>1.7146668217999999</v>
      </c>
      <c r="P21" s="524">
        <f t="shared" si="6"/>
        <v>2.5410077401730158</v>
      </c>
      <c r="Q21" s="524">
        <f t="shared" si="7"/>
        <v>1.1987634336999999</v>
      </c>
      <c r="R21" s="524">
        <f t="shared" si="8"/>
        <v>2.0450301102999999</v>
      </c>
      <c r="S21" s="524">
        <f t="shared" si="9"/>
        <v>4.0363713923999995</v>
      </c>
      <c r="T21" s="530">
        <f t="shared" si="10"/>
        <v>11.368852459016393</v>
      </c>
      <c r="U21" s="1311">
        <f t="shared" si="11"/>
        <v>2</v>
      </c>
      <c r="W21" s="1305">
        <v>2017</v>
      </c>
      <c r="X21" s="1302">
        <f t="shared" si="12"/>
        <v>14.954642573426575</v>
      </c>
      <c r="Y21" s="1302">
        <f t="shared" si="13"/>
        <v>23.555939727272722</v>
      </c>
      <c r="Z21" s="1302">
        <f t="shared" si="14"/>
        <v>18.69977596064609</v>
      </c>
      <c r="AA21" s="1302">
        <f t="shared" si="33"/>
        <v>12.362413999999999</v>
      </c>
      <c r="AB21" s="1302">
        <f t="shared" si="15"/>
        <v>17.491043140904704</v>
      </c>
      <c r="AC21" s="1302">
        <f t="shared" si="34"/>
        <v>8.6428510000000003</v>
      </c>
      <c r="AD21" s="1302">
        <f t="shared" si="16"/>
        <v>12.760735053811658</v>
      </c>
      <c r="AE21" s="1302">
        <f t="shared" si="35"/>
        <v>29.101451999999998</v>
      </c>
      <c r="AF21" s="620">
        <f t="shared" si="17"/>
        <v>81.967213114754102</v>
      </c>
      <c r="AG21" s="1323">
        <v>2017</v>
      </c>
      <c r="AH21" s="1324">
        <f t="shared" si="19"/>
        <v>2.0742089249342661</v>
      </c>
      <c r="AI21" s="1324">
        <f t="shared" si="20"/>
        <v>3.2672088401727266</v>
      </c>
      <c r="AJ21" s="1324">
        <f t="shared" si="21"/>
        <v>2.5936589257416123</v>
      </c>
      <c r="AK21" s="1324">
        <f t="shared" si="22"/>
        <v>1.7146668217999999</v>
      </c>
      <c r="AL21" s="1324">
        <f t="shared" si="23"/>
        <v>2.4260076836434825</v>
      </c>
      <c r="AM21" s="1324">
        <f t="shared" si="24"/>
        <v>1.1987634336999999</v>
      </c>
      <c r="AN21" s="1324">
        <f t="shared" si="25"/>
        <v>1.7699139519636768</v>
      </c>
      <c r="AO21" s="1324">
        <f t="shared" si="26"/>
        <v>8.0727427847999991</v>
      </c>
      <c r="AP21" s="1325">
        <f t="shared" si="27"/>
        <v>11.368852459016393</v>
      </c>
      <c r="AQ21" s="10"/>
      <c r="AR21" s="937" t="s">
        <v>195</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3.5" thickTop="1" x14ac:dyDescent="0.2">
      <c r="A22" s="932">
        <v>2018</v>
      </c>
      <c r="B22" s="1302">
        <v>18.011908999999999</v>
      </c>
      <c r="C22" s="1302">
        <v>29.232935000000001</v>
      </c>
      <c r="D22" s="1303">
        <f t="shared" si="31"/>
        <v>22.739042504488459</v>
      </c>
      <c r="E22" s="1302">
        <v>16.156372000000001</v>
      </c>
      <c r="F22" s="1303">
        <f t="shared" si="32"/>
        <v>22.505902487847884</v>
      </c>
      <c r="G22" s="1302">
        <v>10.938333999999999</v>
      </c>
      <c r="H22" s="1302">
        <v>14.392683999999999</v>
      </c>
      <c r="I22" s="1302">
        <v>33.287472000000001</v>
      </c>
      <c r="J22" s="1301">
        <f t="shared" si="0"/>
        <v>78.241430700447097</v>
      </c>
      <c r="K22" s="529">
        <v>2018</v>
      </c>
      <c r="L22" s="524">
        <f t="shared" si="2"/>
        <v>2.4982517782999998</v>
      </c>
      <c r="M22" s="524">
        <f t="shared" si="3"/>
        <v>4.0546080845000008</v>
      </c>
      <c r="N22" s="524">
        <f t="shared" si="4"/>
        <v>3.1539051953725492</v>
      </c>
      <c r="O22" s="524">
        <f t="shared" si="5"/>
        <v>2.2408887964000002</v>
      </c>
      <c r="P22" s="524">
        <f t="shared" si="6"/>
        <v>3.1215686750645015</v>
      </c>
      <c r="Q22" s="524">
        <f t="shared" si="7"/>
        <v>1.5171469257999999</v>
      </c>
      <c r="R22" s="524">
        <f t="shared" si="8"/>
        <v>1.9962652707999997</v>
      </c>
      <c r="S22" s="524">
        <f t="shared" si="9"/>
        <v>4.6169723663999997</v>
      </c>
      <c r="T22" s="530">
        <f t="shared" si="10"/>
        <v>10.852086438152012</v>
      </c>
      <c r="U22" s="1311">
        <f t="shared" si="11"/>
        <v>2</v>
      </c>
      <c r="W22" s="1305">
        <v>2018</v>
      </c>
      <c r="X22" s="1302">
        <f t="shared" si="12"/>
        <v>14.107229426573427</v>
      </c>
      <c r="Y22" s="1302">
        <f t="shared" si="13"/>
        <v>31.09321268181818</v>
      </c>
      <c r="Z22" s="1302">
        <f t="shared" si="14"/>
        <v>21.689076258439453</v>
      </c>
      <c r="AA22" s="1302">
        <f t="shared" si="33"/>
        <v>16.156372000000001</v>
      </c>
      <c r="AB22" s="1302">
        <f t="shared" si="15"/>
        <v>21.487338074433527</v>
      </c>
      <c r="AC22" s="1302">
        <f t="shared" si="34"/>
        <v>10.938333999999999</v>
      </c>
      <c r="AD22" s="1302">
        <f t="shared" si="16"/>
        <v>12.45644848430493</v>
      </c>
      <c r="AE22" s="1302">
        <f t="shared" si="35"/>
        <v>33.287472000000001</v>
      </c>
      <c r="AF22" s="620">
        <f t="shared" si="17"/>
        <v>78.241430700447097</v>
      </c>
      <c r="AG22" s="1323">
        <v>2018</v>
      </c>
      <c r="AH22" s="1324">
        <f t="shared" si="19"/>
        <v>1.9566727214657342</v>
      </c>
      <c r="AI22" s="1324">
        <f t="shared" si="20"/>
        <v>4.3126285989681818</v>
      </c>
      <c r="AJ22" s="1324">
        <f t="shared" si="21"/>
        <v>3.0082748770455523</v>
      </c>
      <c r="AK22" s="1324">
        <f t="shared" si="22"/>
        <v>2.2408887964000002</v>
      </c>
      <c r="AL22" s="1324">
        <f t="shared" si="23"/>
        <v>2.9802937909239304</v>
      </c>
      <c r="AM22" s="1324">
        <f t="shared" si="24"/>
        <v>1.5171469257999999</v>
      </c>
      <c r="AN22" s="1324">
        <f t="shared" si="25"/>
        <v>1.7277094047730939</v>
      </c>
      <c r="AO22" s="1324">
        <f t="shared" si="26"/>
        <v>9.2339447327999995</v>
      </c>
      <c r="AP22" s="1325">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32">
        <v>2019</v>
      </c>
      <c r="B23" s="472">
        <v>16.634917999999999</v>
      </c>
      <c r="C23" s="472">
        <v>24.537946999999999</v>
      </c>
      <c r="D23" s="472">
        <v>22.170871999999999</v>
      </c>
      <c r="E23" s="472">
        <v>14.641048</v>
      </c>
      <c r="F23" s="472">
        <v>22.110787999999999</v>
      </c>
      <c r="G23" s="472">
        <v>9.5779259999999997</v>
      </c>
      <c r="H23" s="472">
        <v>13.698598</v>
      </c>
      <c r="I23" s="472">
        <v>33.252597999999999</v>
      </c>
      <c r="J23" s="1301">
        <f t="shared" si="0"/>
        <v>74.515648286140092</v>
      </c>
      <c r="K23" s="529">
        <v>2019</v>
      </c>
      <c r="L23" s="524">
        <f t="shared" si="2"/>
        <v>2.3072631266000001</v>
      </c>
      <c r="M23" s="524">
        <f t="shared" si="3"/>
        <v>3.4034132489000002</v>
      </c>
      <c r="N23" s="524">
        <f t="shared" si="4"/>
        <v>3.0750999464</v>
      </c>
      <c r="O23" s="524">
        <f t="shared" si="5"/>
        <v>2.0307133575999998</v>
      </c>
      <c r="P23" s="524">
        <f t="shared" si="6"/>
        <v>3.0667662955999999</v>
      </c>
      <c r="Q23" s="524">
        <f t="shared" si="7"/>
        <v>1.3284583362</v>
      </c>
      <c r="R23" s="524">
        <f t="shared" si="8"/>
        <v>1.8999955426000001</v>
      </c>
      <c r="S23" s="524">
        <f t="shared" si="9"/>
        <v>4.6121353426000002</v>
      </c>
      <c r="T23" s="530">
        <f t="shared" si="10"/>
        <v>10.335320417287631</v>
      </c>
      <c r="U23" s="1311">
        <f t="shared" si="11"/>
        <v>2</v>
      </c>
      <c r="W23" s="1305">
        <v>2019</v>
      </c>
      <c r="X23" s="472">
        <f t="shared" si="12"/>
        <v>13.028746965034966</v>
      </c>
      <c r="Y23" s="472">
        <f t="shared" si="13"/>
        <v>26.099452718181812</v>
      </c>
      <c r="Z23" s="472">
        <f t="shared" si="14"/>
        <v>21.147140801077349</v>
      </c>
      <c r="AA23" s="472">
        <f t="shared" si="33"/>
        <v>14.641048</v>
      </c>
      <c r="AB23" s="472">
        <f t="shared" si="15"/>
        <v>21.110105542519808</v>
      </c>
      <c r="AC23" s="472">
        <f t="shared" si="34"/>
        <v>9.5779259999999997</v>
      </c>
      <c r="AD23" s="472">
        <f t="shared" si="16"/>
        <v>11.85573728251121</v>
      </c>
      <c r="AE23" s="472">
        <f t="shared" si="35"/>
        <v>33.252597999999999</v>
      </c>
      <c r="AF23" s="620">
        <f t="shared" si="17"/>
        <v>74.515648286140092</v>
      </c>
      <c r="AG23" s="1323">
        <v>2019</v>
      </c>
      <c r="AH23" s="1324">
        <f t="shared" si="19"/>
        <v>1.8070872040503498</v>
      </c>
      <c r="AI23" s="1324">
        <f t="shared" si="20"/>
        <v>3.6199940920118174</v>
      </c>
      <c r="AJ23" s="1324">
        <f t="shared" si="21"/>
        <v>2.9331084291094283</v>
      </c>
      <c r="AK23" s="1324">
        <f t="shared" si="22"/>
        <v>2.0307133575999998</v>
      </c>
      <c r="AL23" s="1324">
        <f t="shared" si="23"/>
        <v>2.9279716387474974</v>
      </c>
      <c r="AM23" s="1324">
        <f t="shared" si="24"/>
        <v>1.3284583362</v>
      </c>
      <c r="AN23" s="1324">
        <f t="shared" si="25"/>
        <v>1.6443907610843049</v>
      </c>
      <c r="AO23" s="1324">
        <f t="shared" si="26"/>
        <v>9.2242706852000005</v>
      </c>
      <c r="AP23" s="1325">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33">
        <v>2020</v>
      </c>
      <c r="B24" s="472">
        <v>15.560148999999999</v>
      </c>
      <c r="C24" s="472">
        <v>24.243863999999999</v>
      </c>
      <c r="D24" s="472">
        <v>21.954423999999999</v>
      </c>
      <c r="E24" s="472">
        <v>14.449450000000001</v>
      </c>
      <c r="F24" s="472">
        <v>21.343924999999999</v>
      </c>
      <c r="G24" s="472">
        <v>10.569046</v>
      </c>
      <c r="H24" s="472">
        <v>13.285862</v>
      </c>
      <c r="I24" s="472">
        <v>33.912785</v>
      </c>
      <c r="J24" s="1301">
        <f t="shared" si="0"/>
        <v>70.789865871833086</v>
      </c>
      <c r="K24" s="531">
        <v>2020</v>
      </c>
      <c r="L24" s="525">
        <f t="shared" si="2"/>
        <v>2.1581926662999997</v>
      </c>
      <c r="M24" s="525">
        <f t="shared" si="3"/>
        <v>3.3626239367999999</v>
      </c>
      <c r="N24" s="525">
        <f t="shared" si="4"/>
        <v>3.0450786087999999</v>
      </c>
      <c r="O24" s="525">
        <f t="shared" si="5"/>
        <v>2.0041387150000003</v>
      </c>
      <c r="P24" s="525">
        <f t="shared" si="6"/>
        <v>2.9604023974999998</v>
      </c>
      <c r="Q24" s="525">
        <f t="shared" si="7"/>
        <v>1.4659266802000002</v>
      </c>
      <c r="R24" s="525">
        <f t="shared" si="8"/>
        <v>1.8427490594</v>
      </c>
      <c r="S24" s="525">
        <f t="shared" ref="S24:S58" si="37">U24*I24*HVDiesel/10^6</f>
        <v>9.407406559</v>
      </c>
      <c r="T24" s="532">
        <f t="shared" si="10"/>
        <v>9.8185543964232487</v>
      </c>
      <c r="U24" s="1312">
        <f>'S-curves'!AN9</f>
        <v>2</v>
      </c>
      <c r="W24" s="1306">
        <v>2020</v>
      </c>
      <c r="X24" s="472">
        <f t="shared" si="12"/>
        <v>12.186969846153847</v>
      </c>
      <c r="Y24" s="472">
        <f t="shared" si="13"/>
        <v>25.786655345454541</v>
      </c>
      <c r="Z24" s="472">
        <f t="shared" si="14"/>
        <v>20.940687201412366</v>
      </c>
      <c r="AA24" s="472">
        <f t="shared" si="33"/>
        <v>14.449450000000001</v>
      </c>
      <c r="AB24" s="472">
        <f t="shared" si="15"/>
        <v>20.377948965076552</v>
      </c>
      <c r="AC24" s="472">
        <f t="shared" si="34"/>
        <v>10.569046</v>
      </c>
      <c r="AD24" s="472">
        <f t="shared" si="16"/>
        <v>11.498526304932735</v>
      </c>
      <c r="AE24" s="472">
        <f t="shared" si="35"/>
        <v>33.912785</v>
      </c>
      <c r="AF24" s="620">
        <f t="shared" si="17"/>
        <v>70.789865871833086</v>
      </c>
      <c r="AG24" s="1326">
        <v>2020</v>
      </c>
      <c r="AH24" s="525">
        <f t="shared" si="19"/>
        <v>1.6903327176615386</v>
      </c>
      <c r="AI24" s="525">
        <f t="shared" si="20"/>
        <v>3.5766090964145447</v>
      </c>
      <c r="AJ24" s="525">
        <f t="shared" si="21"/>
        <v>2.9044733148358954</v>
      </c>
      <c r="AK24" s="525">
        <f t="shared" si="22"/>
        <v>2.0041387150000003</v>
      </c>
      <c r="AL24" s="525">
        <f t="shared" si="23"/>
        <v>2.8264215214561177</v>
      </c>
      <c r="AM24" s="525">
        <f t="shared" si="24"/>
        <v>1.4659266802000002</v>
      </c>
      <c r="AN24" s="525">
        <f t="shared" si="25"/>
        <v>1.5948455984941705</v>
      </c>
      <c r="AO24" s="525">
        <f t="shared" si="26"/>
        <v>9.407406559</v>
      </c>
      <c r="AP24" s="532">
        <f t="shared" si="27"/>
        <v>9.8185543964232487</v>
      </c>
      <c r="AQ24" s="10"/>
    </row>
    <row r="25" spans="1:52" x14ac:dyDescent="0.2">
      <c r="A25" s="932">
        <v>2021</v>
      </c>
      <c r="B25" s="472">
        <v>16.020731000000001</v>
      </c>
      <c r="C25" s="472">
        <v>29.909514999999999</v>
      </c>
      <c r="D25" s="472">
        <v>21.978480999999999</v>
      </c>
      <c r="E25" s="472">
        <v>14.469915</v>
      </c>
      <c r="F25" s="472">
        <v>21.456230000000001</v>
      </c>
      <c r="G25" s="472">
        <v>10.419720999999999</v>
      </c>
      <c r="H25" s="472">
        <v>12.658550999999999</v>
      </c>
      <c r="I25" s="472">
        <v>33.971561000000001</v>
      </c>
      <c r="J25" s="1301">
        <f t="shared" si="0"/>
        <v>67.064083457526081</v>
      </c>
      <c r="K25" s="529">
        <v>2021</v>
      </c>
      <c r="L25" s="524">
        <f t="shared" si="2"/>
        <v>2.2220753897000001</v>
      </c>
      <c r="M25" s="524">
        <f t="shared" si="3"/>
        <v>4.1484497305000003</v>
      </c>
      <c r="N25" s="524">
        <f t="shared" si="4"/>
        <v>3.0484153147000002</v>
      </c>
      <c r="O25" s="524">
        <f t="shared" si="5"/>
        <v>2.0069772105000001</v>
      </c>
      <c r="P25" s="524">
        <f t="shared" si="6"/>
        <v>2.9759791010000001</v>
      </c>
      <c r="Q25" s="524">
        <f t="shared" si="7"/>
        <v>1.4452153026999999</v>
      </c>
      <c r="R25" s="524">
        <f t="shared" si="8"/>
        <v>1.7557410236999997</v>
      </c>
      <c r="S25" s="524">
        <f t="shared" si="37"/>
        <v>9.4237110214000008</v>
      </c>
      <c r="T25" s="530">
        <f t="shared" si="10"/>
        <v>9.3017883755588677</v>
      </c>
      <c r="U25" s="1312">
        <f>'S-curves'!AN10</f>
        <v>2</v>
      </c>
      <c r="W25" s="1305">
        <v>2021</v>
      </c>
      <c r="X25" s="472">
        <f t="shared" si="12"/>
        <v>12.547705398601401</v>
      </c>
      <c r="Y25" s="472">
        <f t="shared" si="13"/>
        <v>31.812847772727267</v>
      </c>
      <c r="Z25" s="472">
        <f t="shared" si="14"/>
        <v>20.963633379003014</v>
      </c>
      <c r="AA25" s="472">
        <f t="shared" si="33"/>
        <v>14.469915</v>
      </c>
      <c r="AB25" s="472">
        <f t="shared" si="15"/>
        <v>20.485171303916431</v>
      </c>
      <c r="AC25" s="472">
        <f t="shared" si="34"/>
        <v>10.419720999999999</v>
      </c>
      <c r="AD25" s="472">
        <f t="shared" si="16"/>
        <v>10.955606919282509</v>
      </c>
      <c r="AE25" s="472">
        <f t="shared" si="35"/>
        <v>33.971561000000001</v>
      </c>
      <c r="AF25" s="620">
        <f t="shared" si="17"/>
        <v>67.064083457526081</v>
      </c>
      <c r="AG25" s="1323">
        <v>2021</v>
      </c>
      <c r="AH25" s="1324">
        <f t="shared" si="19"/>
        <v>1.7403667387860142</v>
      </c>
      <c r="AI25" s="1324">
        <f t="shared" si="20"/>
        <v>4.4124419860772726</v>
      </c>
      <c r="AJ25" s="1324">
        <f t="shared" si="21"/>
        <v>2.9076559496677179</v>
      </c>
      <c r="AK25" s="1324">
        <f t="shared" si="22"/>
        <v>2.0069772105000001</v>
      </c>
      <c r="AL25" s="1324">
        <f t="shared" si="23"/>
        <v>2.841293259853209</v>
      </c>
      <c r="AM25" s="1324">
        <f t="shared" si="24"/>
        <v>1.4452153026999999</v>
      </c>
      <c r="AN25" s="1324">
        <f t="shared" si="25"/>
        <v>1.519542679704484</v>
      </c>
      <c r="AO25" s="1324">
        <f t="shared" si="26"/>
        <v>9.4237110214000008</v>
      </c>
      <c r="AP25" s="1325">
        <f t="shared" si="27"/>
        <v>9.3017883755588677</v>
      </c>
      <c r="AQ25" s="10"/>
    </row>
    <row r="26" spans="1:52" x14ac:dyDescent="0.2">
      <c r="A26" s="932">
        <v>2022</v>
      </c>
      <c r="B26" s="472">
        <v>16.712645999999999</v>
      </c>
      <c r="C26" s="472">
        <v>28.426769</v>
      </c>
      <c r="D26" s="472">
        <v>21.98358</v>
      </c>
      <c r="E26" s="472">
        <v>14.677915</v>
      </c>
      <c r="F26" s="472">
        <v>21.792422999999999</v>
      </c>
      <c r="G26" s="472">
        <v>10.188439000000001</v>
      </c>
      <c r="H26" s="472">
        <v>12.415777</v>
      </c>
      <c r="I26" s="472">
        <v>34.360657000000003</v>
      </c>
      <c r="J26" s="1301">
        <f t="shared" si="0"/>
        <v>63.338301043219076</v>
      </c>
      <c r="K26" s="529">
        <v>2022</v>
      </c>
      <c r="L26" s="524">
        <f t="shared" si="2"/>
        <v>2.3180440002</v>
      </c>
      <c r="M26" s="524">
        <f t="shared" si="3"/>
        <v>3.9427928603</v>
      </c>
      <c r="N26" s="524">
        <f t="shared" si="4"/>
        <v>3.049122546</v>
      </c>
      <c r="O26" s="524">
        <f t="shared" si="5"/>
        <v>2.0358268105000001</v>
      </c>
      <c r="P26" s="524">
        <f t="shared" si="6"/>
        <v>3.0226090701000001</v>
      </c>
      <c r="Q26" s="524">
        <f t="shared" si="7"/>
        <v>1.4131364893</v>
      </c>
      <c r="R26" s="524">
        <f t="shared" si="8"/>
        <v>1.7220682699000001</v>
      </c>
      <c r="S26" s="524">
        <f t="shared" si="37"/>
        <v>9.5316462517999998</v>
      </c>
      <c r="T26" s="530">
        <f t="shared" si="10"/>
        <v>8.785022354694485</v>
      </c>
      <c r="U26" s="1312">
        <f>'S-curves'!AN11</f>
        <v>2</v>
      </c>
      <c r="W26" s="1305">
        <v>2022</v>
      </c>
      <c r="X26" s="472">
        <f t="shared" si="12"/>
        <v>13.089624839160841</v>
      </c>
      <c r="Y26" s="472">
        <f t="shared" si="13"/>
        <v>30.235745209090904</v>
      </c>
      <c r="Z26" s="472">
        <f t="shared" si="14"/>
        <v>20.968496934705502</v>
      </c>
      <c r="AA26" s="472">
        <f t="shared" si="33"/>
        <v>14.677915</v>
      </c>
      <c r="AB26" s="472">
        <f t="shared" si="15"/>
        <v>20.806148996464355</v>
      </c>
      <c r="AC26" s="472">
        <f t="shared" si="34"/>
        <v>10.188439000000001</v>
      </c>
      <c r="AD26" s="472">
        <f t="shared" si="16"/>
        <v>10.745493098654707</v>
      </c>
      <c r="AE26" s="472">
        <f t="shared" si="35"/>
        <v>34.360657000000003</v>
      </c>
      <c r="AF26" s="620">
        <f t="shared" si="17"/>
        <v>63.338301043219076</v>
      </c>
      <c r="AG26" s="1323">
        <v>2022</v>
      </c>
      <c r="AH26" s="1324">
        <f t="shared" si="19"/>
        <v>1.8155309651916085</v>
      </c>
      <c r="AI26" s="1324">
        <f t="shared" si="20"/>
        <v>4.1936978605009081</v>
      </c>
      <c r="AJ26" s="1324">
        <f t="shared" si="21"/>
        <v>2.9083305248436533</v>
      </c>
      <c r="AK26" s="1324">
        <f t="shared" si="22"/>
        <v>2.0358268105000001</v>
      </c>
      <c r="AL26" s="1324">
        <f t="shared" si="23"/>
        <v>2.8858128658096058</v>
      </c>
      <c r="AM26" s="1324">
        <f t="shared" si="24"/>
        <v>1.4131364893</v>
      </c>
      <c r="AN26" s="1324">
        <f t="shared" si="25"/>
        <v>1.4903998927834079</v>
      </c>
      <c r="AO26" s="1324">
        <f t="shared" si="26"/>
        <v>9.5316462517999998</v>
      </c>
      <c r="AP26" s="1325">
        <f t="shared" si="27"/>
        <v>8.785022354694485</v>
      </c>
      <c r="AQ26" s="10"/>
    </row>
    <row r="27" spans="1:52" x14ac:dyDescent="0.2">
      <c r="A27" s="932">
        <v>2023</v>
      </c>
      <c r="B27" s="472">
        <v>17.151492999999999</v>
      </c>
      <c r="C27" s="472">
        <v>28.618099000000001</v>
      </c>
      <c r="D27" s="472">
        <v>21.894874999999999</v>
      </c>
      <c r="E27" s="472">
        <v>14.784328</v>
      </c>
      <c r="F27" s="472">
        <v>21.917566000000001</v>
      </c>
      <c r="G27" s="472">
        <v>8.9142880000000009</v>
      </c>
      <c r="H27" s="472">
        <v>12.426674999999999</v>
      </c>
      <c r="I27" s="472">
        <v>34.89761</v>
      </c>
      <c r="J27" s="1301">
        <f t="shared" si="0"/>
        <v>59.612518628912071</v>
      </c>
      <c r="K27" s="529">
        <v>2023</v>
      </c>
      <c r="L27" s="524">
        <f t="shared" si="2"/>
        <v>2.3789120790999996</v>
      </c>
      <c r="M27" s="524">
        <f t="shared" si="3"/>
        <v>3.9693303313000001</v>
      </c>
      <c r="N27" s="524">
        <f t="shared" si="4"/>
        <v>3.0368191624999996</v>
      </c>
      <c r="O27" s="524">
        <f t="shared" si="5"/>
        <v>2.0505862935999999</v>
      </c>
      <c r="P27" s="524">
        <f t="shared" si="6"/>
        <v>3.0399664042000003</v>
      </c>
      <c r="Q27" s="524">
        <f t="shared" si="7"/>
        <v>1.2364117456000001</v>
      </c>
      <c r="R27" s="524">
        <f t="shared" si="8"/>
        <v>1.7235798225000001</v>
      </c>
      <c r="S27" s="524">
        <f t="shared" si="37"/>
        <v>9.6805970139999999</v>
      </c>
      <c r="T27" s="530">
        <f t="shared" si="10"/>
        <v>8.2682563338301041</v>
      </c>
      <c r="U27" s="1312">
        <f>'S-curves'!AN12</f>
        <v>2</v>
      </c>
      <c r="W27" s="1305">
        <v>2023</v>
      </c>
      <c r="X27" s="472">
        <f t="shared" si="12"/>
        <v>13.433337174825176</v>
      </c>
      <c r="Y27" s="472">
        <f t="shared" si="13"/>
        <v>30.439250754545451</v>
      </c>
      <c r="Z27" s="472">
        <f t="shared" si="14"/>
        <v>20.883887852809238</v>
      </c>
      <c r="AA27" s="472">
        <f t="shared" si="33"/>
        <v>14.784328</v>
      </c>
      <c r="AB27" s="472">
        <f t="shared" si="15"/>
        <v>20.925628317504724</v>
      </c>
      <c r="AC27" s="472">
        <f t="shared" si="34"/>
        <v>8.9142880000000009</v>
      </c>
      <c r="AD27" s="472">
        <f t="shared" si="16"/>
        <v>10.754924999999998</v>
      </c>
      <c r="AE27" s="472">
        <f t="shared" si="35"/>
        <v>34.89761</v>
      </c>
      <c r="AF27" s="620">
        <f t="shared" si="17"/>
        <v>59.612518628912071</v>
      </c>
      <c r="AG27" s="1323">
        <v>2023</v>
      </c>
      <c r="AH27" s="1324">
        <f t="shared" si="19"/>
        <v>1.863203866148252</v>
      </c>
      <c r="AI27" s="1324">
        <f t="shared" si="20"/>
        <v>4.2219240796554542</v>
      </c>
      <c r="AJ27" s="1324">
        <f t="shared" si="21"/>
        <v>2.8965952451846415</v>
      </c>
      <c r="AK27" s="1324">
        <f t="shared" si="22"/>
        <v>2.0505862935999999</v>
      </c>
      <c r="AL27" s="1324">
        <f t="shared" si="23"/>
        <v>2.9023846476379052</v>
      </c>
      <c r="AM27" s="1324">
        <f t="shared" si="24"/>
        <v>1.2364117456000001</v>
      </c>
      <c r="AN27" s="1324">
        <f t="shared" si="25"/>
        <v>1.4917080974999997</v>
      </c>
      <c r="AO27" s="1324">
        <f t="shared" si="26"/>
        <v>9.6805970139999999</v>
      </c>
      <c r="AP27" s="1325">
        <f t="shared" si="27"/>
        <v>8.2682563338301041</v>
      </c>
      <c r="AQ27" s="10"/>
    </row>
    <row r="28" spans="1:52" x14ac:dyDescent="0.2">
      <c r="A28" s="932">
        <v>2024</v>
      </c>
      <c r="B28" s="472">
        <v>17.636644</v>
      </c>
      <c r="C28" s="472">
        <v>28.520074999999999</v>
      </c>
      <c r="D28" s="472">
        <v>21.602947</v>
      </c>
      <c r="E28" s="472">
        <v>15.181978000000001</v>
      </c>
      <c r="F28" s="472">
        <v>22.312809000000001</v>
      </c>
      <c r="G28" s="472">
        <v>9.2094129999999996</v>
      </c>
      <c r="H28" s="472">
        <v>12.301192</v>
      </c>
      <c r="I28" s="472">
        <v>35.386074000000001</v>
      </c>
      <c r="J28" s="1301">
        <f t="shared" si="0"/>
        <v>55.886736214605065</v>
      </c>
      <c r="K28" s="529">
        <v>2024</v>
      </c>
      <c r="L28" s="524">
        <f t="shared" si="2"/>
        <v>2.4462025227999997</v>
      </c>
      <c r="M28" s="524">
        <f t="shared" si="3"/>
        <v>3.9557344024999996</v>
      </c>
      <c r="N28" s="524">
        <f t="shared" si="4"/>
        <v>2.9963287488999999</v>
      </c>
      <c r="O28" s="524">
        <f t="shared" si="5"/>
        <v>2.1057403485999999</v>
      </c>
      <c r="P28" s="524">
        <f t="shared" si="6"/>
        <v>3.0947866083000006</v>
      </c>
      <c r="Q28" s="524">
        <f t="shared" si="7"/>
        <v>1.2773455831</v>
      </c>
      <c r="R28" s="524">
        <f t="shared" si="8"/>
        <v>1.7061753304</v>
      </c>
      <c r="S28" s="524">
        <f t="shared" si="37"/>
        <v>9.8160969276000003</v>
      </c>
      <c r="T28" s="530">
        <f t="shared" si="10"/>
        <v>7.7514903129657231</v>
      </c>
      <c r="U28" s="1312">
        <f>'S-curves'!AN13</f>
        <v>2</v>
      </c>
      <c r="W28" s="1305">
        <v>2024</v>
      </c>
      <c r="X28" s="472">
        <f t="shared" si="12"/>
        <v>13.813315580419584</v>
      </c>
      <c r="Y28" s="472">
        <f t="shared" si="13"/>
        <v>30.334988863636358</v>
      </c>
      <c r="Z28" s="472">
        <f t="shared" si="14"/>
        <v>20.605439512131571</v>
      </c>
      <c r="AA28" s="472">
        <f t="shared" si="33"/>
        <v>15.181978000000001</v>
      </c>
      <c r="AB28" s="472">
        <f t="shared" si="15"/>
        <v>21.302983545411671</v>
      </c>
      <c r="AC28" s="472">
        <f t="shared" si="34"/>
        <v>9.2094129999999996</v>
      </c>
      <c r="AD28" s="472">
        <f t="shared" si="16"/>
        <v>10.646323121076232</v>
      </c>
      <c r="AE28" s="472">
        <f t="shared" si="35"/>
        <v>35.386074000000001</v>
      </c>
      <c r="AF28" s="620">
        <f t="shared" si="17"/>
        <v>55.886736214605065</v>
      </c>
      <c r="AG28" s="1323">
        <v>2024</v>
      </c>
      <c r="AH28" s="1324">
        <f t="shared" si="19"/>
        <v>1.9159068710041964</v>
      </c>
      <c r="AI28" s="1324">
        <f t="shared" si="20"/>
        <v>4.2074629553863634</v>
      </c>
      <c r="AJ28" s="1324">
        <f t="shared" si="21"/>
        <v>2.8579744603326489</v>
      </c>
      <c r="AK28" s="1324">
        <f t="shared" si="22"/>
        <v>2.1057403485999999</v>
      </c>
      <c r="AL28" s="1324">
        <f t="shared" si="23"/>
        <v>2.9547238177485986</v>
      </c>
      <c r="AM28" s="1324">
        <f t="shared" si="24"/>
        <v>1.2773455831</v>
      </c>
      <c r="AN28" s="1324">
        <f t="shared" si="25"/>
        <v>1.4766450168932734</v>
      </c>
      <c r="AO28" s="1324">
        <f t="shared" si="26"/>
        <v>9.8160969276000003</v>
      </c>
      <c r="AP28" s="1325">
        <f t="shared" si="27"/>
        <v>7.7514903129657231</v>
      </c>
      <c r="AQ28" s="10"/>
    </row>
    <row r="29" spans="1:52" s="47" customFormat="1" x14ac:dyDescent="0.2">
      <c r="A29" s="933">
        <v>2025</v>
      </c>
      <c r="B29" s="472">
        <v>18.329802999999998</v>
      </c>
      <c r="C29" s="472">
        <v>27.862691999999999</v>
      </c>
      <c r="D29" s="472">
        <v>21.847075</v>
      </c>
      <c r="E29" s="472">
        <v>15.254274000000001</v>
      </c>
      <c r="F29" s="472">
        <v>22.445829</v>
      </c>
      <c r="G29" s="472">
        <v>9.4572199999999995</v>
      </c>
      <c r="H29" s="472">
        <v>12.310214999999999</v>
      </c>
      <c r="I29" s="472">
        <v>36.138537999999997</v>
      </c>
      <c r="J29" s="1301">
        <f t="shared" si="0"/>
        <v>52.16095380029806</v>
      </c>
      <c r="K29" s="531">
        <v>2025</v>
      </c>
      <c r="L29" s="525">
        <f t="shared" si="2"/>
        <v>2.5423436760999998</v>
      </c>
      <c r="M29" s="525">
        <f t="shared" si="3"/>
        <v>3.8645553803999997</v>
      </c>
      <c r="N29" s="525">
        <f t="shared" si="4"/>
        <v>3.0301893025000002</v>
      </c>
      <c r="O29" s="525">
        <f t="shared" si="5"/>
        <v>2.1157678037999998</v>
      </c>
      <c r="P29" s="525">
        <f t="shared" si="6"/>
        <v>3.1132364822999996</v>
      </c>
      <c r="Q29" s="525">
        <f t="shared" si="7"/>
        <v>1.3117164139999999</v>
      </c>
      <c r="R29" s="525">
        <f t="shared" si="8"/>
        <v>1.7074268204999998</v>
      </c>
      <c r="S29" s="525">
        <f t="shared" si="37"/>
        <v>10.024830441199999</v>
      </c>
      <c r="T29" s="532">
        <f t="shared" si="10"/>
        <v>7.2347242921013413</v>
      </c>
      <c r="U29" s="1312">
        <f>'S-curves'!AN14</f>
        <v>2</v>
      </c>
      <c r="V29"/>
      <c r="W29" s="1306">
        <v>2025</v>
      </c>
      <c r="X29" s="472">
        <f t="shared" si="12"/>
        <v>14.356209342657344</v>
      </c>
      <c r="Y29" s="472">
        <f t="shared" si="13"/>
        <v>29.635772399999993</v>
      </c>
      <c r="Z29" s="472">
        <f t="shared" si="14"/>
        <v>20.838294998802798</v>
      </c>
      <c r="AA29" s="472">
        <f t="shared" si="33"/>
        <v>15.254274000000001</v>
      </c>
      <c r="AB29" s="472">
        <f t="shared" si="15"/>
        <v>21.4299833718885</v>
      </c>
      <c r="AC29" s="472">
        <f t="shared" si="34"/>
        <v>9.4572199999999995</v>
      </c>
      <c r="AD29" s="472">
        <f t="shared" si="16"/>
        <v>10.65413226457399</v>
      </c>
      <c r="AE29" s="472">
        <f t="shared" si="35"/>
        <v>36.138537999999997</v>
      </c>
      <c r="AF29" s="620">
        <f t="shared" si="17"/>
        <v>52.16095380029806</v>
      </c>
      <c r="AG29" s="1326">
        <v>2025</v>
      </c>
      <c r="AH29" s="525">
        <f t="shared" si="19"/>
        <v>1.9912062358265736</v>
      </c>
      <c r="AI29" s="525">
        <f t="shared" si="20"/>
        <v>4.110481631879999</v>
      </c>
      <c r="AJ29" s="525">
        <f t="shared" si="21"/>
        <v>2.8902715163339479</v>
      </c>
      <c r="AK29" s="525">
        <f t="shared" si="22"/>
        <v>2.1157678037999998</v>
      </c>
      <c r="AL29" s="525">
        <f t="shared" si="23"/>
        <v>2.9723386936809351</v>
      </c>
      <c r="AM29" s="525">
        <f t="shared" si="24"/>
        <v>1.3117164139999999</v>
      </c>
      <c r="AN29" s="525">
        <f t="shared" si="25"/>
        <v>1.4777281450964124</v>
      </c>
      <c r="AO29" s="525">
        <f t="shared" si="26"/>
        <v>10.024830441199999</v>
      </c>
      <c r="AP29" s="532">
        <f t="shared" si="27"/>
        <v>7.2347242921013413</v>
      </c>
      <c r="AQ29" s="10"/>
    </row>
    <row r="30" spans="1:52" x14ac:dyDescent="0.2">
      <c r="A30" s="932">
        <v>2026</v>
      </c>
      <c r="B30" s="472">
        <v>18.998629000000001</v>
      </c>
      <c r="C30" s="472">
        <v>27.936610999999999</v>
      </c>
      <c r="D30" s="472">
        <v>22.031654</v>
      </c>
      <c r="E30" s="472">
        <v>15.71048</v>
      </c>
      <c r="F30" s="472">
        <v>22.857292000000001</v>
      </c>
      <c r="G30" s="472">
        <v>10.104760000000001</v>
      </c>
      <c r="H30" s="472">
        <v>12.265231</v>
      </c>
      <c r="I30" s="472">
        <v>36.758361999999998</v>
      </c>
      <c r="J30" s="1301">
        <f t="shared" si="0"/>
        <v>51.266766020864381</v>
      </c>
      <c r="K30" s="529">
        <v>2026</v>
      </c>
      <c r="L30" s="524">
        <f t="shared" si="2"/>
        <v>2.6351098423000003</v>
      </c>
      <c r="M30" s="524">
        <f t="shared" si="3"/>
        <v>3.8748079457000002</v>
      </c>
      <c r="N30" s="524">
        <f t="shared" si="4"/>
        <v>3.0557904098000002</v>
      </c>
      <c r="O30" s="524">
        <f t="shared" si="5"/>
        <v>2.1790435759999998</v>
      </c>
      <c r="P30" s="524">
        <f t="shared" si="6"/>
        <v>3.1703064004000003</v>
      </c>
      <c r="Q30" s="524">
        <f t="shared" si="7"/>
        <v>1.4015302120000002</v>
      </c>
      <c r="R30" s="524">
        <f t="shared" si="8"/>
        <v>1.7011875397</v>
      </c>
      <c r="S30" s="524">
        <f t="shared" si="37"/>
        <v>10.196769618799999</v>
      </c>
      <c r="T30" s="530">
        <f t="shared" si="10"/>
        <v>7.1107004470938904</v>
      </c>
      <c r="U30" s="1312">
        <f>'S-curves'!AN15</f>
        <v>2</v>
      </c>
      <c r="W30" s="1305">
        <v>2026</v>
      </c>
      <c r="X30" s="472">
        <f t="shared" si="12"/>
        <v>14.880045090909094</v>
      </c>
      <c r="Y30" s="472">
        <f t="shared" si="13"/>
        <v>29.71439533636363</v>
      </c>
      <c r="Z30" s="472">
        <f t="shared" si="14"/>
        <v>21.014351136870889</v>
      </c>
      <c r="AA30" s="472">
        <f t="shared" si="33"/>
        <v>15.71048</v>
      </c>
      <c r="AB30" s="472">
        <f t="shared" si="15"/>
        <v>21.822824520600246</v>
      </c>
      <c r="AC30" s="472">
        <f t="shared" si="34"/>
        <v>10.104760000000001</v>
      </c>
      <c r="AD30" s="472">
        <f t="shared" si="16"/>
        <v>10.615199923766815</v>
      </c>
      <c r="AE30" s="472">
        <f t="shared" si="35"/>
        <v>36.758361999999998</v>
      </c>
      <c r="AF30" s="620">
        <f t="shared" si="17"/>
        <v>51.266766020864381</v>
      </c>
      <c r="AG30" s="1323">
        <v>2026</v>
      </c>
      <c r="AH30" s="1324">
        <f t="shared" si="19"/>
        <v>2.0638622541090914</v>
      </c>
      <c r="AI30" s="1324">
        <f t="shared" si="20"/>
        <v>4.1213866331536355</v>
      </c>
      <c r="AJ30" s="1324">
        <f t="shared" si="21"/>
        <v>2.9146905026839924</v>
      </c>
      <c r="AK30" s="1324">
        <f t="shared" si="22"/>
        <v>2.1790435759999998</v>
      </c>
      <c r="AL30" s="1324">
        <f t="shared" si="23"/>
        <v>3.0268257610072542</v>
      </c>
      <c r="AM30" s="1324">
        <f t="shared" si="24"/>
        <v>1.4015302120000002</v>
      </c>
      <c r="AN30" s="1324">
        <f t="shared" si="25"/>
        <v>1.472328229426457</v>
      </c>
      <c r="AO30" s="1324">
        <f t="shared" si="26"/>
        <v>10.196769618799999</v>
      </c>
      <c r="AP30" s="1325">
        <f t="shared" si="27"/>
        <v>7.1107004470938904</v>
      </c>
      <c r="AQ30" s="10"/>
    </row>
    <row r="31" spans="1:52" x14ac:dyDescent="0.2">
      <c r="A31" s="932">
        <v>2027</v>
      </c>
      <c r="B31" s="472">
        <v>19.332518</v>
      </c>
      <c r="C31" s="472">
        <v>28.162009999999999</v>
      </c>
      <c r="D31" s="472">
        <v>22.300404</v>
      </c>
      <c r="E31" s="472">
        <v>15.739540999999999</v>
      </c>
      <c r="F31" s="472">
        <v>22.914766</v>
      </c>
      <c r="G31" s="472">
        <v>10.913876999999999</v>
      </c>
      <c r="H31" s="472">
        <v>12.143967999999999</v>
      </c>
      <c r="I31" s="472">
        <v>37.028300999999999</v>
      </c>
      <c r="J31" s="1301">
        <f t="shared" si="0"/>
        <v>50.372578241430702</v>
      </c>
      <c r="K31" s="529">
        <v>2027</v>
      </c>
      <c r="L31" s="524">
        <f t="shared" si="2"/>
        <v>2.6814202466000001</v>
      </c>
      <c r="M31" s="524">
        <f t="shared" si="3"/>
        <v>3.906070787</v>
      </c>
      <c r="N31" s="524">
        <f t="shared" si="4"/>
        <v>3.0930660348000001</v>
      </c>
      <c r="O31" s="524">
        <f t="shared" si="5"/>
        <v>2.1830743366999998</v>
      </c>
      <c r="P31" s="524">
        <f t="shared" si="6"/>
        <v>3.1782780441999998</v>
      </c>
      <c r="Q31" s="524">
        <f t="shared" si="7"/>
        <v>1.5137547399</v>
      </c>
      <c r="R31" s="524">
        <f t="shared" si="8"/>
        <v>1.6843683616</v>
      </c>
      <c r="S31" s="524">
        <f t="shared" si="37"/>
        <v>10.2716506974</v>
      </c>
      <c r="T31" s="530">
        <f t="shared" si="10"/>
        <v>6.9866766020864386</v>
      </c>
      <c r="U31" s="1312">
        <f>'S-curves'!AN16</f>
        <v>2</v>
      </c>
      <c r="W31" s="1305">
        <v>2027</v>
      </c>
      <c r="X31" s="472">
        <f t="shared" si="12"/>
        <v>15.141552559440562</v>
      </c>
      <c r="Y31" s="472">
        <f t="shared" si="13"/>
        <v>29.954137909090903</v>
      </c>
      <c r="Z31" s="472">
        <f t="shared" si="14"/>
        <v>21.270691712482421</v>
      </c>
      <c r="AA31" s="472">
        <f t="shared" si="33"/>
        <v>15.739540999999999</v>
      </c>
      <c r="AB31" s="472">
        <f t="shared" si="15"/>
        <v>21.877697382026568</v>
      </c>
      <c r="AC31" s="472">
        <f t="shared" si="34"/>
        <v>10.913876999999999</v>
      </c>
      <c r="AD31" s="472">
        <f t="shared" si="16"/>
        <v>10.510250331838563</v>
      </c>
      <c r="AE31" s="472">
        <f t="shared" si="35"/>
        <v>37.028300999999999</v>
      </c>
      <c r="AF31" s="620">
        <f t="shared" si="17"/>
        <v>50.372578241430702</v>
      </c>
      <c r="AG31" s="1323">
        <v>2027</v>
      </c>
      <c r="AH31" s="1324">
        <f t="shared" si="19"/>
        <v>2.100133339994406</v>
      </c>
      <c r="AI31" s="1324">
        <f t="shared" si="20"/>
        <v>4.1546389279909084</v>
      </c>
      <c r="AJ31" s="1324">
        <f t="shared" si="21"/>
        <v>2.950244940521312</v>
      </c>
      <c r="AK31" s="1324">
        <f t="shared" si="22"/>
        <v>2.1830743366999998</v>
      </c>
      <c r="AL31" s="1324">
        <f t="shared" si="23"/>
        <v>3.0344366268870848</v>
      </c>
      <c r="AM31" s="1324">
        <f t="shared" si="24"/>
        <v>1.5137547399</v>
      </c>
      <c r="AN31" s="1324">
        <f t="shared" si="25"/>
        <v>1.4577717210260088</v>
      </c>
      <c r="AO31" s="1324">
        <f t="shared" si="26"/>
        <v>10.2716506974</v>
      </c>
      <c r="AP31" s="1325">
        <f t="shared" si="27"/>
        <v>6.9866766020864386</v>
      </c>
      <c r="AQ31" s="10"/>
    </row>
    <row r="32" spans="1:52" x14ac:dyDescent="0.2">
      <c r="A32" s="932">
        <v>2028</v>
      </c>
      <c r="B32" s="472">
        <v>19.533010000000001</v>
      </c>
      <c r="C32" s="472">
        <v>28.425083000000001</v>
      </c>
      <c r="D32" s="472">
        <v>22.412120999999999</v>
      </c>
      <c r="E32" s="472">
        <v>16.214652999999998</v>
      </c>
      <c r="F32" s="472">
        <v>23.266224000000001</v>
      </c>
      <c r="G32" s="472">
        <v>11.290391</v>
      </c>
      <c r="H32" s="472">
        <v>11.942882000000001</v>
      </c>
      <c r="I32" s="472">
        <v>36.980328</v>
      </c>
      <c r="J32" s="1301">
        <f t="shared" si="0"/>
        <v>49.478390461997016</v>
      </c>
      <c r="K32" s="529">
        <v>2028</v>
      </c>
      <c r="L32" s="524">
        <f t="shared" si="2"/>
        <v>2.7092284870000003</v>
      </c>
      <c r="M32" s="524">
        <f t="shared" si="3"/>
        <v>3.9425590120999998</v>
      </c>
      <c r="N32" s="524">
        <f t="shared" si="4"/>
        <v>3.1085611826999999</v>
      </c>
      <c r="O32" s="524">
        <f t="shared" si="5"/>
        <v>2.2489723710999998</v>
      </c>
      <c r="P32" s="524">
        <f t="shared" si="6"/>
        <v>3.2270252688000003</v>
      </c>
      <c r="Q32" s="524">
        <f t="shared" si="7"/>
        <v>1.5659772316999998</v>
      </c>
      <c r="R32" s="524">
        <f t="shared" si="8"/>
        <v>1.6564777334</v>
      </c>
      <c r="S32" s="524">
        <f t="shared" si="37"/>
        <v>10.258342987199999</v>
      </c>
      <c r="T32" s="530">
        <f t="shared" si="10"/>
        <v>6.8626527570789859</v>
      </c>
      <c r="U32" s="1312">
        <f>'S-curves'!AN17</f>
        <v>2</v>
      </c>
      <c r="W32" s="1305">
        <v>2028</v>
      </c>
      <c r="X32" s="472">
        <f t="shared" si="12"/>
        <v>15.298581258741262</v>
      </c>
      <c r="Y32" s="472">
        <f t="shared" si="13"/>
        <v>30.233951918181816</v>
      </c>
      <c r="Z32" s="472">
        <f t="shared" si="14"/>
        <v>21.377250224428813</v>
      </c>
      <c r="AA32" s="472">
        <f t="shared" si="33"/>
        <v>16.214652999999998</v>
      </c>
      <c r="AB32" s="472">
        <f t="shared" si="15"/>
        <v>22.213249216441646</v>
      </c>
      <c r="AC32" s="472">
        <f t="shared" si="34"/>
        <v>11.290391</v>
      </c>
      <c r="AD32" s="472">
        <f t="shared" si="16"/>
        <v>10.336216260089687</v>
      </c>
      <c r="AE32" s="472">
        <f t="shared" si="35"/>
        <v>36.980328</v>
      </c>
      <c r="AF32" s="620">
        <f t="shared" si="17"/>
        <v>49.478390461997016</v>
      </c>
      <c r="AG32" s="1323">
        <v>2028</v>
      </c>
      <c r="AH32" s="1324">
        <f t="shared" si="19"/>
        <v>2.1219132205874129</v>
      </c>
      <c r="AI32" s="1324">
        <f t="shared" si="20"/>
        <v>4.1934491310518176</v>
      </c>
      <c r="AJ32" s="1324">
        <f t="shared" si="21"/>
        <v>2.9650246061282761</v>
      </c>
      <c r="AK32" s="1324">
        <f t="shared" si="22"/>
        <v>2.2489723710999998</v>
      </c>
      <c r="AL32" s="1324">
        <f t="shared" si="23"/>
        <v>3.080977666320456</v>
      </c>
      <c r="AM32" s="1324">
        <f t="shared" si="24"/>
        <v>1.5659772316999998</v>
      </c>
      <c r="AN32" s="1324">
        <f t="shared" si="25"/>
        <v>1.4336331952744397</v>
      </c>
      <c r="AO32" s="1324">
        <f t="shared" si="26"/>
        <v>10.258342987199999</v>
      </c>
      <c r="AP32" s="1325">
        <f t="shared" si="27"/>
        <v>6.8626527570789859</v>
      </c>
      <c r="AQ32" s="10"/>
    </row>
    <row r="33" spans="1:43" x14ac:dyDescent="0.2">
      <c r="A33" s="932">
        <v>2029</v>
      </c>
      <c r="B33" s="472">
        <v>19.624012</v>
      </c>
      <c r="C33" s="472">
        <v>28.713608000000001</v>
      </c>
      <c r="D33" s="472">
        <v>22.707564999999999</v>
      </c>
      <c r="E33" s="472">
        <v>16.425370999999998</v>
      </c>
      <c r="F33" s="472">
        <v>23.483311</v>
      </c>
      <c r="G33" s="472">
        <v>11.574986000000001</v>
      </c>
      <c r="H33" s="472">
        <v>11.674177</v>
      </c>
      <c r="I33" s="472">
        <v>36.851902000000003</v>
      </c>
      <c r="J33" s="1301">
        <f t="shared" si="0"/>
        <v>48.584202682563337</v>
      </c>
      <c r="K33" s="529">
        <v>2029</v>
      </c>
      <c r="L33" s="524">
        <f t="shared" si="2"/>
        <v>2.7218504644000001</v>
      </c>
      <c r="M33" s="524">
        <f t="shared" si="3"/>
        <v>3.9825774296000001</v>
      </c>
      <c r="N33" s="524">
        <f t="shared" si="4"/>
        <v>3.1495392654999996</v>
      </c>
      <c r="O33" s="524">
        <f t="shared" si="5"/>
        <v>2.2781989576999995</v>
      </c>
      <c r="P33" s="524">
        <f t="shared" si="6"/>
        <v>3.2571352357000003</v>
      </c>
      <c r="Q33" s="524">
        <f t="shared" si="7"/>
        <v>1.6054505582</v>
      </c>
      <c r="R33" s="524">
        <f t="shared" si="8"/>
        <v>1.6192083499000001</v>
      </c>
      <c r="S33" s="524">
        <f t="shared" si="37"/>
        <v>10.222717614800001</v>
      </c>
      <c r="T33" s="530">
        <f t="shared" si="10"/>
        <v>6.7386289120715341</v>
      </c>
      <c r="U33" s="1312">
        <f>'S-curves'!AN18</f>
        <v>2</v>
      </c>
      <c r="W33" s="1305">
        <v>2029</v>
      </c>
      <c r="X33" s="472">
        <f t="shared" si="12"/>
        <v>15.369855552447556</v>
      </c>
      <c r="Y33" s="472">
        <f t="shared" si="13"/>
        <v>30.540837599999996</v>
      </c>
      <c r="Z33" s="472">
        <f t="shared" si="14"/>
        <v>21.659052215204525</v>
      </c>
      <c r="AA33" s="472">
        <f t="shared" si="33"/>
        <v>16.425370999999998</v>
      </c>
      <c r="AB33" s="472">
        <f t="shared" si="15"/>
        <v>22.42051136747439</v>
      </c>
      <c r="AC33" s="472">
        <f t="shared" si="34"/>
        <v>11.574986000000001</v>
      </c>
      <c r="AD33" s="472">
        <f t="shared" si="16"/>
        <v>10.103659914798206</v>
      </c>
      <c r="AE33" s="472">
        <f t="shared" si="35"/>
        <v>36.851902000000003</v>
      </c>
      <c r="AF33" s="620">
        <f t="shared" si="17"/>
        <v>48.584202682563337</v>
      </c>
      <c r="AG33" s="1323">
        <v>2029</v>
      </c>
      <c r="AH33" s="1324">
        <f t="shared" si="19"/>
        <v>2.1317989651244758</v>
      </c>
      <c r="AI33" s="1324">
        <f t="shared" si="20"/>
        <v>4.2360141751200002</v>
      </c>
      <c r="AJ33" s="1324">
        <f t="shared" si="21"/>
        <v>3.0041105422488674</v>
      </c>
      <c r="AK33" s="1324">
        <f t="shared" si="22"/>
        <v>2.2781989576999995</v>
      </c>
      <c r="AL33" s="1324">
        <f t="shared" si="23"/>
        <v>3.1097249266686982</v>
      </c>
      <c r="AM33" s="1324">
        <f t="shared" si="24"/>
        <v>1.6054505582</v>
      </c>
      <c r="AN33" s="1324">
        <f t="shared" si="25"/>
        <v>1.4013776301825112</v>
      </c>
      <c r="AO33" s="1324">
        <f t="shared" si="26"/>
        <v>10.222717614800001</v>
      </c>
      <c r="AP33" s="1325">
        <f t="shared" si="27"/>
        <v>6.7386289120715341</v>
      </c>
      <c r="AQ33" s="10"/>
    </row>
    <row r="34" spans="1:43" x14ac:dyDescent="0.2">
      <c r="A34" s="933">
        <v>2030</v>
      </c>
      <c r="B34" s="472">
        <v>20.097501999999999</v>
      </c>
      <c r="C34" s="472">
        <v>30.057896</v>
      </c>
      <c r="D34" s="472">
        <v>23.410488000000001</v>
      </c>
      <c r="E34" s="472">
        <v>16.664819999999999</v>
      </c>
      <c r="F34" s="472">
        <v>23.973053</v>
      </c>
      <c r="G34" s="472">
        <v>11.016311</v>
      </c>
      <c r="H34" s="472">
        <v>12.097020000000001</v>
      </c>
      <c r="I34" s="472">
        <v>36.703060000000001</v>
      </c>
      <c r="J34" s="1301">
        <f t="shared" si="0"/>
        <v>47.690014903129651</v>
      </c>
      <c r="K34" s="531">
        <v>2030</v>
      </c>
      <c r="L34" s="525">
        <f t="shared" si="2"/>
        <v>2.7875235273999999</v>
      </c>
      <c r="M34" s="525">
        <f t="shared" si="3"/>
        <v>4.1690301751999996</v>
      </c>
      <c r="N34" s="525">
        <f t="shared" si="4"/>
        <v>3.2470346856000001</v>
      </c>
      <c r="O34" s="525">
        <f t="shared" si="5"/>
        <v>2.3114105340000002</v>
      </c>
      <c r="P34" s="525">
        <f t="shared" si="6"/>
        <v>3.3250624511</v>
      </c>
      <c r="Q34" s="525">
        <f t="shared" si="7"/>
        <v>1.5279623356999998</v>
      </c>
      <c r="R34" s="525">
        <f t="shared" si="8"/>
        <v>1.677856674</v>
      </c>
      <c r="S34" s="525">
        <f t="shared" si="37"/>
        <v>10.181428844000001</v>
      </c>
      <c r="T34" s="532">
        <f t="shared" si="10"/>
        <v>6.6146050670640824</v>
      </c>
      <c r="U34" s="1312">
        <f>'S-curves'!AN19</f>
        <v>2</v>
      </c>
      <c r="W34" s="1306">
        <v>2030</v>
      </c>
      <c r="X34" s="472">
        <f t="shared" si="12"/>
        <v>15.740700867132869</v>
      </c>
      <c r="Y34" s="472">
        <f t="shared" si="13"/>
        <v>31.970671199999995</v>
      </c>
      <c r="Z34" s="472">
        <f t="shared" si="14"/>
        <v>22.329518025178789</v>
      </c>
      <c r="AA34" s="472">
        <f t="shared" si="33"/>
        <v>16.664819999999999</v>
      </c>
      <c r="AB34" s="472">
        <f t="shared" si="15"/>
        <v>22.888088792060287</v>
      </c>
      <c r="AC34" s="472">
        <f t="shared" si="34"/>
        <v>11.016311</v>
      </c>
      <c r="AD34" s="472">
        <f t="shared" si="16"/>
        <v>10.469618206278026</v>
      </c>
      <c r="AE34" s="472">
        <f t="shared" si="35"/>
        <v>36.703060000000001</v>
      </c>
      <c r="AF34" s="620">
        <f t="shared" si="17"/>
        <v>47.690014903129651</v>
      </c>
      <c r="AG34" s="1326">
        <v>2030</v>
      </c>
      <c r="AH34" s="525">
        <f t="shared" si="19"/>
        <v>2.1832352102713291</v>
      </c>
      <c r="AI34" s="525">
        <f t="shared" si="20"/>
        <v>4.4343320954399994</v>
      </c>
      <c r="AJ34" s="525">
        <f t="shared" si="21"/>
        <v>3.097104150092298</v>
      </c>
      <c r="AK34" s="525">
        <f t="shared" si="22"/>
        <v>2.3114105340000002</v>
      </c>
      <c r="AL34" s="525">
        <f t="shared" si="23"/>
        <v>3.1745779154587619</v>
      </c>
      <c r="AM34" s="525">
        <f t="shared" si="24"/>
        <v>1.5279623356999998</v>
      </c>
      <c r="AN34" s="525">
        <f t="shared" si="25"/>
        <v>1.4521360452107621</v>
      </c>
      <c r="AO34" s="525">
        <f t="shared" si="26"/>
        <v>10.181428844000001</v>
      </c>
      <c r="AP34" s="532">
        <f t="shared" si="27"/>
        <v>6.6146050670640824</v>
      </c>
      <c r="AQ34" s="10"/>
    </row>
    <row r="35" spans="1:43" x14ac:dyDescent="0.2">
      <c r="A35" s="932">
        <v>2031</v>
      </c>
      <c r="B35" s="472">
        <v>20.105340999999999</v>
      </c>
      <c r="C35" s="472">
        <v>30.388204999999999</v>
      </c>
      <c r="D35" s="472">
        <v>23.573322000000001</v>
      </c>
      <c r="E35" s="472">
        <v>17.012841999999999</v>
      </c>
      <c r="F35" s="472">
        <v>24.241781</v>
      </c>
      <c r="G35" s="472">
        <v>11.238101</v>
      </c>
      <c r="H35" s="472">
        <v>11.824804</v>
      </c>
      <c r="I35" s="472">
        <v>36.648471999999998</v>
      </c>
      <c r="J35" s="1301">
        <f t="shared" si="0"/>
        <v>46.795827123695972</v>
      </c>
      <c r="K35" s="529">
        <v>2031</v>
      </c>
      <c r="L35" s="524">
        <f t="shared" si="2"/>
        <v>2.7886107967</v>
      </c>
      <c r="M35" s="524">
        <f t="shared" si="3"/>
        <v>4.2148440334999995</v>
      </c>
      <c r="N35" s="524">
        <f t="shared" si="4"/>
        <v>3.2696197614</v>
      </c>
      <c r="O35" s="524">
        <f t="shared" si="5"/>
        <v>2.3596811853999999</v>
      </c>
      <c r="P35" s="524">
        <f t="shared" si="6"/>
        <v>3.3623350247000001</v>
      </c>
      <c r="Q35" s="524">
        <f t="shared" si="7"/>
        <v>1.5587246087</v>
      </c>
      <c r="R35" s="524">
        <f t="shared" si="8"/>
        <v>1.6401003148</v>
      </c>
      <c r="S35" s="524">
        <f t="shared" si="37"/>
        <v>10.1662861328</v>
      </c>
      <c r="T35" s="530">
        <f t="shared" si="10"/>
        <v>6.4905812220566306</v>
      </c>
      <c r="U35" s="1312">
        <f>'S-curves'!AN20</f>
        <v>2</v>
      </c>
      <c r="W35" s="1305">
        <v>2031</v>
      </c>
      <c r="X35" s="472">
        <f t="shared" si="12"/>
        <v>15.746840503496506</v>
      </c>
      <c r="Y35" s="472">
        <f t="shared" si="13"/>
        <v>32.321999863636357</v>
      </c>
      <c r="Z35" s="472">
        <f t="shared" si="14"/>
        <v>22.484833229975543</v>
      </c>
      <c r="AA35" s="472">
        <f t="shared" si="33"/>
        <v>17.012841999999999</v>
      </c>
      <c r="AB35" s="472">
        <f t="shared" si="15"/>
        <v>23.144654792432153</v>
      </c>
      <c r="AC35" s="472">
        <f t="shared" si="34"/>
        <v>11.238101</v>
      </c>
      <c r="AD35" s="472">
        <f t="shared" si="16"/>
        <v>10.234023192825111</v>
      </c>
      <c r="AE35" s="472">
        <f t="shared" si="35"/>
        <v>36.648471999999998</v>
      </c>
      <c r="AF35" s="620">
        <f t="shared" si="17"/>
        <v>46.795827123695972</v>
      </c>
      <c r="AG35" s="1323">
        <v>2031</v>
      </c>
      <c r="AH35" s="1324">
        <f t="shared" si="19"/>
        <v>2.1840867778349655</v>
      </c>
      <c r="AI35" s="1324">
        <f t="shared" si="20"/>
        <v>4.4830613810863627</v>
      </c>
      <c r="AJ35" s="1324">
        <f t="shared" si="21"/>
        <v>3.1186463689976081</v>
      </c>
      <c r="AK35" s="1324">
        <f t="shared" si="22"/>
        <v>2.3596811853999999</v>
      </c>
      <c r="AL35" s="1324">
        <f t="shared" si="23"/>
        <v>3.2101636197103396</v>
      </c>
      <c r="AM35" s="1324">
        <f t="shared" si="24"/>
        <v>1.5587246087</v>
      </c>
      <c r="AN35" s="1324">
        <f t="shared" si="25"/>
        <v>1.4194590168448429</v>
      </c>
      <c r="AO35" s="1324">
        <f t="shared" si="26"/>
        <v>10.1662861328</v>
      </c>
      <c r="AP35" s="1325">
        <f t="shared" si="27"/>
        <v>6.4905812220566306</v>
      </c>
      <c r="AQ35" s="10"/>
    </row>
    <row r="36" spans="1:43" x14ac:dyDescent="0.2">
      <c r="A36" s="932">
        <v>2032</v>
      </c>
      <c r="B36" s="472">
        <v>20.179995000000002</v>
      </c>
      <c r="C36" s="472">
        <v>30.548780000000001</v>
      </c>
      <c r="D36" s="472">
        <v>23.781666000000001</v>
      </c>
      <c r="E36" s="472">
        <v>17.187419999999999</v>
      </c>
      <c r="F36" s="472">
        <v>24.417619999999999</v>
      </c>
      <c r="G36" s="472">
        <v>11.303734</v>
      </c>
      <c r="H36" s="472">
        <v>11.655065</v>
      </c>
      <c r="I36" s="472">
        <v>36.629832999999998</v>
      </c>
      <c r="J36" s="1301">
        <f t="shared" si="0"/>
        <v>45.901639344262293</v>
      </c>
      <c r="K36" s="529">
        <v>2032</v>
      </c>
      <c r="L36" s="524">
        <f t="shared" si="2"/>
        <v>2.7989653065000004</v>
      </c>
      <c r="M36" s="524">
        <f t="shared" si="3"/>
        <v>4.2371157860000004</v>
      </c>
      <c r="N36" s="524">
        <f t="shared" si="4"/>
        <v>3.2985170742000003</v>
      </c>
      <c r="O36" s="524">
        <f t="shared" si="5"/>
        <v>2.3838951540000002</v>
      </c>
      <c r="P36" s="524">
        <f t="shared" si="6"/>
        <v>3.3867238939999997</v>
      </c>
      <c r="Q36" s="524">
        <f t="shared" si="7"/>
        <v>1.5678279058</v>
      </c>
      <c r="R36" s="524">
        <f t="shared" si="8"/>
        <v>1.6165575155</v>
      </c>
      <c r="S36" s="524">
        <f t="shared" si="37"/>
        <v>10.1611156742</v>
      </c>
      <c r="T36" s="530">
        <f t="shared" si="10"/>
        <v>6.3665573770491797</v>
      </c>
      <c r="U36" s="1312">
        <f>'S-curves'!AN21</f>
        <v>2</v>
      </c>
      <c r="W36" s="1305">
        <v>2032</v>
      </c>
      <c r="X36" s="472">
        <f t="shared" si="12"/>
        <v>15.805310769230774</v>
      </c>
      <c r="Y36" s="472">
        <f t="shared" si="13"/>
        <v>32.492793272727269</v>
      </c>
      <c r="Z36" s="472">
        <f t="shared" si="14"/>
        <v>22.683557028618182</v>
      </c>
      <c r="AA36" s="472">
        <f t="shared" si="33"/>
        <v>17.187419999999999</v>
      </c>
      <c r="AB36" s="472">
        <f t="shared" si="15"/>
        <v>23.31253573129743</v>
      </c>
      <c r="AC36" s="472">
        <f t="shared" si="34"/>
        <v>11.303734</v>
      </c>
      <c r="AD36" s="472">
        <f t="shared" si="16"/>
        <v>10.087119035874439</v>
      </c>
      <c r="AE36" s="472">
        <f t="shared" si="35"/>
        <v>36.629832999999998</v>
      </c>
      <c r="AF36" s="620">
        <f t="shared" si="17"/>
        <v>45.901639344262293</v>
      </c>
      <c r="AG36" s="1323">
        <v>2032</v>
      </c>
      <c r="AH36" s="1324">
        <f t="shared" si="19"/>
        <v>2.1921966036923086</v>
      </c>
      <c r="AI36" s="1324">
        <f t="shared" si="20"/>
        <v>4.5067504269272725</v>
      </c>
      <c r="AJ36" s="1324">
        <f t="shared" si="21"/>
        <v>3.1462093598693417</v>
      </c>
      <c r="AK36" s="1324">
        <f t="shared" si="22"/>
        <v>2.3838951540000002</v>
      </c>
      <c r="AL36" s="1324">
        <f t="shared" si="23"/>
        <v>3.2334487059309533</v>
      </c>
      <c r="AM36" s="1324">
        <f t="shared" si="24"/>
        <v>1.5678279058</v>
      </c>
      <c r="AN36" s="1324">
        <f t="shared" si="25"/>
        <v>1.3990834102757848</v>
      </c>
      <c r="AO36" s="1324">
        <f t="shared" si="26"/>
        <v>10.1611156742</v>
      </c>
      <c r="AP36" s="1325">
        <f t="shared" si="27"/>
        <v>6.3665573770491797</v>
      </c>
      <c r="AQ36" s="10"/>
    </row>
    <row r="37" spans="1:43" x14ac:dyDescent="0.2">
      <c r="A37" s="932">
        <v>2033</v>
      </c>
      <c r="B37" s="472">
        <v>20.495128999999999</v>
      </c>
      <c r="C37" s="472">
        <v>31.208534</v>
      </c>
      <c r="D37" s="472">
        <v>24.204405000000001</v>
      </c>
      <c r="E37" s="472">
        <v>17.583839000000001</v>
      </c>
      <c r="F37" s="472">
        <v>24.810473999999999</v>
      </c>
      <c r="G37" s="472">
        <v>11.559741000000001</v>
      </c>
      <c r="H37" s="472">
        <v>11.651948000000001</v>
      </c>
      <c r="I37" s="472">
        <v>36.830044000000001</v>
      </c>
      <c r="J37" s="1301">
        <f t="shared" si="0"/>
        <v>45.007451564828607</v>
      </c>
      <c r="K37" s="529">
        <v>2033</v>
      </c>
      <c r="L37" s="524">
        <f t="shared" si="2"/>
        <v>2.8426743922999997</v>
      </c>
      <c r="M37" s="524">
        <f t="shared" si="3"/>
        <v>4.3286236657999995</v>
      </c>
      <c r="N37" s="524">
        <f t="shared" si="4"/>
        <v>3.3571509735000005</v>
      </c>
      <c r="O37" s="524">
        <f t="shared" si="5"/>
        <v>2.4388784693000001</v>
      </c>
      <c r="P37" s="524">
        <f t="shared" si="6"/>
        <v>3.4412127438</v>
      </c>
      <c r="Q37" s="524">
        <f t="shared" si="7"/>
        <v>1.6033360767</v>
      </c>
      <c r="R37" s="524">
        <f t="shared" si="8"/>
        <v>1.6161251876</v>
      </c>
      <c r="S37" s="524">
        <f t="shared" si="37"/>
        <v>10.216654205600001</v>
      </c>
      <c r="T37" s="530">
        <f t="shared" si="10"/>
        <v>6.2425335320417279</v>
      </c>
      <c r="U37" s="1312">
        <f>'S-curves'!AN22</f>
        <v>2</v>
      </c>
      <c r="W37" s="1305">
        <v>2033</v>
      </c>
      <c r="X37" s="472">
        <f t="shared" si="12"/>
        <v>16.05212900699301</v>
      </c>
      <c r="Y37" s="472">
        <f t="shared" si="13"/>
        <v>33.194531618181813</v>
      </c>
      <c r="Z37" s="472">
        <f t="shared" si="14"/>
        <v>23.086776223384476</v>
      </c>
      <c r="AA37" s="472">
        <f t="shared" si="33"/>
        <v>17.583839000000001</v>
      </c>
      <c r="AB37" s="472">
        <f t="shared" si="15"/>
        <v>23.687610079746754</v>
      </c>
      <c r="AC37" s="472">
        <f t="shared" si="34"/>
        <v>11.559741000000001</v>
      </c>
      <c r="AD37" s="472">
        <f t="shared" si="16"/>
        <v>10.084421363228699</v>
      </c>
      <c r="AE37" s="472">
        <f t="shared" si="35"/>
        <v>36.830044000000001</v>
      </c>
      <c r="AF37" s="620">
        <f t="shared" si="17"/>
        <v>45.007451564828607</v>
      </c>
      <c r="AG37" s="1323">
        <v>2033</v>
      </c>
      <c r="AH37" s="1324">
        <f t="shared" si="19"/>
        <v>2.2264302932699302</v>
      </c>
      <c r="AI37" s="1324">
        <f t="shared" si="20"/>
        <v>4.6040815354418179</v>
      </c>
      <c r="AJ37" s="1324">
        <f t="shared" si="21"/>
        <v>3.2021358621834271</v>
      </c>
      <c r="AK37" s="1324">
        <f t="shared" si="22"/>
        <v>2.4388784693000001</v>
      </c>
      <c r="AL37" s="1324">
        <f t="shared" si="23"/>
        <v>3.2854715180608745</v>
      </c>
      <c r="AM37" s="1324">
        <f t="shared" si="24"/>
        <v>1.6033360767</v>
      </c>
      <c r="AN37" s="1324">
        <f t="shared" si="25"/>
        <v>1.3987092430798207</v>
      </c>
      <c r="AO37" s="1324">
        <f t="shared" si="26"/>
        <v>10.216654205600001</v>
      </c>
      <c r="AP37" s="1325">
        <f t="shared" si="27"/>
        <v>6.2425335320417279</v>
      </c>
      <c r="AQ37" s="10"/>
    </row>
    <row r="38" spans="1:43" x14ac:dyDescent="0.2">
      <c r="A38" s="932">
        <v>2034</v>
      </c>
      <c r="B38" s="472">
        <v>20.705454</v>
      </c>
      <c r="C38" s="472">
        <v>31.695506999999999</v>
      </c>
      <c r="D38" s="472">
        <v>24.592258000000001</v>
      </c>
      <c r="E38" s="472">
        <v>17.868292</v>
      </c>
      <c r="F38" s="472">
        <v>25.010679</v>
      </c>
      <c r="G38" s="472">
        <v>11.693218</v>
      </c>
      <c r="H38" s="472">
        <v>11.562685999999999</v>
      </c>
      <c r="I38" s="472">
        <v>36.911639999999998</v>
      </c>
      <c r="J38" s="1301">
        <f t="shared" si="0"/>
        <v>44.113263785394928</v>
      </c>
      <c r="K38" s="529">
        <v>2034</v>
      </c>
      <c r="L38" s="524">
        <f t="shared" si="2"/>
        <v>2.8718464697999999</v>
      </c>
      <c r="M38" s="524">
        <f t="shared" si="3"/>
        <v>4.3961668208999995</v>
      </c>
      <c r="N38" s="524">
        <f t="shared" si="4"/>
        <v>3.4109461846000002</v>
      </c>
      <c r="O38" s="524">
        <f t="shared" si="5"/>
        <v>2.4783321003999998</v>
      </c>
      <c r="P38" s="524">
        <f t="shared" si="6"/>
        <v>3.4689811772999999</v>
      </c>
      <c r="Q38" s="524">
        <f t="shared" si="7"/>
        <v>1.6218493366</v>
      </c>
      <c r="R38" s="524">
        <f t="shared" si="8"/>
        <v>1.6037445481999999</v>
      </c>
      <c r="S38" s="524">
        <f t="shared" si="37"/>
        <v>10.239288935999999</v>
      </c>
      <c r="T38" s="530">
        <f t="shared" si="10"/>
        <v>6.1185096870342761</v>
      </c>
      <c r="U38" s="1312">
        <f>'S-curves'!AN23</f>
        <v>2</v>
      </c>
      <c r="W38" s="1305">
        <v>2034</v>
      </c>
      <c r="X38" s="472">
        <f t="shared" si="12"/>
        <v>16.216859076923079</v>
      </c>
      <c r="Y38" s="472">
        <f t="shared" si="13"/>
        <v>33.712493809090901</v>
      </c>
      <c r="Z38" s="472">
        <f t="shared" si="14"/>
        <v>23.456720265329253</v>
      </c>
      <c r="AA38" s="472">
        <f t="shared" si="33"/>
        <v>17.868292</v>
      </c>
      <c r="AB38" s="472">
        <f t="shared" si="15"/>
        <v>23.878754270543578</v>
      </c>
      <c r="AC38" s="472">
        <f t="shared" si="34"/>
        <v>11.693218</v>
      </c>
      <c r="AD38" s="472">
        <f t="shared" si="16"/>
        <v>10.007167704035874</v>
      </c>
      <c r="AE38" s="472">
        <f t="shared" si="35"/>
        <v>36.911639999999998</v>
      </c>
      <c r="AF38" s="620">
        <f t="shared" si="17"/>
        <v>44.113263785394928</v>
      </c>
      <c r="AG38" s="1323">
        <v>2034</v>
      </c>
      <c r="AH38" s="1324">
        <f t="shared" si="19"/>
        <v>2.2492783539692311</v>
      </c>
      <c r="AI38" s="1324">
        <f t="shared" si="20"/>
        <v>4.6759228913209085</v>
      </c>
      <c r="AJ38" s="1324">
        <f t="shared" si="21"/>
        <v>3.2534471008011674</v>
      </c>
      <c r="AK38" s="1324">
        <f t="shared" si="22"/>
        <v>2.4783321003999998</v>
      </c>
      <c r="AL38" s="1324">
        <f t="shared" si="23"/>
        <v>3.3119832173243942</v>
      </c>
      <c r="AM38" s="1324">
        <f t="shared" si="24"/>
        <v>1.6218493366</v>
      </c>
      <c r="AN38" s="1324">
        <f t="shared" si="25"/>
        <v>1.3879941605497756</v>
      </c>
      <c r="AO38" s="1324">
        <f t="shared" si="26"/>
        <v>10.239288935999999</v>
      </c>
      <c r="AP38" s="1325">
        <f t="shared" si="27"/>
        <v>6.1185096870342761</v>
      </c>
      <c r="AQ38" s="10"/>
    </row>
    <row r="39" spans="1:43" x14ac:dyDescent="0.2">
      <c r="A39" s="933">
        <v>2035</v>
      </c>
      <c r="B39" s="472">
        <v>20.923535999999999</v>
      </c>
      <c r="C39" s="472">
        <v>32.776066</v>
      </c>
      <c r="D39" s="472">
        <v>24.848427000000001</v>
      </c>
      <c r="E39" s="472">
        <v>18.138349999999999</v>
      </c>
      <c r="F39" s="472">
        <v>25.234774000000002</v>
      </c>
      <c r="G39" s="472">
        <v>12.392016999999999</v>
      </c>
      <c r="H39" s="472">
        <v>11.455206</v>
      </c>
      <c r="I39" s="472">
        <v>36.571807999999997</v>
      </c>
      <c r="J39" s="1301">
        <f t="shared" si="0"/>
        <v>43.219076005961242</v>
      </c>
      <c r="K39" s="531">
        <v>2035</v>
      </c>
      <c r="L39" s="525">
        <f t="shared" si="2"/>
        <v>2.9020944431999998</v>
      </c>
      <c r="M39" s="525">
        <f t="shared" si="3"/>
        <v>4.5460403541999996</v>
      </c>
      <c r="N39" s="525">
        <f t="shared" si="4"/>
        <v>3.4464768249000004</v>
      </c>
      <c r="O39" s="525">
        <f t="shared" si="5"/>
        <v>2.5157891449999998</v>
      </c>
      <c r="P39" s="525">
        <f t="shared" si="6"/>
        <v>3.5000631538000002</v>
      </c>
      <c r="Q39" s="525">
        <f t="shared" si="7"/>
        <v>1.7187727578999998</v>
      </c>
      <c r="R39" s="525">
        <f t="shared" si="8"/>
        <v>1.5888370722</v>
      </c>
      <c r="S39" s="525">
        <f t="shared" si="37"/>
        <v>10.145019539199998</v>
      </c>
      <c r="T39" s="532">
        <f t="shared" si="10"/>
        <v>5.9944858420268243</v>
      </c>
      <c r="U39" s="1523">
        <f>'S-curves'!AN24</f>
        <v>2</v>
      </c>
      <c r="W39" s="1306">
        <v>2035</v>
      </c>
      <c r="X39" s="472">
        <f t="shared" si="12"/>
        <v>16.387664559440562</v>
      </c>
      <c r="Y39" s="472">
        <f t="shared" si="13"/>
        <v>34.861815654545453</v>
      </c>
      <c r="Z39" s="472">
        <f t="shared" si="14"/>
        <v>23.70106076361327</v>
      </c>
      <c r="AA39" s="472">
        <f t="shared" si="33"/>
        <v>18.138349999999999</v>
      </c>
      <c r="AB39" s="472">
        <f t="shared" si="15"/>
        <v>24.092707255916647</v>
      </c>
      <c r="AC39" s="472">
        <f t="shared" si="34"/>
        <v>12.392016999999999</v>
      </c>
      <c r="AD39" s="472">
        <f t="shared" si="16"/>
        <v>9.914146896860986</v>
      </c>
      <c r="AE39" s="472">
        <f t="shared" si="35"/>
        <v>36.571807999999997</v>
      </c>
      <c r="AF39" s="620">
        <f t="shared" si="17"/>
        <v>43.219076005961242</v>
      </c>
      <c r="AG39" s="1326">
        <v>2035</v>
      </c>
      <c r="AH39" s="525">
        <f t="shared" si="19"/>
        <v>2.272969074394406</v>
      </c>
      <c r="AI39" s="525">
        <f t="shared" si="20"/>
        <v>4.8353338312854541</v>
      </c>
      <c r="AJ39" s="525">
        <f t="shared" si="21"/>
        <v>3.2873371279131609</v>
      </c>
      <c r="AK39" s="525">
        <f t="shared" si="22"/>
        <v>2.5157891449999998</v>
      </c>
      <c r="AL39" s="525">
        <f t="shared" si="23"/>
        <v>3.3416584963956391</v>
      </c>
      <c r="AM39" s="525">
        <f t="shared" si="24"/>
        <v>1.7187727578999998</v>
      </c>
      <c r="AN39" s="525">
        <f t="shared" si="25"/>
        <v>1.3750921745946187</v>
      </c>
      <c r="AO39" s="525">
        <f t="shared" si="26"/>
        <v>10.145019539199998</v>
      </c>
      <c r="AP39" s="532">
        <f t="shared" si="27"/>
        <v>5.9944858420268243</v>
      </c>
      <c r="AQ39" s="10"/>
    </row>
    <row r="40" spans="1:43" x14ac:dyDescent="0.2">
      <c r="A40" s="932">
        <v>2036</v>
      </c>
      <c r="B40" s="472">
        <v>21.173369999999998</v>
      </c>
      <c r="C40" s="472">
        <v>32.661560000000001</v>
      </c>
      <c r="D40" s="472">
        <v>25.145551999999999</v>
      </c>
      <c r="E40" s="472">
        <v>18.383088999999998</v>
      </c>
      <c r="F40" s="472">
        <v>25.49099</v>
      </c>
      <c r="G40" s="472">
        <v>12.827140999999999</v>
      </c>
      <c r="H40" s="472">
        <v>11.366446</v>
      </c>
      <c r="I40" s="472">
        <v>36.300902999999998</v>
      </c>
      <c r="J40" s="1301">
        <f t="shared" si="0"/>
        <v>42.324888226527563</v>
      </c>
      <c r="K40" s="529">
        <v>2036</v>
      </c>
      <c r="L40" s="524">
        <f t="shared" si="2"/>
        <v>2.9367464189999999</v>
      </c>
      <c r="M40" s="524">
        <f t="shared" si="3"/>
        <v>4.5301583720000007</v>
      </c>
      <c r="N40" s="524">
        <f t="shared" si="4"/>
        <v>3.4876880623999997</v>
      </c>
      <c r="O40" s="524">
        <f t="shared" si="5"/>
        <v>2.5497344442999994</v>
      </c>
      <c r="P40" s="524">
        <f t="shared" si="6"/>
        <v>3.5356003130000002</v>
      </c>
      <c r="Q40" s="524">
        <f t="shared" si="7"/>
        <v>1.7791244567</v>
      </c>
      <c r="R40" s="524">
        <f t="shared" si="8"/>
        <v>1.5765260602</v>
      </c>
      <c r="S40" s="524">
        <f t="shared" si="37"/>
        <v>10.069103147044721</v>
      </c>
      <c r="T40" s="530">
        <f t="shared" si="10"/>
        <v>5.8704619970193725</v>
      </c>
      <c r="U40" s="1523">
        <f>'S-curves'!AN25</f>
        <v>1.9998475958244206</v>
      </c>
      <c r="W40" s="1305">
        <v>2036</v>
      </c>
      <c r="X40" s="472">
        <f t="shared" si="12"/>
        <v>16.583338741258743</v>
      </c>
      <c r="Y40" s="472">
        <f t="shared" si="13"/>
        <v>34.740022909090904</v>
      </c>
      <c r="Z40" s="472">
        <f t="shared" si="14"/>
        <v>23.984466134882386</v>
      </c>
      <c r="AA40" s="472">
        <f t="shared" si="33"/>
        <v>18.383088999999998</v>
      </c>
      <c r="AB40" s="472">
        <f t="shared" si="15"/>
        <v>24.337327520091865</v>
      </c>
      <c r="AC40" s="472">
        <f t="shared" si="34"/>
        <v>12.827140999999999</v>
      </c>
      <c r="AD40" s="472">
        <f t="shared" si="16"/>
        <v>9.8373277040358733</v>
      </c>
      <c r="AE40" s="472">
        <f t="shared" si="35"/>
        <v>36.300902999999998</v>
      </c>
      <c r="AF40" s="620">
        <f t="shared" si="17"/>
        <v>42.324888226527563</v>
      </c>
      <c r="AG40" s="1323">
        <v>2036</v>
      </c>
      <c r="AH40" s="1324">
        <f t="shared" si="19"/>
        <v>2.3001090834125875</v>
      </c>
      <c r="AI40" s="1324">
        <f t="shared" si="20"/>
        <v>4.8184411774909091</v>
      </c>
      <c r="AJ40" s="1324">
        <f t="shared" si="21"/>
        <v>3.3266454529081866</v>
      </c>
      <c r="AK40" s="1324">
        <f t="shared" si="22"/>
        <v>2.5497344442999994</v>
      </c>
      <c r="AL40" s="1324">
        <f t="shared" si="23"/>
        <v>3.3755873270367416</v>
      </c>
      <c r="AM40" s="1324">
        <f t="shared" si="24"/>
        <v>1.7791244567</v>
      </c>
      <c r="AN40" s="1324">
        <f t="shared" si="25"/>
        <v>1.3644373525497757</v>
      </c>
      <c r="AO40" s="1324">
        <f t="shared" si="26"/>
        <v>10.069103147044721</v>
      </c>
      <c r="AP40" s="1325">
        <f t="shared" si="27"/>
        <v>5.8704619970193725</v>
      </c>
      <c r="AQ40" s="10"/>
    </row>
    <row r="41" spans="1:43" x14ac:dyDescent="0.2">
      <c r="A41" s="932">
        <v>2037</v>
      </c>
      <c r="B41" s="472">
        <v>21.440998</v>
      </c>
      <c r="C41" s="472">
        <v>32.834831000000001</v>
      </c>
      <c r="D41" s="472">
        <v>25.222816000000002</v>
      </c>
      <c r="E41" s="472">
        <v>18.624289999999998</v>
      </c>
      <c r="F41" s="472">
        <v>25.664202</v>
      </c>
      <c r="G41" s="472">
        <v>12.921616999999999</v>
      </c>
      <c r="H41" s="472">
        <v>11.344866</v>
      </c>
      <c r="I41" s="472">
        <v>36.140179000000003</v>
      </c>
      <c r="J41" s="1301">
        <f t="shared" si="0"/>
        <v>41.430700447093884</v>
      </c>
      <c r="K41" s="529">
        <v>2037</v>
      </c>
      <c r="L41" s="524">
        <f t="shared" si="2"/>
        <v>2.9738664226</v>
      </c>
      <c r="M41" s="524">
        <f t="shared" si="3"/>
        <v>4.5541910596999999</v>
      </c>
      <c r="N41" s="524">
        <f t="shared" si="4"/>
        <v>3.4984045792000003</v>
      </c>
      <c r="O41" s="524">
        <f t="shared" si="5"/>
        <v>2.5831890229999996</v>
      </c>
      <c r="P41" s="524">
        <f t="shared" si="6"/>
        <v>3.5596248174</v>
      </c>
      <c r="Q41" s="524">
        <f t="shared" si="7"/>
        <v>1.7922282778999998</v>
      </c>
      <c r="R41" s="524">
        <f t="shared" si="8"/>
        <v>1.5735329142000001</v>
      </c>
      <c r="S41" s="524">
        <f t="shared" si="37"/>
        <v>10.013076452965333</v>
      </c>
      <c r="T41" s="530">
        <f t="shared" si="10"/>
        <v>5.7464381520119217</v>
      </c>
      <c r="U41" s="1523">
        <f>'S-curves'!AN26</f>
        <v>1.997564318453297</v>
      </c>
      <c r="W41" s="1305">
        <v>2037</v>
      </c>
      <c r="X41" s="472">
        <f t="shared" si="12"/>
        <v>16.792949482517486</v>
      </c>
      <c r="Y41" s="472">
        <f t="shared" si="13"/>
        <v>34.924320245454545</v>
      </c>
      <c r="Z41" s="472">
        <f t="shared" si="14"/>
        <v>24.058162500404432</v>
      </c>
      <c r="AA41" s="472">
        <f t="shared" si="33"/>
        <v>18.624289999999998</v>
      </c>
      <c r="AB41" s="472">
        <f t="shared" si="15"/>
        <v>24.502700350821865</v>
      </c>
      <c r="AC41" s="472">
        <f t="shared" si="34"/>
        <v>12.921616999999999</v>
      </c>
      <c r="AD41" s="472">
        <f t="shared" si="16"/>
        <v>9.8186508430493262</v>
      </c>
      <c r="AE41" s="472">
        <f t="shared" si="35"/>
        <v>36.140179000000003</v>
      </c>
      <c r="AF41" s="620">
        <f t="shared" si="17"/>
        <v>41.430700447093884</v>
      </c>
      <c r="AG41" s="1323">
        <v>2037</v>
      </c>
      <c r="AH41" s="1324">
        <f t="shared" si="19"/>
        <v>2.329182093225175</v>
      </c>
      <c r="AI41" s="1324">
        <f t="shared" si="20"/>
        <v>4.8440032180445458</v>
      </c>
      <c r="AJ41" s="1324">
        <f t="shared" si="21"/>
        <v>3.3368671388060949</v>
      </c>
      <c r="AK41" s="1324">
        <f t="shared" si="22"/>
        <v>2.5831890229999996</v>
      </c>
      <c r="AL41" s="1324">
        <f t="shared" si="23"/>
        <v>3.3985245386589931</v>
      </c>
      <c r="AM41" s="1324">
        <f t="shared" si="24"/>
        <v>1.7922282778999998</v>
      </c>
      <c r="AN41" s="1324">
        <f t="shared" si="25"/>
        <v>1.3618468719309416</v>
      </c>
      <c r="AO41" s="1324">
        <f t="shared" si="26"/>
        <v>10.013076452965333</v>
      </c>
      <c r="AP41" s="1325">
        <f t="shared" si="27"/>
        <v>5.7464381520119217</v>
      </c>
      <c r="AQ41" s="10"/>
    </row>
    <row r="42" spans="1:43" x14ac:dyDescent="0.2">
      <c r="A42" s="932">
        <v>2038</v>
      </c>
      <c r="B42" s="472">
        <v>21.689045</v>
      </c>
      <c r="C42" s="472">
        <v>33.766201000000002</v>
      </c>
      <c r="D42" s="472">
        <v>25.499110999999999</v>
      </c>
      <c r="E42" s="472">
        <v>18.83005</v>
      </c>
      <c r="F42" s="472">
        <v>25.881091999999999</v>
      </c>
      <c r="G42" s="472">
        <v>13.491559000000001</v>
      </c>
      <c r="H42" s="472">
        <v>11.310649</v>
      </c>
      <c r="I42" s="472">
        <v>36.026969999999999</v>
      </c>
      <c r="J42" s="1301">
        <f t="shared" si="0"/>
        <v>40.536512667660197</v>
      </c>
      <c r="K42" s="529">
        <v>2038</v>
      </c>
      <c r="L42" s="524">
        <f t="shared" si="2"/>
        <v>3.0082705415</v>
      </c>
      <c r="M42" s="524">
        <f t="shared" si="3"/>
        <v>4.6833720787000006</v>
      </c>
      <c r="N42" s="524">
        <f t="shared" si="4"/>
        <v>3.5367266957000001</v>
      </c>
      <c r="O42" s="524">
        <f t="shared" si="5"/>
        <v>2.6117279350000002</v>
      </c>
      <c r="P42" s="524">
        <f t="shared" si="6"/>
        <v>3.5897074603999997</v>
      </c>
      <c r="Q42" s="524">
        <f t="shared" si="7"/>
        <v>1.8712792332999999</v>
      </c>
      <c r="R42" s="524">
        <f t="shared" si="8"/>
        <v>1.5687870162999999</v>
      </c>
      <c r="S42" s="524">
        <f t="shared" si="37"/>
        <v>9.932570095649</v>
      </c>
      <c r="T42" s="530">
        <f t="shared" si="10"/>
        <v>5.6224143070044699</v>
      </c>
      <c r="U42" s="1523">
        <f>'S-curves'!AN27</f>
        <v>1.9877302162356105</v>
      </c>
      <c r="W42" s="1305">
        <v>2038</v>
      </c>
      <c r="X42" s="472">
        <f t="shared" si="12"/>
        <v>16.987224055944058</v>
      </c>
      <c r="Y42" s="472">
        <f t="shared" si="13"/>
        <v>35.91495924545454</v>
      </c>
      <c r="Z42" s="472">
        <f t="shared" si="14"/>
        <v>24.321699688641036</v>
      </c>
      <c r="AA42" s="472">
        <f t="shared" si="33"/>
        <v>18.83005</v>
      </c>
      <c r="AB42" s="472">
        <f t="shared" si="15"/>
        <v>24.709774417613023</v>
      </c>
      <c r="AC42" s="472">
        <f t="shared" si="34"/>
        <v>13.491559000000001</v>
      </c>
      <c r="AD42" s="472">
        <f t="shared" si="16"/>
        <v>9.7890370269058291</v>
      </c>
      <c r="AE42" s="472">
        <f t="shared" si="35"/>
        <v>36.026969999999999</v>
      </c>
      <c r="AF42" s="620">
        <f t="shared" si="17"/>
        <v>40.536512667660197</v>
      </c>
      <c r="AG42" s="1323">
        <v>2038</v>
      </c>
      <c r="AH42" s="1324">
        <f t="shared" si="19"/>
        <v>2.3561279765594407</v>
      </c>
      <c r="AI42" s="1324">
        <f t="shared" si="20"/>
        <v>4.9814048473445451</v>
      </c>
      <c r="AJ42" s="1324">
        <f t="shared" si="21"/>
        <v>3.3734197468145117</v>
      </c>
      <c r="AK42" s="1324">
        <f t="shared" si="22"/>
        <v>2.6117279350000002</v>
      </c>
      <c r="AL42" s="1324">
        <f t="shared" si="23"/>
        <v>3.427245711722926</v>
      </c>
      <c r="AM42" s="1324">
        <f t="shared" si="24"/>
        <v>1.8712792332999999</v>
      </c>
      <c r="AN42" s="1324">
        <f t="shared" si="25"/>
        <v>1.3577394356318384</v>
      </c>
      <c r="AO42" s="1324">
        <f t="shared" si="26"/>
        <v>9.932570095649</v>
      </c>
      <c r="AP42" s="1325">
        <f t="shared" si="27"/>
        <v>5.6224143070044699</v>
      </c>
      <c r="AQ42" s="10"/>
    </row>
    <row r="43" spans="1:43" x14ac:dyDescent="0.2">
      <c r="A43" s="932">
        <v>2039</v>
      </c>
      <c r="B43" s="472">
        <v>21.912479000000001</v>
      </c>
      <c r="C43" s="472">
        <v>34.771796999999999</v>
      </c>
      <c r="D43" s="472">
        <v>25.840990000000001</v>
      </c>
      <c r="E43" s="472">
        <v>19.106794000000001</v>
      </c>
      <c r="F43" s="472">
        <v>26.103442999999999</v>
      </c>
      <c r="G43" s="472">
        <v>13.652015</v>
      </c>
      <c r="H43" s="472">
        <v>11.269885</v>
      </c>
      <c r="I43" s="472">
        <v>35.831085000000002</v>
      </c>
      <c r="J43" s="1301">
        <f t="shared" si="0"/>
        <v>39.642324888226511</v>
      </c>
      <c r="K43" s="529">
        <v>2039</v>
      </c>
      <c r="L43" s="524">
        <f t="shared" si="2"/>
        <v>3.0392608373000001</v>
      </c>
      <c r="M43" s="524">
        <f t="shared" si="3"/>
        <v>4.8228482439000002</v>
      </c>
      <c r="N43" s="524">
        <f t="shared" si="4"/>
        <v>3.5841453130000001</v>
      </c>
      <c r="O43" s="524">
        <f t="shared" si="5"/>
        <v>2.6501123278000001</v>
      </c>
      <c r="P43" s="524">
        <f t="shared" si="6"/>
        <v>3.6205475440999995</v>
      </c>
      <c r="Q43" s="524">
        <f t="shared" si="7"/>
        <v>1.8935344805000001</v>
      </c>
      <c r="R43" s="524">
        <f t="shared" si="8"/>
        <v>1.5631330495</v>
      </c>
      <c r="S43" s="524">
        <f t="shared" si="37"/>
        <v>9.7493645962684727</v>
      </c>
      <c r="T43" s="530">
        <f t="shared" si="10"/>
        <v>5.4983904619970172</v>
      </c>
      <c r="U43" s="1523">
        <f>'S-curves'!AN28</f>
        <v>1.9617329724046002</v>
      </c>
      <c r="W43" s="1305">
        <v>2039</v>
      </c>
      <c r="X43" s="472">
        <f t="shared" si="12"/>
        <v>17.162221314685318</v>
      </c>
      <c r="Y43" s="472">
        <f t="shared" si="13"/>
        <v>36.984547718181815</v>
      </c>
      <c r="Z43" s="472">
        <f t="shared" si="14"/>
        <v>24.647792561755434</v>
      </c>
      <c r="AA43" s="472">
        <f t="shared" si="33"/>
        <v>19.106794000000001</v>
      </c>
      <c r="AB43" s="472">
        <f t="shared" si="15"/>
        <v>24.922062332339753</v>
      </c>
      <c r="AC43" s="472">
        <f t="shared" si="34"/>
        <v>13.652015</v>
      </c>
      <c r="AD43" s="472">
        <f t="shared" si="16"/>
        <v>9.7537569730941698</v>
      </c>
      <c r="AE43" s="472">
        <f t="shared" si="35"/>
        <v>35.831085000000002</v>
      </c>
      <c r="AF43" s="620">
        <f t="shared" si="17"/>
        <v>39.642324888226511</v>
      </c>
      <c r="AG43" s="1323">
        <v>2039</v>
      </c>
      <c r="AH43" s="1324">
        <f t="shared" si="19"/>
        <v>2.3804000963468539</v>
      </c>
      <c r="AI43" s="1324">
        <f t="shared" si="20"/>
        <v>5.1297567685118182</v>
      </c>
      <c r="AJ43" s="1324">
        <f t="shared" si="21"/>
        <v>3.4186488283154786</v>
      </c>
      <c r="AK43" s="1324">
        <f t="shared" si="22"/>
        <v>2.6501123278000001</v>
      </c>
      <c r="AL43" s="1324">
        <f t="shared" si="23"/>
        <v>3.4566900454955234</v>
      </c>
      <c r="AM43" s="1324">
        <f t="shared" si="24"/>
        <v>1.8935344805000001</v>
      </c>
      <c r="AN43" s="1324">
        <f t="shared" si="25"/>
        <v>1.3528460921681613</v>
      </c>
      <c r="AO43" s="1324">
        <f t="shared" si="26"/>
        <v>9.7493645962684727</v>
      </c>
      <c r="AP43" s="1325">
        <f t="shared" si="27"/>
        <v>5.4983904619970172</v>
      </c>
      <c r="AQ43" s="10"/>
    </row>
    <row r="44" spans="1:43" x14ac:dyDescent="0.2">
      <c r="A44" s="933">
        <v>2040</v>
      </c>
      <c r="B44" s="472">
        <v>22.101877000000002</v>
      </c>
      <c r="C44" s="472">
        <v>35.608722999999998</v>
      </c>
      <c r="D44" s="472">
        <v>25.933036999999999</v>
      </c>
      <c r="E44" s="472">
        <v>19.197942999999999</v>
      </c>
      <c r="F44" s="472">
        <v>26.104603000000001</v>
      </c>
      <c r="G44" s="472">
        <v>13.829222</v>
      </c>
      <c r="H44" s="472">
        <v>11.222148000000001</v>
      </c>
      <c r="I44" s="472">
        <v>35.613166999999997</v>
      </c>
      <c r="J44" s="1301">
        <f t="shared" si="0"/>
        <v>38.748137108792832</v>
      </c>
      <c r="K44" s="531">
        <v>2040</v>
      </c>
      <c r="L44" s="525">
        <f t="shared" si="2"/>
        <v>3.0655303399</v>
      </c>
      <c r="M44" s="525">
        <f t="shared" si="3"/>
        <v>4.9389298800999999</v>
      </c>
      <c r="N44" s="525">
        <f t="shared" si="4"/>
        <v>3.5969122319000002</v>
      </c>
      <c r="O44" s="525">
        <f t="shared" si="5"/>
        <v>2.6627546940999998</v>
      </c>
      <c r="P44" s="525">
        <f t="shared" si="6"/>
        <v>3.6207084361000001</v>
      </c>
      <c r="Q44" s="525">
        <f t="shared" si="7"/>
        <v>1.9181130914</v>
      </c>
      <c r="R44" s="525">
        <f t="shared" si="8"/>
        <v>1.5565119276000001</v>
      </c>
      <c r="S44" s="525">
        <f t="shared" si="37"/>
        <v>9.4302687920638633</v>
      </c>
      <c r="T44" s="532">
        <f t="shared" si="10"/>
        <v>5.3743666169895663</v>
      </c>
      <c r="U44" s="1523">
        <f>'S-curves'!AN29</f>
        <v>1.9091366474068348</v>
      </c>
      <c r="W44" s="1306">
        <v>2040</v>
      </c>
      <c r="X44" s="472">
        <f t="shared" si="12"/>
        <v>17.310561006993012</v>
      </c>
      <c r="Y44" s="472">
        <f t="shared" si="13"/>
        <v>37.874732645454536</v>
      </c>
      <c r="Z44" s="472">
        <f t="shared" si="14"/>
        <v>24.735589328130555</v>
      </c>
      <c r="AA44" s="472">
        <f t="shared" si="33"/>
        <v>19.197942999999999</v>
      </c>
      <c r="AB44" s="472">
        <f t="shared" si="15"/>
        <v>24.923169833457731</v>
      </c>
      <c r="AC44" s="472">
        <f t="shared" si="34"/>
        <v>13.829222</v>
      </c>
      <c r="AD44" s="472">
        <f t="shared" si="16"/>
        <v>9.7124419910313904</v>
      </c>
      <c r="AE44" s="472">
        <f t="shared" si="35"/>
        <v>35.613166999999997</v>
      </c>
      <c r="AF44" s="620">
        <f t="shared" si="17"/>
        <v>38.748137108792832</v>
      </c>
      <c r="AG44" s="1326">
        <v>2040</v>
      </c>
      <c r="AH44" s="525">
        <f t="shared" si="19"/>
        <v>2.400974811669931</v>
      </c>
      <c r="AI44" s="525">
        <f t="shared" si="20"/>
        <v>5.2532254179245434</v>
      </c>
      <c r="AJ44" s="525">
        <f t="shared" si="21"/>
        <v>3.4308262398117075</v>
      </c>
      <c r="AK44" s="525">
        <f t="shared" si="22"/>
        <v>2.6627546940999998</v>
      </c>
      <c r="AL44" s="525">
        <f t="shared" si="23"/>
        <v>3.4568436559005873</v>
      </c>
      <c r="AM44" s="525">
        <f t="shared" si="24"/>
        <v>1.9181130914</v>
      </c>
      <c r="AN44" s="525">
        <f t="shared" si="25"/>
        <v>1.347115704156054</v>
      </c>
      <c r="AO44" s="525">
        <f t="shared" si="26"/>
        <v>9.4302687920638633</v>
      </c>
      <c r="AP44" s="532">
        <f t="shared" si="27"/>
        <v>5.3743666169895663</v>
      </c>
      <c r="AQ44" s="10"/>
    </row>
    <row r="45" spans="1:43" x14ac:dyDescent="0.2">
      <c r="A45" s="932">
        <v>2041</v>
      </c>
      <c r="B45" s="472">
        <v>22.279131</v>
      </c>
      <c r="C45" s="472">
        <v>35.916091999999999</v>
      </c>
      <c r="D45" s="472">
        <v>26.118065000000001</v>
      </c>
      <c r="E45" s="472">
        <v>19.450199000000001</v>
      </c>
      <c r="F45" s="472">
        <v>26.271511</v>
      </c>
      <c r="G45" s="472">
        <v>13.942467000000001</v>
      </c>
      <c r="H45" s="472">
        <v>11.174136000000001</v>
      </c>
      <c r="I45" s="472">
        <v>35.422935000000003</v>
      </c>
      <c r="J45" s="1301">
        <f t="shared" si="0"/>
        <v>37.853949329359153</v>
      </c>
      <c r="K45" s="529">
        <v>2041</v>
      </c>
      <c r="L45" s="524">
        <f t="shared" si="2"/>
        <v>3.0901154696999997</v>
      </c>
      <c r="M45" s="524">
        <f t="shared" si="3"/>
        <v>4.9815619604000005</v>
      </c>
      <c r="N45" s="524">
        <f t="shared" si="4"/>
        <v>3.6225756155000002</v>
      </c>
      <c r="O45" s="524">
        <f t="shared" si="5"/>
        <v>2.6977426013000003</v>
      </c>
      <c r="P45" s="524">
        <f t="shared" si="6"/>
        <v>3.6438585756999999</v>
      </c>
      <c r="Q45" s="524">
        <f t="shared" si="7"/>
        <v>1.9338201729000002</v>
      </c>
      <c r="R45" s="524">
        <f t="shared" si="8"/>
        <v>1.5498526632</v>
      </c>
      <c r="S45" s="524">
        <f t="shared" si="37"/>
        <v>8.9456616685473076</v>
      </c>
      <c r="T45" s="530">
        <f t="shared" si="10"/>
        <v>5.2503427719821145</v>
      </c>
      <c r="U45" s="1523">
        <f>'S-curves'!AN30</f>
        <v>1.8207548082982679</v>
      </c>
      <c r="W45" s="1305">
        <v>2041</v>
      </c>
      <c r="X45" s="472">
        <f t="shared" si="12"/>
        <v>17.449389314685316</v>
      </c>
      <c r="Y45" s="472">
        <f t="shared" si="13"/>
        <v>38.201661490909082</v>
      </c>
      <c r="Z45" s="472">
        <f t="shared" si="14"/>
        <v>24.912073733802185</v>
      </c>
      <c r="AA45" s="472">
        <f t="shared" si="33"/>
        <v>19.450199000000001</v>
      </c>
      <c r="AB45" s="472">
        <f t="shared" si="15"/>
        <v>25.08252396845694</v>
      </c>
      <c r="AC45" s="472">
        <f t="shared" si="34"/>
        <v>13.942467000000001</v>
      </c>
      <c r="AD45" s="472">
        <f t="shared" si="16"/>
        <v>9.6708890044843052</v>
      </c>
      <c r="AE45" s="472">
        <f t="shared" si="35"/>
        <v>35.422935000000003</v>
      </c>
      <c r="AF45" s="620">
        <f t="shared" si="17"/>
        <v>37.853949329359153</v>
      </c>
      <c r="AG45" s="1323">
        <v>2041</v>
      </c>
      <c r="AH45" s="1324">
        <f t="shared" si="19"/>
        <v>2.4202302979468535</v>
      </c>
      <c r="AI45" s="1324">
        <f t="shared" si="20"/>
        <v>5.2985704487890901</v>
      </c>
      <c r="AJ45" s="1324">
        <f t="shared" si="21"/>
        <v>3.4553046268783629</v>
      </c>
      <c r="AK45" s="1324">
        <f t="shared" si="22"/>
        <v>2.6977426013000003</v>
      </c>
      <c r="AL45" s="1324">
        <f t="shared" si="23"/>
        <v>3.4789460744249774</v>
      </c>
      <c r="AM45" s="1324">
        <f t="shared" si="24"/>
        <v>1.9338201729000002</v>
      </c>
      <c r="AN45" s="1324">
        <f t="shared" si="25"/>
        <v>1.3413523049219731</v>
      </c>
      <c r="AO45" s="1324">
        <f t="shared" si="26"/>
        <v>8.9456616685473076</v>
      </c>
      <c r="AP45" s="1325">
        <f t="shared" si="27"/>
        <v>5.2503427719821145</v>
      </c>
      <c r="AQ45" s="10"/>
    </row>
    <row r="46" spans="1:43" x14ac:dyDescent="0.2">
      <c r="A46" s="932">
        <v>2042</v>
      </c>
      <c r="B46" s="472">
        <v>22.573450000000001</v>
      </c>
      <c r="C46" s="472">
        <v>37.479790000000001</v>
      </c>
      <c r="D46" s="472">
        <v>26.521101000000002</v>
      </c>
      <c r="E46" s="472">
        <v>19.834574</v>
      </c>
      <c r="F46" s="472">
        <v>26.655840000000001</v>
      </c>
      <c r="G46" s="472">
        <v>13.968139000000001</v>
      </c>
      <c r="H46" s="472">
        <v>11.160277000000001</v>
      </c>
      <c r="I46" s="472">
        <v>35.253875999999998</v>
      </c>
      <c r="J46" s="1301">
        <f t="shared" si="0"/>
        <v>36.959761549925474</v>
      </c>
      <c r="K46" s="529">
        <v>2042</v>
      </c>
      <c r="L46" s="524">
        <f t="shared" si="2"/>
        <v>3.1309375150000003</v>
      </c>
      <c r="M46" s="524">
        <f t="shared" si="3"/>
        <v>5.1984468730000009</v>
      </c>
      <c r="N46" s="524">
        <f t="shared" si="4"/>
        <v>3.6784767087000003</v>
      </c>
      <c r="O46" s="524">
        <f t="shared" si="5"/>
        <v>2.7510554138000001</v>
      </c>
      <c r="P46" s="524">
        <f t="shared" si="6"/>
        <v>3.6971650080000003</v>
      </c>
      <c r="Q46" s="524">
        <f t="shared" si="7"/>
        <v>1.9373808793000002</v>
      </c>
      <c r="R46" s="524">
        <f t="shared" si="8"/>
        <v>1.5479304199000001</v>
      </c>
      <c r="S46" s="524">
        <f t="shared" si="37"/>
        <v>8.2809104833630194</v>
      </c>
      <c r="T46" s="530">
        <f t="shared" si="10"/>
        <v>5.1263189269746636</v>
      </c>
      <c r="U46" s="1523">
        <f>'S-curves'!AN31</f>
        <v>1.6935372605193146</v>
      </c>
      <c r="W46" s="1305">
        <v>2042</v>
      </c>
      <c r="X46" s="472">
        <f t="shared" si="12"/>
        <v>17.679904895104897</v>
      </c>
      <c r="Y46" s="472">
        <f t="shared" si="13"/>
        <v>39.864867545454544</v>
      </c>
      <c r="Z46" s="472">
        <f t="shared" si="14"/>
        <v>25.296499706759093</v>
      </c>
      <c r="AA46" s="472">
        <f t="shared" si="33"/>
        <v>19.834574</v>
      </c>
      <c r="AB46" s="472">
        <f t="shared" si="15"/>
        <v>25.449459138431482</v>
      </c>
      <c r="AC46" s="472">
        <f t="shared" si="34"/>
        <v>13.968139000000001</v>
      </c>
      <c r="AD46" s="472">
        <f t="shared" si="16"/>
        <v>9.6588944439461883</v>
      </c>
      <c r="AE46" s="472">
        <f t="shared" si="35"/>
        <v>35.253875999999998</v>
      </c>
      <c r="AF46" s="620">
        <f t="shared" si="17"/>
        <v>36.959761549925474</v>
      </c>
      <c r="AG46" s="1323">
        <v>2042</v>
      </c>
      <c r="AH46" s="1324">
        <f t="shared" si="19"/>
        <v>2.452202808951049</v>
      </c>
      <c r="AI46" s="1324">
        <f t="shared" si="20"/>
        <v>5.5292571285545451</v>
      </c>
      <c r="AJ46" s="1324">
        <f t="shared" si="21"/>
        <v>3.5086245093274862</v>
      </c>
      <c r="AK46" s="1324">
        <f t="shared" si="22"/>
        <v>2.7510554138000001</v>
      </c>
      <c r="AL46" s="1324">
        <f t="shared" si="23"/>
        <v>3.5298399825004463</v>
      </c>
      <c r="AM46" s="1324">
        <f t="shared" si="24"/>
        <v>1.9373808793000002</v>
      </c>
      <c r="AN46" s="1324">
        <f t="shared" si="25"/>
        <v>1.3396886593753363</v>
      </c>
      <c r="AO46" s="1324">
        <f t="shared" si="26"/>
        <v>8.2809104833630194</v>
      </c>
      <c r="AP46" s="1325">
        <f t="shared" si="27"/>
        <v>5.1263189269746636</v>
      </c>
      <c r="AQ46" s="10"/>
    </row>
    <row r="47" spans="1:43" x14ac:dyDescent="0.2">
      <c r="A47" s="932">
        <v>2043</v>
      </c>
      <c r="B47" s="472">
        <v>22.785976000000002</v>
      </c>
      <c r="C47" s="472">
        <v>37.935295000000004</v>
      </c>
      <c r="D47" s="472">
        <v>26.736353000000001</v>
      </c>
      <c r="E47" s="472">
        <v>20.040814999999998</v>
      </c>
      <c r="F47" s="472">
        <v>26.817506999999999</v>
      </c>
      <c r="G47" s="472">
        <v>14.613647</v>
      </c>
      <c r="H47" s="472">
        <v>11.142837999999999</v>
      </c>
      <c r="I47" s="472">
        <v>34.979267</v>
      </c>
      <c r="J47" s="1301">
        <f t="shared" si="0"/>
        <v>36.065573770491788</v>
      </c>
      <c r="K47" s="529">
        <v>2043</v>
      </c>
      <c r="L47" s="524">
        <f t="shared" si="2"/>
        <v>3.1604148712000004</v>
      </c>
      <c r="M47" s="524">
        <f t="shared" si="3"/>
        <v>5.2616254165000003</v>
      </c>
      <c r="N47" s="524">
        <f t="shared" si="4"/>
        <v>3.7083321611</v>
      </c>
      <c r="O47" s="524">
        <f t="shared" si="5"/>
        <v>2.7796610404999997</v>
      </c>
      <c r="P47" s="524">
        <f t="shared" si="6"/>
        <v>3.7195882209</v>
      </c>
      <c r="Q47" s="524">
        <f t="shared" si="7"/>
        <v>2.0269128389</v>
      </c>
      <c r="R47" s="524">
        <f t="shared" si="8"/>
        <v>1.5455116305999999</v>
      </c>
      <c r="S47" s="524">
        <f t="shared" si="37"/>
        <v>7.4503429550494946</v>
      </c>
      <c r="T47" s="530">
        <f t="shared" si="10"/>
        <v>5.002295081967211</v>
      </c>
      <c r="U47" s="1523">
        <f>'S-curves'!AN32</f>
        <v>1.5356388796484046</v>
      </c>
      <c r="W47" s="1305">
        <v>2043</v>
      </c>
      <c r="X47" s="472">
        <f t="shared" si="12"/>
        <v>17.846358825174828</v>
      </c>
      <c r="Y47" s="472">
        <f t="shared" si="13"/>
        <v>40.349359227272728</v>
      </c>
      <c r="Z47" s="472">
        <f t="shared" si="14"/>
        <v>25.501812531248515</v>
      </c>
      <c r="AA47" s="472">
        <f t="shared" si="33"/>
        <v>20.040814999999998</v>
      </c>
      <c r="AB47" s="472">
        <f t="shared" si="15"/>
        <v>25.603809468810596</v>
      </c>
      <c r="AC47" s="472">
        <f t="shared" si="34"/>
        <v>14.613647</v>
      </c>
      <c r="AD47" s="472">
        <f t="shared" si="16"/>
        <v>9.6438014977578472</v>
      </c>
      <c r="AE47" s="472">
        <f t="shared" si="35"/>
        <v>34.979267</v>
      </c>
      <c r="AF47" s="620">
        <f t="shared" si="17"/>
        <v>36.065573770491788</v>
      </c>
      <c r="AG47" s="1323">
        <v>2043</v>
      </c>
      <c r="AH47" s="1324">
        <f t="shared" si="19"/>
        <v>2.4752899690517487</v>
      </c>
      <c r="AI47" s="1324">
        <f t="shared" si="20"/>
        <v>5.5964561248227271</v>
      </c>
      <c r="AJ47" s="1324">
        <f t="shared" si="21"/>
        <v>3.5371013980841686</v>
      </c>
      <c r="AK47" s="1324">
        <f t="shared" si="22"/>
        <v>2.7796610404999997</v>
      </c>
      <c r="AL47" s="1324">
        <f t="shared" si="23"/>
        <v>3.5512483733240297</v>
      </c>
      <c r="AM47" s="1324">
        <f t="shared" si="24"/>
        <v>2.0269128389</v>
      </c>
      <c r="AN47" s="1324">
        <f t="shared" si="25"/>
        <v>1.3375952677390133</v>
      </c>
      <c r="AO47" s="1324">
        <f t="shared" si="26"/>
        <v>7.4503429550494946</v>
      </c>
      <c r="AP47" s="1325">
        <f t="shared" si="27"/>
        <v>5.002295081967211</v>
      </c>
      <c r="AQ47" s="10"/>
    </row>
    <row r="48" spans="1:43" x14ac:dyDescent="0.2">
      <c r="A48" s="932">
        <v>2044</v>
      </c>
      <c r="B48" s="472">
        <v>22.996428999999999</v>
      </c>
      <c r="C48" s="472">
        <v>38.346237000000002</v>
      </c>
      <c r="D48" s="472">
        <v>26.945976000000002</v>
      </c>
      <c r="E48" s="472">
        <v>20.276285000000001</v>
      </c>
      <c r="F48" s="472">
        <v>27.027259999999998</v>
      </c>
      <c r="G48" s="472">
        <v>14.869235</v>
      </c>
      <c r="H48" s="472">
        <v>11.134161000000001</v>
      </c>
      <c r="I48" s="472">
        <v>34.808914000000001</v>
      </c>
      <c r="J48" s="1301">
        <f t="shared" si="0"/>
        <v>35.171385991058102</v>
      </c>
      <c r="K48" s="529">
        <v>2044</v>
      </c>
      <c r="L48" s="524">
        <f t="shared" si="2"/>
        <v>3.1896047023</v>
      </c>
      <c r="M48" s="524">
        <f t="shared" si="3"/>
        <v>5.3186230719000003</v>
      </c>
      <c r="N48" s="524">
        <f t="shared" si="4"/>
        <v>3.7374068712000006</v>
      </c>
      <c r="O48" s="524">
        <f t="shared" si="5"/>
        <v>2.8123207295000006</v>
      </c>
      <c r="P48" s="524">
        <f t="shared" si="6"/>
        <v>3.7486809619999999</v>
      </c>
      <c r="Q48" s="524">
        <f t="shared" si="7"/>
        <v>2.0623628945000001</v>
      </c>
      <c r="R48" s="524">
        <f t="shared" si="8"/>
        <v>1.5443081307000002</v>
      </c>
      <c r="S48" s="524">
        <f t="shared" si="37"/>
        <v>6.6041169790355356</v>
      </c>
      <c r="T48" s="530">
        <f t="shared" si="10"/>
        <v>4.8782712369597592</v>
      </c>
      <c r="U48" s="1523">
        <f>'S-curves'!AN33</f>
        <v>1.3678794411714423</v>
      </c>
      <c r="W48" s="1305">
        <v>2044</v>
      </c>
      <c r="X48" s="472">
        <f t="shared" si="12"/>
        <v>18.011189146853148</v>
      </c>
      <c r="Y48" s="472">
        <f t="shared" si="13"/>
        <v>40.786452081818176</v>
      </c>
      <c r="Z48" s="472">
        <f t="shared" si="14"/>
        <v>25.701756272574713</v>
      </c>
      <c r="AA48" s="472">
        <f t="shared" si="33"/>
        <v>20.276285000000001</v>
      </c>
      <c r="AB48" s="472">
        <f t="shared" si="15"/>
        <v>25.804069539499174</v>
      </c>
      <c r="AC48" s="472">
        <f t="shared" si="34"/>
        <v>14.869235</v>
      </c>
      <c r="AD48" s="472">
        <f t="shared" si="16"/>
        <v>9.6362918071748886</v>
      </c>
      <c r="AE48" s="472">
        <f t="shared" si="35"/>
        <v>34.808914000000001</v>
      </c>
      <c r="AF48" s="620">
        <f t="shared" si="17"/>
        <v>35.171385991058102</v>
      </c>
      <c r="AG48" s="1323">
        <v>2044</v>
      </c>
      <c r="AH48" s="1324">
        <f t="shared" si="19"/>
        <v>2.4981519346685315</v>
      </c>
      <c r="AI48" s="1324">
        <f t="shared" si="20"/>
        <v>5.6570809037481808</v>
      </c>
      <c r="AJ48" s="1324">
        <f t="shared" si="21"/>
        <v>3.5648335950061125</v>
      </c>
      <c r="AK48" s="1324">
        <f t="shared" si="22"/>
        <v>2.8123207295000006</v>
      </c>
      <c r="AL48" s="1324">
        <f t="shared" si="23"/>
        <v>3.5790244451285353</v>
      </c>
      <c r="AM48" s="1324">
        <f t="shared" si="24"/>
        <v>2.0623628945000001</v>
      </c>
      <c r="AN48" s="1324">
        <f t="shared" si="25"/>
        <v>1.3365536736551569</v>
      </c>
      <c r="AO48" s="1324">
        <f t="shared" si="26"/>
        <v>6.6041169790355356</v>
      </c>
      <c r="AP48" s="1325">
        <f t="shared" si="27"/>
        <v>4.8782712369597592</v>
      </c>
      <c r="AQ48" s="10"/>
    </row>
    <row r="49" spans="1:43" x14ac:dyDescent="0.2">
      <c r="A49" s="933">
        <v>2045</v>
      </c>
      <c r="B49" s="472">
        <v>23.208030999999998</v>
      </c>
      <c r="C49" s="472">
        <v>38.771312999999999</v>
      </c>
      <c r="D49" s="472">
        <v>27.292883</v>
      </c>
      <c r="E49" s="472">
        <v>20.70055</v>
      </c>
      <c r="F49" s="472">
        <v>27.398430000000001</v>
      </c>
      <c r="G49" s="472">
        <v>14.895740999999999</v>
      </c>
      <c r="H49" s="472">
        <v>11.127587</v>
      </c>
      <c r="I49" s="472">
        <v>34.676597999999998</v>
      </c>
      <c r="J49" s="1301">
        <f t="shared" si="0"/>
        <v>34.277198211624423</v>
      </c>
      <c r="K49" s="531">
        <v>2045</v>
      </c>
      <c r="L49" s="525">
        <f t="shared" si="2"/>
        <v>3.2189538996999998</v>
      </c>
      <c r="M49" s="525">
        <f t="shared" si="3"/>
        <v>5.3775811130999998</v>
      </c>
      <c r="N49" s="525">
        <f t="shared" si="4"/>
        <v>3.7855228720999996</v>
      </c>
      <c r="O49" s="525">
        <f t="shared" si="5"/>
        <v>2.8711662850000002</v>
      </c>
      <c r="P49" s="525">
        <f t="shared" si="6"/>
        <v>3.8001622410000002</v>
      </c>
      <c r="Q49" s="525">
        <f t="shared" si="7"/>
        <v>2.0660392766999998</v>
      </c>
      <c r="R49" s="525">
        <f t="shared" si="8"/>
        <v>1.5433963169</v>
      </c>
      <c r="S49" s="525">
        <f t="shared" si="37"/>
        <v>5.8572057614843391</v>
      </c>
      <c r="T49" s="532">
        <f t="shared" si="10"/>
        <v>4.7542473919523083</v>
      </c>
      <c r="U49" s="1523">
        <f>'S-curves'!AN34</f>
        <v>1.2178043921390924</v>
      </c>
      <c r="W49" s="1306">
        <v>2045</v>
      </c>
      <c r="X49" s="472">
        <f t="shared" si="12"/>
        <v>18.176919384615385</v>
      </c>
      <c r="Y49" s="472">
        <f t="shared" si="13"/>
        <v>41.238578372727268</v>
      </c>
      <c r="Z49" s="472">
        <f t="shared" si="14"/>
        <v>26.032644979788362</v>
      </c>
      <c r="AA49" s="472">
        <f t="shared" si="33"/>
        <v>20.70055</v>
      </c>
      <c r="AB49" s="472">
        <f t="shared" si="15"/>
        <v>26.158441254981096</v>
      </c>
      <c r="AC49" s="472">
        <f t="shared" si="34"/>
        <v>14.895740999999999</v>
      </c>
      <c r="AD49" s="472">
        <f t="shared" si="16"/>
        <v>9.630602201793721</v>
      </c>
      <c r="AE49" s="472">
        <f t="shared" si="35"/>
        <v>34.676597999999998</v>
      </c>
      <c r="AF49" s="620">
        <f t="shared" si="17"/>
        <v>34.277198211624423</v>
      </c>
      <c r="AG49" s="1326">
        <v>2045</v>
      </c>
      <c r="AH49" s="525">
        <f t="shared" si="19"/>
        <v>2.5211387186461538</v>
      </c>
      <c r="AI49" s="525">
        <f t="shared" si="20"/>
        <v>5.7197908202972716</v>
      </c>
      <c r="AJ49" s="525">
        <f t="shared" si="21"/>
        <v>3.6107278586966456</v>
      </c>
      <c r="AK49" s="525">
        <f t="shared" si="22"/>
        <v>2.8711662850000002</v>
      </c>
      <c r="AL49" s="525">
        <f t="shared" si="23"/>
        <v>3.6281758020658783</v>
      </c>
      <c r="AM49" s="525">
        <f t="shared" si="24"/>
        <v>2.0660392766999998</v>
      </c>
      <c r="AN49" s="525">
        <f t="shared" si="25"/>
        <v>1.3357645253887891</v>
      </c>
      <c r="AO49" s="525">
        <f t="shared" si="26"/>
        <v>5.8572057614843391</v>
      </c>
      <c r="AP49" s="532">
        <f t="shared" si="27"/>
        <v>4.7542473919523083</v>
      </c>
      <c r="AQ49" s="10"/>
    </row>
    <row r="50" spans="1:43" x14ac:dyDescent="0.2">
      <c r="A50" s="932">
        <v>2046</v>
      </c>
      <c r="B50" s="472">
        <v>23.411003000000001</v>
      </c>
      <c r="C50" s="472">
        <v>39.264046</v>
      </c>
      <c r="D50" s="472">
        <v>27.377738999999998</v>
      </c>
      <c r="E50" s="472">
        <v>20.752966000000001</v>
      </c>
      <c r="F50" s="472">
        <v>27.414787</v>
      </c>
      <c r="G50" s="472">
        <v>15.526524999999999</v>
      </c>
      <c r="H50" s="472">
        <v>11.152502999999999</v>
      </c>
      <c r="I50" s="472">
        <v>34.547210999999997</v>
      </c>
      <c r="J50" s="1301">
        <f t="shared" si="0"/>
        <v>33.383010432190744</v>
      </c>
      <c r="K50" s="529">
        <v>2046</v>
      </c>
      <c r="L50" s="524">
        <f t="shared" si="2"/>
        <v>3.2471061161000003</v>
      </c>
      <c r="M50" s="524">
        <f t="shared" si="3"/>
        <v>5.4459231802000003</v>
      </c>
      <c r="N50" s="524">
        <f t="shared" si="4"/>
        <v>3.7972923992999998</v>
      </c>
      <c r="O50" s="524">
        <f t="shared" si="5"/>
        <v>2.8784363842</v>
      </c>
      <c r="P50" s="524">
        <f t="shared" si="6"/>
        <v>3.8024309569000003</v>
      </c>
      <c r="Q50" s="524">
        <f t="shared" si="7"/>
        <v>2.1535290174999999</v>
      </c>
      <c r="R50" s="524">
        <f t="shared" si="8"/>
        <v>1.5468521661000001</v>
      </c>
      <c r="S50" s="524">
        <f t="shared" si="37"/>
        <v>5.3061595847833702</v>
      </c>
      <c r="T50" s="530">
        <f t="shared" si="10"/>
        <v>4.6302235469448565</v>
      </c>
      <c r="U50" s="1523">
        <f>'S-curves'!AN35</f>
        <v>1.1073651555863839</v>
      </c>
      <c r="W50" s="1305">
        <v>2046</v>
      </c>
      <c r="X50" s="472">
        <f t="shared" si="12"/>
        <v>18.335890461538465</v>
      </c>
      <c r="Y50" s="472">
        <f t="shared" si="13"/>
        <v>41.762667109090906</v>
      </c>
      <c r="Z50" s="472">
        <f t="shared" si="14"/>
        <v>26.113582787729168</v>
      </c>
      <c r="AA50" s="472">
        <f t="shared" si="33"/>
        <v>20.752966000000001</v>
      </c>
      <c r="AB50" s="472">
        <f t="shared" si="15"/>
        <v>26.174057975486896</v>
      </c>
      <c r="AC50" s="472">
        <f t="shared" si="34"/>
        <v>15.526524999999999</v>
      </c>
      <c r="AD50" s="472">
        <f t="shared" si="16"/>
        <v>9.6521662735425995</v>
      </c>
      <c r="AE50" s="472">
        <f t="shared" si="35"/>
        <v>34.547210999999997</v>
      </c>
      <c r="AF50" s="620">
        <f t="shared" si="17"/>
        <v>33.383010432190744</v>
      </c>
      <c r="AG50" s="1323">
        <v>2046</v>
      </c>
      <c r="AH50" s="1324">
        <f t="shared" si="19"/>
        <v>2.5431880070153854</v>
      </c>
      <c r="AI50" s="1324">
        <f t="shared" si="20"/>
        <v>5.7924819280309094</v>
      </c>
      <c r="AJ50" s="1324">
        <f t="shared" si="21"/>
        <v>3.6219539326580357</v>
      </c>
      <c r="AK50" s="1324">
        <f t="shared" si="22"/>
        <v>2.8784363842</v>
      </c>
      <c r="AL50" s="1324">
        <f t="shared" si="23"/>
        <v>3.6303418412000323</v>
      </c>
      <c r="AM50" s="1324">
        <f t="shared" si="24"/>
        <v>2.1535290174999999</v>
      </c>
      <c r="AN50" s="1324">
        <f t="shared" si="25"/>
        <v>1.3387554621403586</v>
      </c>
      <c r="AO50" s="1324">
        <f t="shared" si="26"/>
        <v>5.3061595847833702</v>
      </c>
      <c r="AP50" s="1325">
        <f t="shared" si="27"/>
        <v>4.6302235469448565</v>
      </c>
      <c r="AQ50" s="10"/>
    </row>
    <row r="51" spans="1:43" x14ac:dyDescent="0.2">
      <c r="A51" s="932">
        <v>2047</v>
      </c>
      <c r="B51" s="472">
        <v>23.683239</v>
      </c>
      <c r="C51" s="472">
        <v>42.460051999999997</v>
      </c>
      <c r="D51" s="472">
        <v>27.854393000000002</v>
      </c>
      <c r="E51" s="472">
        <v>21.175343999999999</v>
      </c>
      <c r="F51" s="472">
        <v>27.670738</v>
      </c>
      <c r="G51" s="472">
        <v>15.824721</v>
      </c>
      <c r="H51" s="472">
        <v>11.190495</v>
      </c>
      <c r="I51" s="472">
        <v>34.415016000000001</v>
      </c>
      <c r="J51" s="1301">
        <f t="shared" si="0"/>
        <v>32.488822652757065</v>
      </c>
      <c r="K51" s="529">
        <v>2047</v>
      </c>
      <c r="L51" s="524">
        <f t="shared" si="2"/>
        <v>3.2848652493000001</v>
      </c>
      <c r="M51" s="524">
        <f t="shared" si="3"/>
        <v>5.8892092123999999</v>
      </c>
      <c r="N51" s="524">
        <f t="shared" si="4"/>
        <v>3.8634043091000003</v>
      </c>
      <c r="O51" s="524">
        <f t="shared" si="5"/>
        <v>2.9370202127999998</v>
      </c>
      <c r="P51" s="524">
        <f t="shared" si="6"/>
        <v>3.8379313605999998</v>
      </c>
      <c r="Q51" s="524">
        <f t="shared" si="7"/>
        <v>2.1948888027</v>
      </c>
      <c r="R51" s="524">
        <f t="shared" si="8"/>
        <v>1.5521216565</v>
      </c>
      <c r="S51" s="524">
        <f t="shared" si="37"/>
        <v>4.9757761880547049</v>
      </c>
      <c r="T51" s="530">
        <f t="shared" si="10"/>
        <v>4.5061997019374056</v>
      </c>
      <c r="U51" s="1523">
        <f>'S-curves'!AN36</f>
        <v>1.0424047952694926</v>
      </c>
      <c r="W51" s="1305">
        <v>2047</v>
      </c>
      <c r="X51" s="472">
        <f t="shared" si="12"/>
        <v>18.549110265734267</v>
      </c>
      <c r="Y51" s="472">
        <f t="shared" si="13"/>
        <v>45.162055309090903</v>
      </c>
      <c r="Z51" s="472">
        <f t="shared" si="14"/>
        <v>26.568227478808382</v>
      </c>
      <c r="AA51" s="472">
        <f t="shared" si="33"/>
        <v>21.175343999999999</v>
      </c>
      <c r="AB51" s="472">
        <f t="shared" si="15"/>
        <v>26.418425232941196</v>
      </c>
      <c r="AC51" s="472">
        <f t="shared" si="34"/>
        <v>15.824721</v>
      </c>
      <c r="AD51" s="472">
        <f t="shared" si="16"/>
        <v>9.685047242152466</v>
      </c>
      <c r="AE51" s="472">
        <f t="shared" si="35"/>
        <v>34.415016000000001</v>
      </c>
      <c r="AF51" s="620">
        <f t="shared" si="17"/>
        <v>32.488822652757065</v>
      </c>
      <c r="AG51" s="1323">
        <v>2047</v>
      </c>
      <c r="AH51" s="1324">
        <f t="shared" si="19"/>
        <v>2.5727615938573427</v>
      </c>
      <c r="AI51" s="1324">
        <f t="shared" si="20"/>
        <v>6.263977071370908</v>
      </c>
      <c r="AJ51" s="1324">
        <f t="shared" si="21"/>
        <v>3.6850131513107223</v>
      </c>
      <c r="AK51" s="1324">
        <f t="shared" si="22"/>
        <v>2.9370202127999998</v>
      </c>
      <c r="AL51" s="1324">
        <f t="shared" si="23"/>
        <v>3.6642355798089441</v>
      </c>
      <c r="AM51" s="1324">
        <f t="shared" si="24"/>
        <v>2.1948888027</v>
      </c>
      <c r="AN51" s="1324">
        <f t="shared" si="25"/>
        <v>1.3433160524865471</v>
      </c>
      <c r="AO51" s="1324">
        <f t="shared" si="26"/>
        <v>4.9757761880547049</v>
      </c>
      <c r="AP51" s="1325">
        <f t="shared" si="27"/>
        <v>4.5061997019374056</v>
      </c>
      <c r="AQ51" s="10"/>
    </row>
    <row r="52" spans="1:43" x14ac:dyDescent="0.2">
      <c r="A52" s="932">
        <v>2048</v>
      </c>
      <c r="B52" s="472">
        <v>23.960798</v>
      </c>
      <c r="C52" s="472">
        <v>43.544437000000002</v>
      </c>
      <c r="D52" s="472">
        <v>28.176065000000001</v>
      </c>
      <c r="E52" s="472">
        <v>21.518598999999998</v>
      </c>
      <c r="F52" s="472">
        <v>27.905581999999999</v>
      </c>
      <c r="G52" s="472">
        <v>16.030633999999999</v>
      </c>
      <c r="H52" s="472">
        <v>11.209865000000001</v>
      </c>
      <c r="I52" s="472">
        <v>34.257465000000003</v>
      </c>
      <c r="J52" s="1301">
        <f t="shared" si="0"/>
        <v>31.594634873323376</v>
      </c>
      <c r="K52" s="529">
        <v>2048</v>
      </c>
      <c r="L52" s="524">
        <f t="shared" si="2"/>
        <v>3.3233626826</v>
      </c>
      <c r="M52" s="524">
        <f t="shared" si="3"/>
        <v>6.0396134119000005</v>
      </c>
      <c r="N52" s="524">
        <f t="shared" si="4"/>
        <v>3.9080202155000006</v>
      </c>
      <c r="O52" s="524">
        <f t="shared" si="5"/>
        <v>2.9846296812999999</v>
      </c>
      <c r="P52" s="524">
        <f t="shared" si="6"/>
        <v>3.8705042234000002</v>
      </c>
      <c r="Q52" s="524">
        <f t="shared" si="7"/>
        <v>2.2234489358</v>
      </c>
      <c r="R52" s="524">
        <f t="shared" si="8"/>
        <v>1.5548082754999999</v>
      </c>
      <c r="S52" s="524">
        <f t="shared" si="37"/>
        <v>4.8126445337971857</v>
      </c>
      <c r="T52" s="530">
        <f t="shared" si="10"/>
        <v>4.382175856929952</v>
      </c>
      <c r="U52" s="1523">
        <f>'S-curves'!AN37</f>
        <v>1.0128662537190456</v>
      </c>
      <c r="W52" s="1305">
        <v>2048</v>
      </c>
      <c r="X52" s="472">
        <f t="shared" si="12"/>
        <v>18.766499132867136</v>
      </c>
      <c r="Y52" s="472">
        <f t="shared" si="13"/>
        <v>46.315446627272721</v>
      </c>
      <c r="Z52" s="472">
        <f t="shared" si="14"/>
        <v>26.875046402112986</v>
      </c>
      <c r="AA52" s="472">
        <f t="shared" si="33"/>
        <v>21.518598999999998</v>
      </c>
      <c r="AB52" s="472">
        <f t="shared" si="15"/>
        <v>26.642640743760058</v>
      </c>
      <c r="AC52" s="472">
        <f t="shared" si="34"/>
        <v>16.030633999999999</v>
      </c>
      <c r="AD52" s="472">
        <f t="shared" si="16"/>
        <v>9.7018114125560544</v>
      </c>
      <c r="AE52" s="472">
        <f t="shared" si="35"/>
        <v>34.257465000000003</v>
      </c>
      <c r="AF52" s="620">
        <f t="shared" si="17"/>
        <v>31.594634873323376</v>
      </c>
      <c r="AG52" s="1323">
        <v>2048</v>
      </c>
      <c r="AH52" s="1324">
        <f t="shared" si="19"/>
        <v>2.6029134297286718</v>
      </c>
      <c r="AI52" s="1324">
        <f t="shared" si="20"/>
        <v>6.4239524472027263</v>
      </c>
      <c r="AJ52" s="1324">
        <f t="shared" si="21"/>
        <v>3.7275689359730708</v>
      </c>
      <c r="AK52" s="1324">
        <f t="shared" si="22"/>
        <v>2.9846296812999999</v>
      </c>
      <c r="AL52" s="1324">
        <f t="shared" si="23"/>
        <v>3.6953342711595201</v>
      </c>
      <c r="AM52" s="1324">
        <f t="shared" si="24"/>
        <v>2.2234489358</v>
      </c>
      <c r="AN52" s="1324">
        <f t="shared" si="25"/>
        <v>1.3456412429215248</v>
      </c>
      <c r="AO52" s="1324">
        <f t="shared" si="26"/>
        <v>4.8126445337971857</v>
      </c>
      <c r="AP52" s="1325">
        <f t="shared" si="27"/>
        <v>4.382175856929952</v>
      </c>
      <c r="AQ52" s="10"/>
    </row>
    <row r="53" spans="1:43" x14ac:dyDescent="0.2">
      <c r="A53" s="932">
        <v>2049</v>
      </c>
      <c r="B53" s="472">
        <v>24.167490000000001</v>
      </c>
      <c r="C53" s="472">
        <v>43.591911000000003</v>
      </c>
      <c r="D53" s="472">
        <v>28.421361999999998</v>
      </c>
      <c r="E53" s="472">
        <v>21.766680000000001</v>
      </c>
      <c r="F53" s="472">
        <v>28.076466</v>
      </c>
      <c r="G53" s="472">
        <v>16.223696</v>
      </c>
      <c r="H53" s="472">
        <v>11.231529999999999</v>
      </c>
      <c r="I53" s="472">
        <v>34.011459000000002</v>
      </c>
      <c r="J53" s="1301">
        <f t="shared" si="0"/>
        <v>30.700447093889697</v>
      </c>
      <c r="K53" s="529">
        <v>2049</v>
      </c>
      <c r="L53" s="524">
        <f t="shared" si="2"/>
        <v>3.352030863</v>
      </c>
      <c r="M53" s="524">
        <f t="shared" si="3"/>
        <v>6.0461980557000006</v>
      </c>
      <c r="N53" s="524">
        <f t="shared" si="4"/>
        <v>3.9420429093999996</v>
      </c>
      <c r="O53" s="524">
        <f t="shared" si="5"/>
        <v>3.0190385160000002</v>
      </c>
      <c r="P53" s="524">
        <f t="shared" si="6"/>
        <v>3.8942058342000001</v>
      </c>
      <c r="Q53" s="524">
        <f t="shared" si="7"/>
        <v>2.2502266351999998</v>
      </c>
      <c r="R53" s="524">
        <f t="shared" si="8"/>
        <v>1.5578132109999998</v>
      </c>
      <c r="S53" s="524">
        <f t="shared" si="37"/>
        <v>4.7309044396005095</v>
      </c>
      <c r="T53" s="530">
        <f t="shared" si="10"/>
        <v>4.2581520119225011</v>
      </c>
      <c r="U53" s="1523">
        <f>'S-curves'!AN38</f>
        <v>1.0028649482287073</v>
      </c>
      <c r="W53" s="1305">
        <v>2049</v>
      </c>
      <c r="X53" s="472">
        <f t="shared" si="12"/>
        <v>18.928383776223779</v>
      </c>
      <c r="Y53" s="472">
        <f t="shared" si="13"/>
        <v>46.3659417</v>
      </c>
      <c r="Z53" s="472">
        <f t="shared" si="14"/>
        <v>27.109016910674029</v>
      </c>
      <c r="AA53" s="472">
        <f t="shared" si="33"/>
        <v>21.766680000000001</v>
      </c>
      <c r="AB53" s="472">
        <f t="shared" si="15"/>
        <v>26.805790934315361</v>
      </c>
      <c r="AC53" s="472">
        <f t="shared" si="34"/>
        <v>16.223696</v>
      </c>
      <c r="AD53" s="472">
        <f t="shared" si="16"/>
        <v>9.7205618385650219</v>
      </c>
      <c r="AE53" s="472">
        <f t="shared" si="35"/>
        <v>34.011459000000002</v>
      </c>
      <c r="AF53" s="620">
        <f t="shared" si="17"/>
        <v>30.700447093889697</v>
      </c>
      <c r="AG53" s="1323">
        <v>2049</v>
      </c>
      <c r="AH53" s="1324">
        <f t="shared" si="19"/>
        <v>2.6253668297622381</v>
      </c>
      <c r="AI53" s="1324">
        <f t="shared" si="20"/>
        <v>6.4309561137899998</v>
      </c>
      <c r="AJ53" s="1324">
        <f t="shared" si="21"/>
        <v>3.7600206455104876</v>
      </c>
      <c r="AK53" s="1324">
        <f t="shared" si="22"/>
        <v>3.0190385160000002</v>
      </c>
      <c r="AL53" s="1324">
        <f t="shared" si="23"/>
        <v>3.7179632025895408</v>
      </c>
      <c r="AM53" s="1324">
        <f t="shared" si="24"/>
        <v>2.2502266351999998</v>
      </c>
      <c r="AN53" s="1324">
        <f t="shared" si="25"/>
        <v>1.3482419270089685</v>
      </c>
      <c r="AO53" s="1324">
        <f t="shared" si="26"/>
        <v>4.7309044396005095</v>
      </c>
      <c r="AP53" s="1325">
        <f t="shared" si="27"/>
        <v>4.2581520119225011</v>
      </c>
      <c r="AQ53" s="10"/>
    </row>
    <row r="54" spans="1:43" ht="13.5" thickBot="1" x14ac:dyDescent="0.25">
      <c r="A54" s="934">
        <v>2050</v>
      </c>
      <c r="B54" s="544">
        <v>24.36318</v>
      </c>
      <c r="C54" s="544">
        <v>43.892014000000003</v>
      </c>
      <c r="D54" s="544">
        <v>28.630436</v>
      </c>
      <c r="E54" s="544">
        <v>21.858753</v>
      </c>
      <c r="F54" s="544">
        <v>28.233941999999999</v>
      </c>
      <c r="G54" s="544">
        <v>15.660544</v>
      </c>
      <c r="H54" s="544">
        <v>11.277456000000001</v>
      </c>
      <c r="I54" s="544">
        <v>33.779319999999998</v>
      </c>
      <c r="J54" s="1304">
        <f t="shared" si="0"/>
        <v>29.806259314456035</v>
      </c>
      <c r="K54" s="533">
        <v>2050</v>
      </c>
      <c r="L54" s="534">
        <f t="shared" si="2"/>
        <v>3.3791730659999999</v>
      </c>
      <c r="M54" s="534">
        <f t="shared" si="3"/>
        <v>6.0878223418000008</v>
      </c>
      <c r="N54" s="534">
        <f t="shared" si="4"/>
        <v>3.9710414731999997</v>
      </c>
      <c r="O54" s="534">
        <f t="shared" si="5"/>
        <v>3.0318090410999998</v>
      </c>
      <c r="P54" s="534">
        <f t="shared" si="6"/>
        <v>3.9160477553999997</v>
      </c>
      <c r="Q54" s="534">
        <f t="shared" si="7"/>
        <v>2.1721174528000002</v>
      </c>
      <c r="R54" s="534">
        <f t="shared" si="8"/>
        <v>1.5641831472000001</v>
      </c>
      <c r="S54" s="534">
        <f t="shared" si="37"/>
        <v>4.6872794878531119</v>
      </c>
      <c r="T54" s="535">
        <f t="shared" si="10"/>
        <v>4.134128166915052</v>
      </c>
      <c r="U54" s="1523">
        <f>'S-curves'!AN39</f>
        <v>1.000445617595592</v>
      </c>
      <c r="W54" s="1308">
        <v>2050</v>
      </c>
      <c r="X54" s="544">
        <f t="shared" si="12"/>
        <v>19.081651468531472</v>
      </c>
      <c r="Y54" s="544">
        <f t="shared" si="13"/>
        <v>46.685142163636364</v>
      </c>
      <c r="Z54" s="544">
        <f t="shared" si="14"/>
        <v>27.30843700185693</v>
      </c>
      <c r="AA54" s="544">
        <f t="shared" si="33"/>
        <v>21.858753</v>
      </c>
      <c r="AB54" s="544">
        <f t="shared" si="15"/>
        <v>26.956139939534616</v>
      </c>
      <c r="AC54" s="544">
        <f t="shared" si="34"/>
        <v>15.660544</v>
      </c>
      <c r="AD54" s="544">
        <f t="shared" si="16"/>
        <v>9.7603094529147985</v>
      </c>
      <c r="AE54" s="544">
        <f t="shared" si="35"/>
        <v>33.779319999999998</v>
      </c>
      <c r="AF54" s="621">
        <f t="shared" si="17"/>
        <v>29.806259314456035</v>
      </c>
      <c r="AG54" s="1327">
        <v>2050</v>
      </c>
      <c r="AH54" s="534">
        <f t="shared" si="19"/>
        <v>2.6466250586853155</v>
      </c>
      <c r="AI54" s="534">
        <f t="shared" si="20"/>
        <v>6.4752292180963638</v>
      </c>
      <c r="AJ54" s="534">
        <f t="shared" si="21"/>
        <v>3.7876802121575563</v>
      </c>
      <c r="AK54" s="534">
        <f t="shared" si="22"/>
        <v>3.0318090410999998</v>
      </c>
      <c r="AL54" s="534">
        <f t="shared" si="23"/>
        <v>3.7388166096134512</v>
      </c>
      <c r="AM54" s="534">
        <f t="shared" si="24"/>
        <v>2.1721174528000002</v>
      </c>
      <c r="AN54" s="534">
        <f t="shared" si="25"/>
        <v>1.3537549211192825</v>
      </c>
      <c r="AO54" s="534">
        <f t="shared" si="26"/>
        <v>4.6872794878531119</v>
      </c>
      <c r="AP54" s="535">
        <f t="shared" si="27"/>
        <v>4.134128166915052</v>
      </c>
      <c r="AQ54" s="10"/>
    </row>
    <row r="55" spans="1:43" ht="12.75" hidden="1" customHeight="1" x14ac:dyDescent="0.2">
      <c r="A55" s="3">
        <v>2051</v>
      </c>
      <c r="B55" s="64" t="e">
        <f>+(B$44/#REF!)^0.2*#REF!</f>
        <v>#REF!</v>
      </c>
      <c r="C55" s="65" t="e">
        <f>+(#REF!/#REF!)^0.2*#REF!</f>
        <v>#REF!</v>
      </c>
      <c r="D55" s="66" t="e">
        <f>+(#REF!/#REF!)^0.2*#REF!</f>
        <v>#REF!</v>
      </c>
      <c r="E55" s="66" t="e">
        <f>+(#REF!/#REF!)^0.2*#REF!</f>
        <v>#REF!</v>
      </c>
      <c r="F55" s="66" t="e">
        <f>+(#REF!/#REF!)^0.2*#REF!</f>
        <v>#REF!</v>
      </c>
      <c r="G55" s="66" t="e">
        <f>+(#REF!/#REF!)^0.2*#REF!</f>
        <v>#REF!</v>
      </c>
      <c r="H55" s="66"/>
      <c r="I55" s="66"/>
      <c r="J55" s="620">
        <f t="shared" ref="J55:J58" si="38">$P$2*K107/$M$2*10^6</f>
        <v>0</v>
      </c>
      <c r="K55" s="65"/>
      <c r="L55" s="67" t="e">
        <f t="shared" ref="L55:L58" si="39">+B55/8</f>
        <v>#REF!</v>
      </c>
      <c r="M55" s="68" t="e">
        <f t="shared" ref="M55:M58" si="40">+C55/8</f>
        <v>#REF!</v>
      </c>
      <c r="N55" s="57" t="e">
        <f t="shared" ref="N55:N58" si="41">+D55/8</f>
        <v>#REF!</v>
      </c>
      <c r="O55" s="57" t="e">
        <f t="shared" ref="O55:O58" si="42">+E55/8</f>
        <v>#REF!</v>
      </c>
      <c r="P55" s="57" t="e">
        <f t="shared" ref="P55:P58" si="43">+F55/8</f>
        <v>#REF!</v>
      </c>
      <c r="Q55" s="57"/>
      <c r="R55" s="57"/>
      <c r="S55" s="57">
        <f t="shared" si="37"/>
        <v>0</v>
      </c>
      <c r="T55" s="57"/>
      <c r="U55">
        <f>'S-curves'!AN40</f>
        <v>0</v>
      </c>
      <c r="W55" s="3">
        <v>2051</v>
      </c>
      <c r="X55" s="64" t="e">
        <f t="shared" ref="X55:X58" si="44">$Y$5*B55</f>
        <v>#REF!</v>
      </c>
      <c r="Y55" s="65" t="e">
        <f t="shared" ref="Y55:Y58" si="45">$AA$3*C55</f>
        <v>#REF!</v>
      </c>
      <c r="Z55" s="66" t="e">
        <f t="shared" ref="Z55:Z58" si="46">$AA$4*D55</f>
        <v>#REF!</v>
      </c>
      <c r="AA55" s="66" t="e">
        <f>+(#REF!/#REF!)^0.2*#REF!</f>
        <v>#REF!</v>
      </c>
      <c r="AB55" s="66" t="e">
        <f t="shared" ref="AB55:AB58" si="47">$Y$3*F55</f>
        <v>#REF!</v>
      </c>
      <c r="AC55" s="66" t="e">
        <f>+(#REF!/#REF!)^0.2*#REF!</f>
        <v>#REF!</v>
      </c>
      <c r="AD55" s="66"/>
      <c r="AE55" s="66"/>
      <c r="AF55" s="66"/>
      <c r="AG55" s="65"/>
      <c r="AH55" s="67" t="e">
        <f t="shared" ref="AH55:AL58" si="48">+X55/8</f>
        <v>#REF!</v>
      </c>
      <c r="AI55" s="68" t="e">
        <f t="shared" si="48"/>
        <v>#REF!</v>
      </c>
      <c r="AJ55" s="57" t="e">
        <f t="shared" si="48"/>
        <v>#REF!</v>
      </c>
      <c r="AK55" s="57" t="e">
        <f t="shared" si="48"/>
        <v>#REF!</v>
      </c>
      <c r="AL55" s="57" t="e">
        <f t="shared" si="48"/>
        <v>#REF!</v>
      </c>
      <c r="AM55" s="57"/>
      <c r="AN55" s="57"/>
      <c r="AO55" s="57">
        <f t="shared" ref="AO55:AO58" si="49">U55*AE55*HVDiesel/10^6</f>
        <v>0</v>
      </c>
      <c r="AP55" s="57"/>
    </row>
    <row r="56" spans="1:43" ht="12.75" hidden="1" customHeight="1" x14ac:dyDescent="0.2">
      <c r="A56" s="69">
        <v>2052</v>
      </c>
      <c r="B56" s="63" t="e">
        <f>+(B$44/#REF!)^0.2*B55</f>
        <v>#REF!</v>
      </c>
      <c r="C56" s="65" t="e">
        <f>+(#REF!/#REF!)^0.2*C55</f>
        <v>#REF!</v>
      </c>
      <c r="D56" s="66" t="e">
        <f>+(#REF!/#REF!)^0.2*D55</f>
        <v>#REF!</v>
      </c>
      <c r="E56" s="66" t="e">
        <f>+(#REF!/#REF!)^0.2*E55</f>
        <v>#REF!</v>
      </c>
      <c r="F56" s="66" t="e">
        <f>+(#REF!/#REF!)^0.2*F55</f>
        <v>#REF!</v>
      </c>
      <c r="G56" s="66" t="e">
        <f>+(#REF!/#REF!)^0.2*G55</f>
        <v>#REF!</v>
      </c>
      <c r="H56" s="66"/>
      <c r="I56" s="66"/>
      <c r="J56" s="620">
        <f t="shared" si="38"/>
        <v>0</v>
      </c>
      <c r="K56" s="65"/>
      <c r="L56" s="67" t="e">
        <f t="shared" si="39"/>
        <v>#REF!</v>
      </c>
      <c r="M56" s="62" t="e">
        <f t="shared" si="40"/>
        <v>#REF!</v>
      </c>
      <c r="N56" s="57" t="e">
        <f t="shared" si="41"/>
        <v>#REF!</v>
      </c>
      <c r="O56" s="57" t="e">
        <f t="shared" si="42"/>
        <v>#REF!</v>
      </c>
      <c r="P56" s="57" t="e">
        <f t="shared" si="43"/>
        <v>#REF!</v>
      </c>
      <c r="Q56" s="57"/>
      <c r="R56" s="57"/>
      <c r="S56" s="57">
        <f t="shared" si="37"/>
        <v>0</v>
      </c>
      <c r="T56" s="57"/>
      <c r="U56">
        <f>'S-curves'!AN41</f>
        <v>0</v>
      </c>
      <c r="W56" s="69">
        <v>2052</v>
      </c>
      <c r="X56" s="63" t="e">
        <f t="shared" si="44"/>
        <v>#REF!</v>
      </c>
      <c r="Y56" s="65" t="e">
        <f t="shared" si="45"/>
        <v>#REF!</v>
      </c>
      <c r="Z56" s="66" t="e">
        <f t="shared" si="46"/>
        <v>#REF!</v>
      </c>
      <c r="AA56" s="66" t="e">
        <f>+(#REF!/#REF!)^0.2*AA55</f>
        <v>#REF!</v>
      </c>
      <c r="AB56" s="66" t="e">
        <f t="shared" si="47"/>
        <v>#REF!</v>
      </c>
      <c r="AC56" s="66" t="e">
        <f>+(#REF!/#REF!)^0.2*AC55</f>
        <v>#REF!</v>
      </c>
      <c r="AD56" s="66"/>
      <c r="AE56" s="66"/>
      <c r="AF56" s="66"/>
      <c r="AG56" s="65"/>
      <c r="AH56" s="67" t="e">
        <f t="shared" si="48"/>
        <v>#REF!</v>
      </c>
      <c r="AI56" s="62" t="e">
        <f t="shared" si="48"/>
        <v>#REF!</v>
      </c>
      <c r="AJ56" s="57" t="e">
        <f t="shared" si="48"/>
        <v>#REF!</v>
      </c>
      <c r="AK56" s="57" t="e">
        <f t="shared" si="48"/>
        <v>#REF!</v>
      </c>
      <c r="AL56" s="57" t="e">
        <f t="shared" si="48"/>
        <v>#REF!</v>
      </c>
      <c r="AM56" s="57"/>
      <c r="AN56" s="57"/>
      <c r="AO56" s="57">
        <f t="shared" si="49"/>
        <v>0</v>
      </c>
      <c r="AP56" s="57"/>
    </row>
    <row r="57" spans="1:43" ht="12.75" hidden="1" customHeight="1" x14ac:dyDescent="0.2">
      <c r="A57" s="3">
        <v>2053</v>
      </c>
      <c r="B57" s="63" t="e">
        <f>+(B$44/#REF!)^0.2*B56</f>
        <v>#REF!</v>
      </c>
      <c r="C57" s="65" t="e">
        <f>+(#REF!/#REF!)^0.2*C56</f>
        <v>#REF!</v>
      </c>
      <c r="D57" s="66" t="e">
        <f>+(#REF!/#REF!)^0.2*D56</f>
        <v>#REF!</v>
      </c>
      <c r="E57" s="66" t="e">
        <f>+(#REF!/#REF!)^0.2*E56</f>
        <v>#REF!</v>
      </c>
      <c r="F57" s="66" t="e">
        <f>+(#REF!/#REF!)^0.2*F56</f>
        <v>#REF!</v>
      </c>
      <c r="G57" s="66" t="e">
        <f>+(#REF!/#REF!)^0.2*G56</f>
        <v>#REF!</v>
      </c>
      <c r="H57" s="66"/>
      <c r="I57" s="66"/>
      <c r="J57" s="620">
        <f t="shared" si="38"/>
        <v>0</v>
      </c>
      <c r="K57" s="65"/>
      <c r="L57" s="67" t="e">
        <f t="shared" si="39"/>
        <v>#REF!</v>
      </c>
      <c r="M57" s="62" t="e">
        <f t="shared" si="40"/>
        <v>#REF!</v>
      </c>
      <c r="N57" s="57" t="e">
        <f t="shared" si="41"/>
        <v>#REF!</v>
      </c>
      <c r="O57" s="57" t="e">
        <f t="shared" si="42"/>
        <v>#REF!</v>
      </c>
      <c r="P57" s="57" t="e">
        <f t="shared" si="43"/>
        <v>#REF!</v>
      </c>
      <c r="Q57" s="57"/>
      <c r="R57" s="57"/>
      <c r="S57" s="57">
        <f t="shared" si="37"/>
        <v>0</v>
      </c>
      <c r="T57" s="57"/>
      <c r="U57">
        <f>'S-curves'!AN42</f>
        <v>0</v>
      </c>
      <c r="W57" s="3">
        <v>2053</v>
      </c>
      <c r="X57" s="63" t="e">
        <f t="shared" si="44"/>
        <v>#REF!</v>
      </c>
      <c r="Y57" s="65" t="e">
        <f t="shared" si="45"/>
        <v>#REF!</v>
      </c>
      <c r="Z57" s="66" t="e">
        <f t="shared" si="46"/>
        <v>#REF!</v>
      </c>
      <c r="AA57" s="66" t="e">
        <f>+(#REF!/#REF!)^0.2*AA56</f>
        <v>#REF!</v>
      </c>
      <c r="AB57" s="66" t="e">
        <f t="shared" si="47"/>
        <v>#REF!</v>
      </c>
      <c r="AC57" s="66" t="e">
        <f>+(#REF!/#REF!)^0.2*AC56</f>
        <v>#REF!</v>
      </c>
      <c r="AD57" s="66"/>
      <c r="AE57" s="66"/>
      <c r="AF57" s="66"/>
      <c r="AG57" s="65"/>
      <c r="AH57" s="67" t="e">
        <f t="shared" si="48"/>
        <v>#REF!</v>
      </c>
      <c r="AI57" s="62" t="e">
        <f t="shared" si="48"/>
        <v>#REF!</v>
      </c>
      <c r="AJ57" s="57" t="e">
        <f t="shared" si="48"/>
        <v>#REF!</v>
      </c>
      <c r="AK57" s="57" t="e">
        <f t="shared" si="48"/>
        <v>#REF!</v>
      </c>
      <c r="AL57" s="57" t="e">
        <f t="shared" si="48"/>
        <v>#REF!</v>
      </c>
      <c r="AM57" s="57"/>
      <c r="AN57" s="57"/>
      <c r="AO57" s="57">
        <f t="shared" si="49"/>
        <v>0</v>
      </c>
      <c r="AP57" s="57"/>
    </row>
    <row r="58" spans="1:43" ht="12.75" hidden="1" customHeight="1" x14ac:dyDescent="0.2">
      <c r="A58" s="69">
        <v>2054</v>
      </c>
      <c r="B58" s="63" t="e">
        <f>+(B$44/#REF!)^0.2*B57</f>
        <v>#REF!</v>
      </c>
      <c r="C58" s="65" t="e">
        <f>+(#REF!/#REF!)^0.2*C57</f>
        <v>#REF!</v>
      </c>
      <c r="D58" s="66" t="e">
        <f>+(#REF!/#REF!)^0.2*D57</f>
        <v>#REF!</v>
      </c>
      <c r="E58" s="66" t="e">
        <f>+(#REF!/#REF!)^0.2*E57</f>
        <v>#REF!</v>
      </c>
      <c r="F58" s="66" t="e">
        <f>+(#REF!/#REF!)^0.2*F57</f>
        <v>#REF!</v>
      </c>
      <c r="G58" s="66" t="e">
        <f>+(#REF!/#REF!)^0.2*G57</f>
        <v>#REF!</v>
      </c>
      <c r="H58" s="66"/>
      <c r="I58" s="66"/>
      <c r="J58" s="619">
        <f t="shared" si="38"/>
        <v>0</v>
      </c>
      <c r="K58" s="65"/>
      <c r="L58" s="67" t="e">
        <f t="shared" si="39"/>
        <v>#REF!</v>
      </c>
      <c r="M58" s="62" t="e">
        <f t="shared" si="40"/>
        <v>#REF!</v>
      </c>
      <c r="N58" s="57" t="e">
        <f t="shared" si="41"/>
        <v>#REF!</v>
      </c>
      <c r="O58" s="57" t="e">
        <f t="shared" si="42"/>
        <v>#REF!</v>
      </c>
      <c r="P58" s="57" t="e">
        <f t="shared" si="43"/>
        <v>#REF!</v>
      </c>
      <c r="Q58" s="57"/>
      <c r="R58" s="57"/>
      <c r="S58" s="57">
        <f t="shared" si="37"/>
        <v>0</v>
      </c>
      <c r="T58" s="57"/>
      <c r="U58">
        <f>'S-curves'!AN43</f>
        <v>0</v>
      </c>
      <c r="W58" s="69">
        <v>2054</v>
      </c>
      <c r="X58" s="63" t="e">
        <f t="shared" si="44"/>
        <v>#REF!</v>
      </c>
      <c r="Y58" s="65" t="e">
        <f t="shared" si="45"/>
        <v>#REF!</v>
      </c>
      <c r="Z58" s="66" t="e">
        <f t="shared" si="46"/>
        <v>#REF!</v>
      </c>
      <c r="AA58" s="66" t="e">
        <f>+(#REF!/#REF!)^0.2*AA57</f>
        <v>#REF!</v>
      </c>
      <c r="AB58" s="66" t="e">
        <f t="shared" si="47"/>
        <v>#REF!</v>
      </c>
      <c r="AC58" s="66" t="e">
        <f>+(#REF!/#REF!)^0.2*AC57</f>
        <v>#REF!</v>
      </c>
      <c r="AD58" s="66"/>
      <c r="AE58" s="66"/>
      <c r="AF58" s="66"/>
      <c r="AG58" s="65"/>
      <c r="AH58" s="67" t="e">
        <f t="shared" si="48"/>
        <v>#REF!</v>
      </c>
      <c r="AI58" s="62" t="e">
        <f t="shared" si="48"/>
        <v>#REF!</v>
      </c>
      <c r="AJ58" s="57" t="e">
        <f t="shared" si="48"/>
        <v>#REF!</v>
      </c>
      <c r="AK58" s="57" t="e">
        <f t="shared" si="48"/>
        <v>#REF!</v>
      </c>
      <c r="AL58" s="57" t="e">
        <f t="shared" si="48"/>
        <v>#REF!</v>
      </c>
      <c r="AM58" s="57"/>
      <c r="AN58" s="57"/>
      <c r="AO58" s="57">
        <f t="shared" si="49"/>
        <v>0</v>
      </c>
      <c r="AP58" s="57"/>
    </row>
    <row r="59" spans="1:43" x14ac:dyDescent="0.2">
      <c r="C59" s="57"/>
      <c r="F59" s="66"/>
      <c r="G59" s="70"/>
      <c r="H59" s="70"/>
      <c r="I59"/>
      <c r="J59"/>
      <c r="K59"/>
      <c r="L59" s="10"/>
      <c r="M59" s="10"/>
      <c r="N59" s="10"/>
      <c r="O59" s="10"/>
      <c r="P59" s="10"/>
      <c r="Q59" s="10"/>
      <c r="R59" s="10"/>
      <c r="S59" s="10"/>
      <c r="T59" s="10"/>
      <c r="Y59" s="57"/>
      <c r="AA59" s="7"/>
      <c r="AB59" s="66"/>
      <c r="AC59" s="70"/>
      <c r="AD59" s="70"/>
      <c r="AE59" s="70"/>
      <c r="AF59" s="70"/>
      <c r="AG59" s="471"/>
      <c r="AH59" s="10"/>
      <c r="AI59" s="10"/>
      <c r="AJ59" s="10"/>
      <c r="AK59" s="10"/>
      <c r="AL59" s="10"/>
      <c r="AM59" s="10"/>
      <c r="AN59" s="10"/>
      <c r="AO59" s="10"/>
      <c r="AP59" s="10"/>
    </row>
    <row r="60" spans="1:43" x14ac:dyDescent="0.2">
      <c r="A60" s="56" t="s">
        <v>398</v>
      </c>
      <c r="F60" s="66"/>
      <c r="I60"/>
      <c r="J60" s="56" t="s">
        <v>385</v>
      </c>
      <c r="K60" s="7"/>
      <c r="W60" s="56" t="s">
        <v>182</v>
      </c>
      <c r="AA60" s="7"/>
      <c r="AB60" s="66"/>
      <c r="AC60" s="7"/>
      <c r="AD60" s="7"/>
      <c r="AE60" s="7"/>
      <c r="AF60" s="56"/>
      <c r="AG60" s="52"/>
    </row>
    <row r="61" spans="1:43" ht="13.5" thickBot="1" x14ac:dyDescent="0.25">
      <c r="A61" s="548" t="s">
        <v>399</v>
      </c>
      <c r="F61" s="66"/>
      <c r="K61" s="7" t="s">
        <v>334</v>
      </c>
      <c r="W61" s="548" t="s">
        <v>183</v>
      </c>
      <c r="AA61" s="7"/>
      <c r="AB61" s="66"/>
      <c r="AC61" s="7"/>
      <c r="AD61" s="7"/>
      <c r="AF61" s="7"/>
      <c r="AG61" s="7" t="s">
        <v>334</v>
      </c>
    </row>
    <row r="62" spans="1:43" x14ac:dyDescent="0.2">
      <c r="A62" s="71" t="s">
        <v>7</v>
      </c>
      <c r="J62" s="931">
        <v>2007</v>
      </c>
      <c r="K62" s="620">
        <f t="shared" ref="K62:K68" si="50">K63</f>
        <v>12</v>
      </c>
      <c r="W62" s="71" t="s">
        <v>7</v>
      </c>
      <c r="AA62" s="7"/>
      <c r="AB62" s="7"/>
      <c r="AC62" s="7"/>
      <c r="AD62" s="7"/>
      <c r="AF62" s="931">
        <v>2007</v>
      </c>
      <c r="AG62" s="620">
        <f>K62</f>
        <v>12</v>
      </c>
    </row>
    <row r="63" spans="1:43" x14ac:dyDescent="0.2">
      <c r="A63" s="3" t="s">
        <v>8</v>
      </c>
      <c r="J63" s="468">
        <v>2008</v>
      </c>
      <c r="K63" s="620">
        <f t="shared" si="50"/>
        <v>12</v>
      </c>
      <c r="W63" s="3" t="s">
        <v>8</v>
      </c>
      <c r="AA63" s="7"/>
      <c r="AB63" s="7"/>
      <c r="AC63" s="7"/>
      <c r="AD63" s="7"/>
      <c r="AF63" s="468">
        <v>2008</v>
      </c>
      <c r="AG63" s="620">
        <f t="shared" ref="AG63:AG105" si="51">K63</f>
        <v>12</v>
      </c>
    </row>
    <row r="64" spans="1:43" x14ac:dyDescent="0.2">
      <c r="J64" s="468">
        <v>2009</v>
      </c>
      <c r="K64" s="620">
        <f t="shared" si="50"/>
        <v>12</v>
      </c>
      <c r="AF64" s="468">
        <v>2009</v>
      </c>
      <c r="AG64" s="620">
        <f t="shared" si="51"/>
        <v>12</v>
      </c>
    </row>
    <row r="65" spans="2:33" x14ac:dyDescent="0.2">
      <c r="J65" s="469">
        <v>2010</v>
      </c>
      <c r="K65" s="620">
        <f t="shared" si="50"/>
        <v>12</v>
      </c>
      <c r="AF65" s="469">
        <v>2010</v>
      </c>
      <c r="AG65" s="620">
        <f t="shared" si="51"/>
        <v>12</v>
      </c>
    </row>
    <row r="66" spans="2:33" x14ac:dyDescent="0.2">
      <c r="J66" s="468">
        <v>2011</v>
      </c>
      <c r="K66" s="620">
        <f t="shared" si="50"/>
        <v>12</v>
      </c>
      <c r="AF66" s="470">
        <v>2011</v>
      </c>
      <c r="AG66" s="620">
        <f t="shared" si="51"/>
        <v>12</v>
      </c>
    </row>
    <row r="67" spans="2:33" x14ac:dyDescent="0.2">
      <c r="J67" s="1305">
        <v>2012</v>
      </c>
      <c r="K67" s="620">
        <f t="shared" si="50"/>
        <v>12</v>
      </c>
      <c r="AF67" s="932">
        <v>2012</v>
      </c>
      <c r="AG67" s="620">
        <f t="shared" si="51"/>
        <v>12</v>
      </c>
    </row>
    <row r="68" spans="2:33" x14ac:dyDescent="0.2">
      <c r="J68" s="1305">
        <v>2013</v>
      </c>
      <c r="K68" s="620">
        <f t="shared" si="50"/>
        <v>12</v>
      </c>
      <c r="AF68" s="932">
        <v>2013</v>
      </c>
      <c r="AG68" s="620">
        <f t="shared" si="51"/>
        <v>12</v>
      </c>
    </row>
    <row r="69" spans="2:33" x14ac:dyDescent="0.2">
      <c r="J69" s="1305">
        <v>2014</v>
      </c>
      <c r="K69" s="620">
        <f>K70</f>
        <v>12</v>
      </c>
      <c r="AF69" s="932">
        <v>2014</v>
      </c>
      <c r="AG69" s="620">
        <f t="shared" si="51"/>
        <v>12</v>
      </c>
    </row>
    <row r="70" spans="2:33" x14ac:dyDescent="0.2">
      <c r="J70" s="1306">
        <v>2015</v>
      </c>
      <c r="K70" s="1307">
        <v>12</v>
      </c>
      <c r="AF70" s="933">
        <v>2015</v>
      </c>
      <c r="AG70" s="620">
        <f t="shared" si="51"/>
        <v>12</v>
      </c>
    </row>
    <row r="71" spans="2:33" x14ac:dyDescent="0.2">
      <c r="B71" s="72"/>
      <c r="D71" s="72"/>
      <c r="J71" s="1305">
        <v>2016</v>
      </c>
      <c r="K71" s="620">
        <f>K70+($K$75-$K$70)/($J$75-$J$70)</f>
        <v>11.5</v>
      </c>
      <c r="AF71" s="932">
        <v>2016</v>
      </c>
      <c r="AG71" s="1329">
        <f t="shared" si="51"/>
        <v>11.5</v>
      </c>
    </row>
    <row r="72" spans="2:33" x14ac:dyDescent="0.2">
      <c r="B72" s="72"/>
      <c r="D72" s="72"/>
      <c r="J72" s="1305">
        <v>2017</v>
      </c>
      <c r="K72" s="620">
        <f>K71+($K$75-$K$70)/($J$75-$J$70)</f>
        <v>11</v>
      </c>
      <c r="AF72" s="932">
        <v>2017</v>
      </c>
      <c r="AG72" s="620">
        <f t="shared" si="51"/>
        <v>11</v>
      </c>
    </row>
    <row r="73" spans="2:33" x14ac:dyDescent="0.2">
      <c r="B73" s="72"/>
      <c r="D73" s="72"/>
      <c r="J73" s="1305">
        <v>2018</v>
      </c>
      <c r="K73" s="620">
        <f>K72+($K$75-$K$70)/($J$75-$J$70)</f>
        <v>10.5</v>
      </c>
      <c r="AF73" s="932">
        <v>2018</v>
      </c>
      <c r="AG73" s="620">
        <f t="shared" si="51"/>
        <v>10.5</v>
      </c>
    </row>
    <row r="74" spans="2:33" x14ac:dyDescent="0.2">
      <c r="B74" s="72"/>
      <c r="D74" s="72"/>
      <c r="J74" s="1305">
        <v>2019</v>
      </c>
      <c r="K74" s="1307">
        <v>10</v>
      </c>
      <c r="AF74" s="932">
        <v>2019</v>
      </c>
      <c r="AG74" s="620">
        <f t="shared" si="51"/>
        <v>10</v>
      </c>
    </row>
    <row r="75" spans="2:33" x14ac:dyDescent="0.2">
      <c r="B75" s="72"/>
      <c r="D75" s="72"/>
      <c r="J75" s="1306">
        <v>2020</v>
      </c>
      <c r="K75" s="620">
        <f>K74+($K$80-$K$74)/($J$80-$J$74)</f>
        <v>9.5</v>
      </c>
      <c r="AF75" s="933">
        <v>2020</v>
      </c>
      <c r="AG75" s="620">
        <f t="shared" si="51"/>
        <v>9.5</v>
      </c>
    </row>
    <row r="76" spans="2:33" x14ac:dyDescent="0.2">
      <c r="B76" s="72"/>
      <c r="D76" s="72"/>
      <c r="J76" s="1305">
        <v>2021</v>
      </c>
      <c r="K76" s="620">
        <f t="shared" ref="K76:K79" si="52">K75+($K$80-$K$74)/($J$80-$J$74)</f>
        <v>9</v>
      </c>
      <c r="AF76" s="932">
        <v>2021</v>
      </c>
      <c r="AG76" s="620">
        <f t="shared" si="51"/>
        <v>9</v>
      </c>
    </row>
    <row r="77" spans="2:33" x14ac:dyDescent="0.2">
      <c r="B77" s="72"/>
      <c r="D77" s="72"/>
      <c r="J77" s="1305">
        <v>2022</v>
      </c>
      <c r="K77" s="620">
        <f t="shared" si="52"/>
        <v>8.5</v>
      </c>
      <c r="AF77" s="932">
        <v>2022</v>
      </c>
      <c r="AG77" s="620">
        <f t="shared" si="51"/>
        <v>8.5</v>
      </c>
    </row>
    <row r="78" spans="2:33" x14ac:dyDescent="0.2">
      <c r="B78" s="72"/>
      <c r="D78" s="72"/>
      <c r="J78" s="1305">
        <v>2023</v>
      </c>
      <c r="K78" s="620">
        <f t="shared" si="52"/>
        <v>8</v>
      </c>
      <c r="AF78" s="932">
        <v>2023</v>
      </c>
      <c r="AG78" s="620">
        <f t="shared" si="51"/>
        <v>8</v>
      </c>
    </row>
    <row r="79" spans="2:33" x14ac:dyDescent="0.2">
      <c r="B79" s="72"/>
      <c r="D79" s="72"/>
      <c r="J79" s="1305">
        <v>2024</v>
      </c>
      <c r="K79" s="620">
        <f t="shared" si="52"/>
        <v>7.5</v>
      </c>
      <c r="AF79" s="932">
        <v>2024</v>
      </c>
      <c r="AG79" s="620">
        <f t="shared" si="51"/>
        <v>7.5</v>
      </c>
    </row>
    <row r="80" spans="2:33" x14ac:dyDescent="0.2">
      <c r="B80" s="72"/>
      <c r="D80" s="72"/>
      <c r="J80" s="1306">
        <v>2025</v>
      </c>
      <c r="K80" s="1307">
        <v>7</v>
      </c>
      <c r="AF80" s="933">
        <v>2025</v>
      </c>
      <c r="AG80" s="620">
        <f t="shared" si="51"/>
        <v>7</v>
      </c>
    </row>
    <row r="81" spans="2:33" x14ac:dyDescent="0.2">
      <c r="B81" s="72"/>
      <c r="D81" s="72"/>
      <c r="J81" s="1305">
        <v>2026</v>
      </c>
      <c r="K81" s="620">
        <f>K80+($K$105-$K$80)/($J$105-$J$80)</f>
        <v>6.88</v>
      </c>
      <c r="AF81" s="932">
        <v>2026</v>
      </c>
      <c r="AG81" s="620">
        <f t="shared" si="51"/>
        <v>6.88</v>
      </c>
    </row>
    <row r="82" spans="2:33" x14ac:dyDescent="0.2">
      <c r="B82" s="72"/>
      <c r="D82" s="72"/>
      <c r="J82" s="1305">
        <v>2027</v>
      </c>
      <c r="K82" s="620">
        <f t="shared" ref="K82:K104" si="53">K81+($K$105-$K$80)/($J$105-$J$80)</f>
        <v>6.76</v>
      </c>
      <c r="AF82" s="932">
        <v>2027</v>
      </c>
      <c r="AG82" s="620">
        <f t="shared" si="51"/>
        <v>6.76</v>
      </c>
    </row>
    <row r="83" spans="2:33" x14ac:dyDescent="0.2">
      <c r="B83" s="72"/>
      <c r="D83" s="72"/>
      <c r="J83" s="1305">
        <v>2028</v>
      </c>
      <c r="K83" s="620">
        <f t="shared" si="53"/>
        <v>6.64</v>
      </c>
      <c r="AF83" s="932">
        <v>2028</v>
      </c>
      <c r="AG83" s="620">
        <f t="shared" si="51"/>
        <v>6.64</v>
      </c>
    </row>
    <row r="84" spans="2:33" x14ac:dyDescent="0.2">
      <c r="B84" s="72"/>
      <c r="D84" s="72"/>
      <c r="J84" s="1305">
        <v>2029</v>
      </c>
      <c r="K84" s="620">
        <f t="shared" si="53"/>
        <v>6.52</v>
      </c>
      <c r="AF84" s="932">
        <v>2029</v>
      </c>
      <c r="AG84" s="620">
        <f t="shared" si="51"/>
        <v>6.52</v>
      </c>
    </row>
    <row r="85" spans="2:33" x14ac:dyDescent="0.2">
      <c r="B85" s="72"/>
      <c r="D85" s="72"/>
      <c r="J85" s="1306">
        <v>2030</v>
      </c>
      <c r="K85" s="620">
        <f t="shared" si="53"/>
        <v>6.3999999999999995</v>
      </c>
      <c r="AF85" s="933">
        <v>2030</v>
      </c>
      <c r="AG85" s="620">
        <f t="shared" si="51"/>
        <v>6.3999999999999995</v>
      </c>
    </row>
    <row r="86" spans="2:33" x14ac:dyDescent="0.2">
      <c r="B86" s="72"/>
      <c r="D86" s="72"/>
      <c r="J86" s="1305">
        <v>2031</v>
      </c>
      <c r="K86" s="620">
        <f t="shared" si="53"/>
        <v>6.2799999999999994</v>
      </c>
      <c r="AF86" s="932">
        <v>2031</v>
      </c>
      <c r="AG86" s="620">
        <f t="shared" si="51"/>
        <v>6.2799999999999994</v>
      </c>
    </row>
    <row r="87" spans="2:33" x14ac:dyDescent="0.2">
      <c r="B87" s="72"/>
      <c r="D87" s="72"/>
      <c r="J87" s="1305">
        <v>2032</v>
      </c>
      <c r="K87" s="620">
        <f t="shared" si="53"/>
        <v>6.1599999999999993</v>
      </c>
      <c r="AF87" s="932">
        <v>2032</v>
      </c>
      <c r="AG87" s="620">
        <f t="shared" si="51"/>
        <v>6.1599999999999993</v>
      </c>
    </row>
    <row r="88" spans="2:33" x14ac:dyDescent="0.2">
      <c r="B88" s="72"/>
      <c r="D88" s="72"/>
      <c r="J88" s="1305">
        <v>2033</v>
      </c>
      <c r="K88" s="620">
        <f t="shared" si="53"/>
        <v>6.0399999999999991</v>
      </c>
      <c r="AF88" s="932">
        <v>2033</v>
      </c>
      <c r="AG88" s="620">
        <f t="shared" si="51"/>
        <v>6.0399999999999991</v>
      </c>
    </row>
    <row r="89" spans="2:33" x14ac:dyDescent="0.2">
      <c r="B89" s="72"/>
      <c r="D89" s="72"/>
      <c r="J89" s="1305">
        <v>2034</v>
      </c>
      <c r="K89" s="620">
        <f t="shared" si="53"/>
        <v>5.919999999999999</v>
      </c>
      <c r="AF89" s="932">
        <v>2034</v>
      </c>
      <c r="AG89" s="620">
        <f t="shared" si="51"/>
        <v>5.919999999999999</v>
      </c>
    </row>
    <row r="90" spans="2:33" x14ac:dyDescent="0.2">
      <c r="B90" s="72"/>
      <c r="D90" s="72"/>
      <c r="J90" s="1306">
        <v>2035</v>
      </c>
      <c r="K90" s="620">
        <f t="shared" si="53"/>
        <v>5.7999999999999989</v>
      </c>
      <c r="AF90" s="933">
        <v>2035</v>
      </c>
      <c r="AG90" s="620">
        <f t="shared" si="51"/>
        <v>5.7999999999999989</v>
      </c>
    </row>
    <row r="91" spans="2:33" x14ac:dyDescent="0.2">
      <c r="B91" s="72"/>
      <c r="D91" s="72"/>
      <c r="J91" s="1305">
        <v>2036</v>
      </c>
      <c r="K91" s="620">
        <f t="shared" si="53"/>
        <v>5.6799999999999988</v>
      </c>
      <c r="AF91" s="932">
        <v>2036</v>
      </c>
      <c r="AG91" s="620">
        <f t="shared" si="51"/>
        <v>5.6799999999999988</v>
      </c>
    </row>
    <row r="92" spans="2:33" x14ac:dyDescent="0.2">
      <c r="B92" s="72"/>
      <c r="D92" s="72"/>
      <c r="J92" s="1305">
        <v>2037</v>
      </c>
      <c r="K92" s="620">
        <f t="shared" si="53"/>
        <v>5.5599999999999987</v>
      </c>
      <c r="AF92" s="932">
        <v>2037</v>
      </c>
      <c r="AG92" s="620">
        <f t="shared" si="51"/>
        <v>5.5599999999999987</v>
      </c>
    </row>
    <row r="93" spans="2:33" x14ac:dyDescent="0.2">
      <c r="B93" s="72"/>
      <c r="D93" s="72"/>
      <c r="J93" s="1305">
        <v>2038</v>
      </c>
      <c r="K93" s="620">
        <f t="shared" si="53"/>
        <v>5.4399999999999986</v>
      </c>
      <c r="AF93" s="932">
        <v>2038</v>
      </c>
      <c r="AG93" s="620">
        <f t="shared" si="51"/>
        <v>5.4399999999999986</v>
      </c>
    </row>
    <row r="94" spans="2:33" x14ac:dyDescent="0.2">
      <c r="B94" s="72"/>
      <c r="D94" s="72"/>
      <c r="J94" s="1305">
        <v>2039</v>
      </c>
      <c r="K94" s="620">
        <f t="shared" si="53"/>
        <v>5.3199999999999985</v>
      </c>
      <c r="AF94" s="932">
        <v>2039</v>
      </c>
      <c r="AG94" s="620">
        <f t="shared" si="51"/>
        <v>5.3199999999999985</v>
      </c>
    </row>
    <row r="95" spans="2:33" x14ac:dyDescent="0.2">
      <c r="J95" s="1306">
        <v>2040</v>
      </c>
      <c r="K95" s="620">
        <f t="shared" si="53"/>
        <v>5.1999999999999984</v>
      </c>
      <c r="AF95" s="933">
        <v>2040</v>
      </c>
      <c r="AG95" s="620">
        <f t="shared" si="51"/>
        <v>5.1999999999999984</v>
      </c>
    </row>
    <row r="96" spans="2:33" x14ac:dyDescent="0.2">
      <c r="J96" s="1305">
        <v>2041</v>
      </c>
      <c r="K96" s="620">
        <f t="shared" si="53"/>
        <v>5.0799999999999983</v>
      </c>
      <c r="AF96" s="932">
        <v>2041</v>
      </c>
      <c r="AG96" s="620">
        <f t="shared" si="51"/>
        <v>5.0799999999999983</v>
      </c>
    </row>
    <row r="97" spans="10:33" x14ac:dyDescent="0.2">
      <c r="J97" s="1305">
        <v>2042</v>
      </c>
      <c r="K97" s="620">
        <f t="shared" si="53"/>
        <v>4.9599999999999982</v>
      </c>
      <c r="AF97" s="932">
        <v>2042</v>
      </c>
      <c r="AG97" s="620">
        <f t="shared" si="51"/>
        <v>4.9599999999999982</v>
      </c>
    </row>
    <row r="98" spans="10:33" x14ac:dyDescent="0.2">
      <c r="J98" s="1305">
        <v>2043</v>
      </c>
      <c r="K98" s="620">
        <f t="shared" si="53"/>
        <v>4.8399999999999981</v>
      </c>
      <c r="AF98" s="932">
        <v>2043</v>
      </c>
      <c r="AG98" s="620">
        <f t="shared" si="51"/>
        <v>4.8399999999999981</v>
      </c>
    </row>
    <row r="99" spans="10:33" x14ac:dyDescent="0.2">
      <c r="J99" s="1305">
        <v>2044</v>
      </c>
      <c r="K99" s="620">
        <f t="shared" si="53"/>
        <v>4.719999999999998</v>
      </c>
      <c r="AF99" s="932">
        <v>2044</v>
      </c>
      <c r="AG99" s="620">
        <f t="shared" si="51"/>
        <v>4.719999999999998</v>
      </c>
    </row>
    <row r="100" spans="10:33" x14ac:dyDescent="0.2">
      <c r="J100" s="1306">
        <v>2045</v>
      </c>
      <c r="K100" s="620">
        <f t="shared" si="53"/>
        <v>4.5999999999999979</v>
      </c>
      <c r="AF100" s="933">
        <v>2045</v>
      </c>
      <c r="AG100" s="620">
        <f t="shared" si="51"/>
        <v>4.5999999999999979</v>
      </c>
    </row>
    <row r="101" spans="10:33" x14ac:dyDescent="0.2">
      <c r="J101" s="1305">
        <v>2046</v>
      </c>
      <c r="K101" s="620">
        <f t="shared" si="53"/>
        <v>4.4799999999999978</v>
      </c>
      <c r="AF101" s="932">
        <v>2046</v>
      </c>
      <c r="AG101" s="620">
        <f t="shared" si="51"/>
        <v>4.4799999999999978</v>
      </c>
    </row>
    <row r="102" spans="10:33" x14ac:dyDescent="0.2">
      <c r="J102" s="1305">
        <v>2047</v>
      </c>
      <c r="K102" s="620">
        <f t="shared" si="53"/>
        <v>4.3599999999999977</v>
      </c>
      <c r="AF102" s="932">
        <v>2047</v>
      </c>
      <c r="AG102" s="620">
        <f t="shared" si="51"/>
        <v>4.3599999999999977</v>
      </c>
    </row>
    <row r="103" spans="10:33" x14ac:dyDescent="0.2">
      <c r="J103" s="1305">
        <v>2048</v>
      </c>
      <c r="K103" s="620">
        <f t="shared" si="53"/>
        <v>4.2399999999999975</v>
      </c>
      <c r="AF103" s="932">
        <v>2048</v>
      </c>
      <c r="AG103" s="620">
        <f t="shared" si="51"/>
        <v>4.2399999999999975</v>
      </c>
    </row>
    <row r="104" spans="10:33" x14ac:dyDescent="0.2">
      <c r="J104" s="1305">
        <v>2049</v>
      </c>
      <c r="K104" s="620">
        <f t="shared" si="53"/>
        <v>4.1199999999999974</v>
      </c>
      <c r="AF104" s="932">
        <v>2049</v>
      </c>
      <c r="AG104" s="620">
        <f t="shared" si="51"/>
        <v>4.1199999999999974</v>
      </c>
    </row>
    <row r="105" spans="10:33" ht="13.5" thickBot="1" x14ac:dyDescent="0.25">
      <c r="J105" s="1308">
        <v>2050</v>
      </c>
      <c r="K105" s="1309">
        <v>4</v>
      </c>
      <c r="AF105" s="934">
        <v>2050</v>
      </c>
      <c r="AG105" s="621">
        <f t="shared" si="51"/>
        <v>4</v>
      </c>
    </row>
  </sheetData>
  <mergeCells count="10">
    <mergeCell ref="W7:AP7"/>
    <mergeCell ref="A7:T7"/>
    <mergeCell ref="B9:I9"/>
    <mergeCell ref="L9:S9"/>
    <mergeCell ref="AH9:AO9"/>
    <mergeCell ref="X9:AE9"/>
    <mergeCell ref="B8:J8"/>
    <mergeCell ref="K8:S8"/>
    <mergeCell ref="X8:AF8"/>
    <mergeCell ref="AG8:AO8"/>
  </mergeCells>
  <phoneticPr fontId="0" type="noConversion"/>
  <dataValidations disablePrompts="1" count="1">
    <dataValidation type="list" allowBlank="1" showInputMessage="1" showErrorMessage="1" sqref="U7" xr:uid="{C21DCB89-C0B8-4C81-9657-A58B42F1D481}">
      <formula1>TorF</formula1>
    </dataValidation>
  </dataValidations>
  <hyperlinks>
    <hyperlink ref="W61" r:id="rId1" location="/?id=3-AEO2018&amp;cases=ref2018&amp;sourcekey=0" xr:uid="{00000000-0004-0000-0400-000000000000}"/>
    <hyperlink ref="A61" r:id="rId2" xr:uid="{1F58D487-AAD3-44F9-9F24-1BF7F5778D54}"/>
  </hyperlinks>
  <pageMargins left="0.75" right="0.75" top="1" bottom="1" header="0.5" footer="0.5"/>
  <pageSetup scale="29" orientation="portrait" horizontalDpi="4294967293" verticalDpi="300" r:id="rId3"/>
  <headerFooter alignWithMargins="0">
    <oddFooter>&amp;L_________________________
Laboratory Analytic Team - TAE&amp;R_________________________
&amp;F, &amp;A</oddFooter>
  </headerFooter>
  <drawing r:id="rId4"/>
  <legacyDrawing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2">
    <tabColor indexed="48"/>
  </sheetPr>
  <dimension ref="A1:BH330"/>
  <sheetViews>
    <sheetView showZeros="0" zoomScale="70" zoomScaleNormal="70" workbookViewId="0">
      <pane xSplit="1" topLeftCell="R1" activePane="topRight" state="frozen"/>
      <selection pane="topRight" activeCell="D6" sqref="D6"/>
    </sheetView>
  </sheetViews>
  <sheetFormatPr defaultColWidth="8.42578125" defaultRowHeight="12.75" x14ac:dyDescent="0.2"/>
  <cols>
    <col min="1" max="1" width="6" style="236" customWidth="1"/>
    <col min="2" max="2" width="10.28515625" style="236" customWidth="1"/>
    <col min="3" max="3" width="11.85546875" style="236" customWidth="1"/>
    <col min="4" max="4" width="12.5703125" style="236" customWidth="1"/>
    <col min="5" max="5" width="12.7109375" style="236" customWidth="1"/>
    <col min="6" max="6" width="12" style="236" customWidth="1"/>
    <col min="7" max="7" width="11.85546875" style="236" customWidth="1"/>
    <col min="8" max="8" width="10.85546875" style="236" bestFit="1" customWidth="1"/>
    <col min="9" max="9" width="8.42578125" style="236" customWidth="1"/>
    <col min="10" max="10" width="12.140625" style="236" customWidth="1"/>
    <col min="11" max="11" width="9.5703125" style="236" customWidth="1"/>
    <col min="12" max="12" width="10.85546875" style="236" bestFit="1" customWidth="1"/>
    <col min="13" max="13" width="9.85546875" style="236" customWidth="1"/>
    <col min="14" max="14" width="13" style="236" bestFit="1" customWidth="1"/>
    <col min="15" max="15" width="13.7109375" style="236" customWidth="1"/>
    <col min="16" max="16" width="12.5703125" style="236" customWidth="1"/>
    <col min="17" max="17" width="13.42578125" style="236" customWidth="1"/>
    <col min="18" max="18" width="11.5703125" style="236" customWidth="1"/>
    <col min="19" max="19" width="12.42578125" style="236" customWidth="1"/>
    <col min="20" max="22" width="8.42578125" style="236" customWidth="1"/>
    <col min="23" max="25" width="8.42578125" style="332" customWidth="1"/>
    <col min="26" max="28" width="8.42578125" style="236"/>
    <col min="29" max="29" width="10" style="236" customWidth="1"/>
    <col min="30" max="42" width="8.42578125" style="236"/>
    <col min="43" max="43" width="9.5703125" style="236" bestFit="1" customWidth="1"/>
    <col min="44" max="44" width="7.42578125" style="236" bestFit="1" customWidth="1"/>
    <col min="45" max="47" width="8.42578125" style="236"/>
    <col min="48" max="48" width="9.5703125" style="236" bestFit="1" customWidth="1"/>
    <col min="49" max="52" width="8.42578125" style="236"/>
    <col min="53" max="53" width="9.5703125" style="236" bestFit="1" customWidth="1"/>
    <col min="54" max="58" width="8.42578125" style="236"/>
    <col min="59" max="59" width="9.5703125" style="236" bestFit="1" customWidth="1"/>
    <col min="60" max="16384" width="8.42578125" style="236"/>
  </cols>
  <sheetData>
    <row r="1" spans="2:60" ht="15.75" x14ac:dyDescent="0.25">
      <c r="B1" s="51" t="s">
        <v>332</v>
      </c>
      <c r="C1" s="241"/>
      <c r="D1" s="241"/>
      <c r="E1" s="241"/>
      <c r="F1" s="241"/>
      <c r="W1" s="236"/>
      <c r="X1" s="236"/>
      <c r="Y1" s="236"/>
    </row>
    <row r="2" spans="2:60" x14ac:dyDescent="0.2">
      <c r="Q2" s="244"/>
      <c r="W2" s="236"/>
      <c r="X2" s="236"/>
      <c r="Y2" s="236"/>
    </row>
    <row r="3" spans="2:60" x14ac:dyDescent="0.2">
      <c r="B3" s="1646" t="s">
        <v>55</v>
      </c>
      <c r="C3" s="1647"/>
      <c r="D3" s="1240">
        <f>'Run Model'!C6</f>
        <v>7.4999999999999997E-2</v>
      </c>
      <c r="F3"/>
      <c r="G3"/>
      <c r="H3"/>
      <c r="J3" s="236" t="s">
        <v>131</v>
      </c>
      <c r="L3" s="1654" t="s">
        <v>346</v>
      </c>
      <c r="M3" s="1655"/>
      <c r="N3" s="1655"/>
      <c r="O3" s="1656"/>
      <c r="Q3" s="225"/>
      <c r="W3" s="236"/>
      <c r="X3" s="236"/>
      <c r="Y3" s="236"/>
    </row>
    <row r="4" spans="2:60" x14ac:dyDescent="0.2">
      <c r="B4" s="1646" t="s">
        <v>108</v>
      </c>
      <c r="C4" s="1647"/>
      <c r="D4" s="234" t="str">
        <f>'Run Model'!C7</f>
        <v>Moderate</v>
      </c>
      <c r="F4"/>
      <c r="G4"/>
      <c r="H4"/>
      <c r="J4" s="236" t="s">
        <v>130</v>
      </c>
      <c r="L4" s="1657">
        <v>44139.613229166665</v>
      </c>
      <c r="M4" s="1655"/>
      <c r="N4" s="1655"/>
      <c r="O4" s="1656"/>
      <c r="P4" s="236" t="s">
        <v>174</v>
      </c>
      <c r="W4" s="236"/>
      <c r="X4" s="236"/>
      <c r="Y4" s="236"/>
    </row>
    <row r="5" spans="2:60" x14ac:dyDescent="0.2">
      <c r="B5" s="1646" t="s">
        <v>122</v>
      </c>
      <c r="C5" s="1647"/>
      <c r="D5" s="234" t="s">
        <v>15</v>
      </c>
      <c r="F5"/>
      <c r="G5"/>
      <c r="H5"/>
      <c r="L5" s="1657">
        <v>44139.613229166665</v>
      </c>
      <c r="M5" s="1655"/>
      <c r="N5" s="1655"/>
      <c r="O5" s="1656"/>
      <c r="P5" s="236" t="s">
        <v>15</v>
      </c>
      <c r="W5" s="236"/>
      <c r="X5" s="236"/>
      <c r="Y5" s="236"/>
    </row>
    <row r="6" spans="2:60" x14ac:dyDescent="0.2">
      <c r="B6" s="1646" t="s">
        <v>71</v>
      </c>
      <c r="C6" s="1647"/>
      <c r="D6" s="247">
        <v>200000</v>
      </c>
      <c r="F6"/>
      <c r="G6"/>
      <c r="H6"/>
      <c r="W6" s="236"/>
      <c r="X6" s="236"/>
      <c r="Y6" s="236"/>
    </row>
    <row r="7" spans="2:60" ht="13.5" customHeight="1" x14ac:dyDescent="0.2">
      <c r="C7" s="1237" t="s">
        <v>331</v>
      </c>
      <c r="D7" s="234">
        <f>IF(D5="Non-Central",INDEX(Cls2NCentTruckShr,MATCH(D6,Cls2NCentVMT,0)),INDEX(Cls2CentTruckShr,MATCH(D6,Cls2CentVMT,0)))</f>
        <v>0</v>
      </c>
      <c r="Q7" s="248"/>
      <c r="W7" s="236"/>
      <c r="X7" s="236"/>
      <c r="Y7" s="236"/>
    </row>
    <row r="8" spans="2:60" s="249" customFormat="1" ht="15.75" thickBot="1" x14ac:dyDescent="0.3">
      <c r="B8" s="22" t="s">
        <v>77</v>
      </c>
      <c r="C8" s="236"/>
      <c r="D8" s="236"/>
      <c r="E8" s="236"/>
      <c r="F8" s="236"/>
      <c r="G8" s="236"/>
      <c r="H8" s="236"/>
      <c r="I8" s="236"/>
      <c r="J8" s="236"/>
      <c r="K8" s="236"/>
      <c r="L8" s="236"/>
      <c r="M8" s="236"/>
      <c r="N8" s="248"/>
      <c r="O8" s="248"/>
      <c r="P8" s="250"/>
      <c r="Q8" s="251"/>
      <c r="Z8" s="252"/>
      <c r="AA8" s="253"/>
      <c r="AO8" s="254"/>
      <c r="AP8" s="254"/>
      <c r="AQ8" s="254"/>
      <c r="AR8" s="254"/>
    </row>
    <row r="9" spans="2:60" s="999" customFormat="1" ht="28.5" customHeight="1" x14ac:dyDescent="0.2">
      <c r="B9" s="994"/>
      <c r="C9" s="995"/>
      <c r="D9" s="996"/>
      <c r="E9" s="996"/>
      <c r="F9" s="995"/>
      <c r="G9" s="996"/>
      <c r="H9" s="995"/>
      <c r="I9" s="996"/>
      <c r="J9" s="1633" t="s">
        <v>79</v>
      </c>
      <c r="K9" s="1634"/>
      <c r="L9" s="1648" t="s">
        <v>87</v>
      </c>
      <c r="M9" s="1648"/>
      <c r="N9" s="1649" t="s">
        <v>113</v>
      </c>
      <c r="O9" s="1648"/>
      <c r="P9" s="1648"/>
      <c r="Q9" s="1650"/>
      <c r="R9" s="997"/>
      <c r="S9" s="998"/>
      <c r="AB9" s="1000"/>
      <c r="AC9" s="1001"/>
      <c r="AQ9" s="254"/>
      <c r="AR9" s="254"/>
      <c r="AS9" s="254"/>
      <c r="AT9" s="254"/>
    </row>
    <row r="10" spans="2:60" s="249" customFormat="1" ht="26.25" thickBot="1" x14ac:dyDescent="0.25">
      <c r="B10" s="258"/>
      <c r="C10" s="688" t="s">
        <v>78</v>
      </c>
      <c r="D10" s="679"/>
      <c r="E10" s="680"/>
      <c r="F10" s="614" t="s">
        <v>187</v>
      </c>
      <c r="G10" s="615" t="s">
        <v>186</v>
      </c>
      <c r="H10" s="614" t="s">
        <v>208</v>
      </c>
      <c r="I10" s="615" t="s">
        <v>85</v>
      </c>
      <c r="J10" s="1066" t="s">
        <v>224</v>
      </c>
      <c r="K10" s="1067" t="s">
        <v>225</v>
      </c>
      <c r="L10" s="549" t="s">
        <v>117</v>
      </c>
      <c r="M10" s="259" t="s">
        <v>88</v>
      </c>
      <c r="N10" s="260" t="s">
        <v>99</v>
      </c>
      <c r="O10" s="259" t="s">
        <v>116</v>
      </c>
      <c r="P10" s="259" t="s">
        <v>124</v>
      </c>
      <c r="Q10" s="261" t="s">
        <v>112</v>
      </c>
      <c r="R10" s="250"/>
      <c r="S10" s="251"/>
      <c r="AB10" s="252"/>
      <c r="AC10" s="253"/>
      <c r="AI10" s="767"/>
      <c r="AJ10" s="769"/>
      <c r="AN10" s="1241"/>
      <c r="AO10" s="769"/>
      <c r="AQ10" s="254"/>
      <c r="AR10" s="254"/>
      <c r="AS10" s="254"/>
      <c r="AT10" s="254"/>
    </row>
    <row r="11" spans="2:60" s="249" customFormat="1" ht="13.5" thickTop="1" x14ac:dyDescent="0.2">
      <c r="B11" s="262" t="s">
        <v>72</v>
      </c>
      <c r="C11" s="841" t="str">
        <f t="shared" ref="C11:C16" si="0">INDEX(TECH_OPT_PARAMS_Cls2,MATCH($B11,TECH_OPT_ROWS_Cls2,0),MATCH(C$10,TECH_OPT_COLS_Cls2,0))</f>
        <v>Conventional Diesel ICE</v>
      </c>
      <c r="D11" s="842"/>
      <c r="E11" s="843"/>
      <c r="F11" s="853" t="str">
        <f t="shared" ref="F11:O16" si="1">INDEX(TECH_OPT_PARAMS_Cls2,MATCH($B11,TECH_OPT_ROWS_Cls2,0),MATCH(F$10,TECH_OPT_COLS_Cls2,0))</f>
        <v>Diesel</v>
      </c>
      <c r="G11" s="853" t="str">
        <f t="shared" si="1"/>
        <v>N/A</v>
      </c>
      <c r="H11" s="864" t="b">
        <f t="shared" si="1"/>
        <v>0</v>
      </c>
      <c r="I11" s="687">
        <f t="shared" si="1"/>
        <v>0</v>
      </c>
      <c r="J11" s="687">
        <f t="shared" si="1"/>
        <v>0</v>
      </c>
      <c r="K11" s="1002">
        <f t="shared" si="1"/>
        <v>0</v>
      </c>
      <c r="L11" s="1003">
        <f t="shared" si="1"/>
        <v>0</v>
      </c>
      <c r="M11" s="687">
        <f t="shared" si="1"/>
        <v>0</v>
      </c>
      <c r="N11" s="686">
        <f t="shared" si="1"/>
        <v>0</v>
      </c>
      <c r="O11" s="358">
        <f t="shared" si="1"/>
        <v>175</v>
      </c>
      <c r="P11" s="263">
        <f>$D$6*('Inputs 4-6 Diesel'!$N8/('Inputs 4-6 Diesel'!$O8*1000))/12</f>
        <v>0</v>
      </c>
      <c r="Q11" s="264"/>
      <c r="R11" s="265"/>
      <c r="S11" s="251"/>
      <c r="T11" s="251"/>
      <c r="U11" s="251"/>
      <c r="V11" s="251"/>
      <c r="AD11"/>
      <c r="AE11"/>
      <c r="AF11"/>
      <c r="AG11"/>
      <c r="AH11"/>
      <c r="AI11"/>
      <c r="AJ11"/>
      <c r="AK11"/>
      <c r="AL11"/>
      <c r="AM11"/>
      <c r="AN11"/>
      <c r="AO11"/>
      <c r="AP11"/>
      <c r="AQ11"/>
      <c r="AR11"/>
      <c r="AS11"/>
      <c r="AT11"/>
      <c r="AU11"/>
      <c r="AV11"/>
      <c r="AW11"/>
      <c r="AX11"/>
      <c r="AY11"/>
      <c r="AZ11"/>
      <c r="BA11"/>
      <c r="BB11"/>
      <c r="BC11"/>
      <c r="BD11"/>
      <c r="BE11"/>
      <c r="BF11"/>
      <c r="BG11"/>
      <c r="BH11"/>
    </row>
    <row r="12" spans="2:60" s="249" customFormat="1" x14ac:dyDescent="0.2">
      <c r="B12" s="266" t="s">
        <v>68</v>
      </c>
      <c r="C12" s="844" t="str">
        <f t="shared" si="0"/>
        <v>Adv Conv</v>
      </c>
      <c r="D12" s="845"/>
      <c r="E12" s="846"/>
      <c r="F12" s="854" t="str">
        <f t="shared" si="1"/>
        <v>Diesel</v>
      </c>
      <c r="G12" s="855" t="str">
        <f t="shared" si="1"/>
        <v>N/A</v>
      </c>
      <c r="H12" s="865" t="b">
        <f t="shared" si="1"/>
        <v>0</v>
      </c>
      <c r="I12" s="246">
        <f t="shared" si="1"/>
        <v>2025</v>
      </c>
      <c r="J12" s="246">
        <f t="shared" si="1"/>
        <v>0</v>
      </c>
      <c r="K12" s="955">
        <f t="shared" si="1"/>
        <v>0.5</v>
      </c>
      <c r="L12" s="702">
        <f t="shared" si="1"/>
        <v>5</v>
      </c>
      <c r="M12" s="246">
        <f t="shared" si="1"/>
        <v>5</v>
      </c>
      <c r="N12" s="246">
        <f t="shared" si="1"/>
        <v>0</v>
      </c>
      <c r="O12" s="359">
        <f t="shared" si="1"/>
        <v>350</v>
      </c>
      <c r="P12" s="267">
        <f>$D$6*('Inputs 4-6 Diesel'!$N9/('Inputs 4-6 Diesel'!$O9*1000))/12</f>
        <v>0</v>
      </c>
      <c r="Q12" s="268">
        <f>P$11-P12</f>
        <v>0</v>
      </c>
      <c r="R12" s="265"/>
      <c r="S12" s="269"/>
      <c r="AD12"/>
      <c r="AE12"/>
      <c r="AF12"/>
      <c r="AG12"/>
      <c r="AH12"/>
      <c r="AI12"/>
      <c r="AJ12"/>
      <c r="AK12"/>
      <c r="AL12"/>
      <c r="AM12"/>
      <c r="AN12"/>
      <c r="AO12"/>
      <c r="AP12"/>
      <c r="AQ12"/>
      <c r="AR12"/>
      <c r="AS12"/>
      <c r="AT12"/>
      <c r="AU12"/>
      <c r="AV12"/>
      <c r="AW12"/>
      <c r="AX12"/>
      <c r="AY12"/>
      <c r="AZ12"/>
      <c r="BA12"/>
      <c r="BB12"/>
      <c r="BC12"/>
      <c r="BD12"/>
      <c r="BE12"/>
      <c r="BF12"/>
      <c r="BG12"/>
      <c r="BH12"/>
    </row>
    <row r="13" spans="2:60" s="249" customFormat="1" x14ac:dyDescent="0.2">
      <c r="B13" s="266" t="s">
        <v>69</v>
      </c>
      <c r="C13" s="844" t="str">
        <f t="shared" si="0"/>
        <v>HEV</v>
      </c>
      <c r="D13" s="845"/>
      <c r="E13" s="846"/>
      <c r="F13" s="854" t="str">
        <f t="shared" si="1"/>
        <v>Diesel</v>
      </c>
      <c r="G13" s="855" t="str">
        <f t="shared" si="1"/>
        <v>N/A</v>
      </c>
      <c r="H13" s="865" t="b">
        <f t="shared" si="1"/>
        <v>0</v>
      </c>
      <c r="I13" s="246">
        <f t="shared" si="1"/>
        <v>2025</v>
      </c>
      <c r="J13" s="246">
        <f t="shared" si="1"/>
        <v>0</v>
      </c>
      <c r="K13" s="955">
        <f t="shared" si="1"/>
        <v>0.5</v>
      </c>
      <c r="L13" s="702">
        <f t="shared" si="1"/>
        <v>5</v>
      </c>
      <c r="M13" s="246">
        <f t="shared" si="1"/>
        <v>5</v>
      </c>
      <c r="N13" s="246">
        <f t="shared" si="1"/>
        <v>0</v>
      </c>
      <c r="O13" s="359">
        <f t="shared" si="1"/>
        <v>350</v>
      </c>
      <c r="P13" s="267">
        <f>$D$6*('Inputs 4-6 Diesel'!$N10/('Inputs 4-6 Diesel'!$O10*1000))/12</f>
        <v>0</v>
      </c>
      <c r="Q13" s="268">
        <f>P$11-P13</f>
        <v>0</v>
      </c>
      <c r="R13" s="265"/>
      <c r="S13" s="269"/>
      <c r="AD13"/>
      <c r="AE13"/>
      <c r="AF13"/>
      <c r="AG13"/>
      <c r="AH13"/>
      <c r="AI13"/>
      <c r="AJ13"/>
      <c r="AK13"/>
      <c r="AL13"/>
      <c r="AM13"/>
      <c r="AN13"/>
      <c r="AO13"/>
      <c r="AP13"/>
      <c r="AQ13"/>
      <c r="AR13"/>
      <c r="AS13"/>
      <c r="AT13"/>
      <c r="AU13"/>
      <c r="AV13"/>
      <c r="AW13"/>
      <c r="AX13"/>
      <c r="AY13"/>
      <c r="AZ13"/>
      <c r="BA13"/>
      <c r="BB13"/>
      <c r="BC13"/>
      <c r="BD13"/>
      <c r="BE13"/>
      <c r="BF13"/>
      <c r="BG13"/>
      <c r="BH13"/>
    </row>
    <row r="14" spans="2:60" s="249" customFormat="1" x14ac:dyDescent="0.2">
      <c r="B14" s="266" t="s">
        <v>70</v>
      </c>
      <c r="C14" s="844" t="str">
        <f t="shared" si="0"/>
        <v>BEV</v>
      </c>
      <c r="D14" s="845"/>
      <c r="E14" s="846"/>
      <c r="F14" s="854" t="str">
        <f t="shared" si="1"/>
        <v>Electricity</v>
      </c>
      <c r="G14" s="855" t="str">
        <f t="shared" si="1"/>
        <v>N/A</v>
      </c>
      <c r="H14" s="865" t="b">
        <f t="shared" si="1"/>
        <v>1</v>
      </c>
      <c r="I14" s="246">
        <f t="shared" si="1"/>
        <v>2025</v>
      </c>
      <c r="J14" s="246">
        <f t="shared" si="1"/>
        <v>0</v>
      </c>
      <c r="K14" s="955">
        <f t="shared" si="1"/>
        <v>0.5</v>
      </c>
      <c r="L14" s="702">
        <f t="shared" si="1"/>
        <v>5</v>
      </c>
      <c r="M14" s="246">
        <f t="shared" si="1"/>
        <v>5</v>
      </c>
      <c r="N14" s="246">
        <f t="shared" si="1"/>
        <v>0</v>
      </c>
      <c r="O14" s="359">
        <f t="shared" si="1"/>
        <v>350</v>
      </c>
      <c r="P14" s="267">
        <f>$D$6*('Inputs 4-6 Diesel'!$N11/('Inputs 4-6 Diesel'!$O11*1000))/12</f>
        <v>0</v>
      </c>
      <c r="Q14" s="268">
        <f t="shared" ref="Q14:Q16" si="2">P$11-P14</f>
        <v>0</v>
      </c>
      <c r="R14" s="265"/>
      <c r="S14" s="269"/>
      <c r="AD14"/>
      <c r="AE14"/>
      <c r="AF14"/>
      <c r="AG14"/>
      <c r="AH14"/>
      <c r="AI14"/>
      <c r="AJ14"/>
      <c r="AK14"/>
      <c r="AL14"/>
      <c r="AM14"/>
      <c r="AN14"/>
      <c r="AO14"/>
      <c r="AP14"/>
      <c r="AQ14"/>
      <c r="AR14"/>
      <c r="AS14"/>
      <c r="AT14"/>
      <c r="AU14"/>
      <c r="AV14"/>
      <c r="AW14"/>
      <c r="AX14"/>
      <c r="AY14"/>
      <c r="AZ14"/>
      <c r="BA14"/>
      <c r="BB14"/>
      <c r="BC14"/>
      <c r="BD14"/>
      <c r="BE14"/>
      <c r="BF14"/>
      <c r="BG14"/>
      <c r="BH14"/>
    </row>
    <row r="15" spans="2:60" s="249" customFormat="1" x14ac:dyDescent="0.2">
      <c r="B15" s="266" t="s">
        <v>178</v>
      </c>
      <c r="C15" s="847" t="str">
        <f t="shared" si="0"/>
        <v>FCEV</v>
      </c>
      <c r="D15" s="848"/>
      <c r="E15" s="849"/>
      <c r="F15" s="856" t="str">
        <f t="shared" si="1"/>
        <v>Hydrogen</v>
      </c>
      <c r="G15" s="857" t="str">
        <f t="shared" si="1"/>
        <v>N/A</v>
      </c>
      <c r="H15" s="865" t="b">
        <f t="shared" si="1"/>
        <v>0</v>
      </c>
      <c r="I15" s="246">
        <f t="shared" si="1"/>
        <v>2025</v>
      </c>
      <c r="J15" s="246">
        <f t="shared" si="1"/>
        <v>0</v>
      </c>
      <c r="K15" s="955">
        <f t="shared" si="1"/>
        <v>0.5</v>
      </c>
      <c r="L15" s="702">
        <f t="shared" si="1"/>
        <v>5</v>
      </c>
      <c r="M15" s="246">
        <f t="shared" si="1"/>
        <v>5</v>
      </c>
      <c r="N15" s="246">
        <f t="shared" si="1"/>
        <v>0</v>
      </c>
      <c r="O15" s="359">
        <f t="shared" si="1"/>
        <v>350</v>
      </c>
      <c r="P15" s="267">
        <f>$D$6*('Inputs 4-6 Diesel'!$N12/('Inputs 4-6 Diesel'!$O12*1000))/12</f>
        <v>0</v>
      </c>
      <c r="Q15" s="268">
        <f t="shared" si="2"/>
        <v>0</v>
      </c>
      <c r="R15" s="265"/>
      <c r="S15" s="269"/>
      <c r="AD15"/>
      <c r="AE15"/>
      <c r="AF15"/>
      <c r="AG15"/>
      <c r="AH15"/>
      <c r="AI15"/>
      <c r="AJ15"/>
      <c r="AK15"/>
      <c r="AL15"/>
      <c r="AM15"/>
      <c r="AN15"/>
      <c r="AO15"/>
      <c r="AP15"/>
      <c r="AQ15"/>
      <c r="AR15"/>
      <c r="AS15"/>
      <c r="AT15"/>
      <c r="AU15"/>
      <c r="AV15"/>
      <c r="AW15"/>
      <c r="AX15"/>
      <c r="AY15"/>
      <c r="AZ15"/>
      <c r="BA15"/>
      <c r="BB15"/>
      <c r="BC15"/>
      <c r="BD15"/>
      <c r="BE15"/>
      <c r="BF15"/>
      <c r="BG15"/>
      <c r="BH15"/>
    </row>
    <row r="16" spans="2:60" s="249" customFormat="1" ht="13.5" thickBot="1" x14ac:dyDescent="0.25">
      <c r="B16" s="270" t="s">
        <v>179</v>
      </c>
      <c r="C16" s="850" t="str">
        <f t="shared" si="0"/>
        <v>PHEV</v>
      </c>
      <c r="D16" s="851"/>
      <c r="E16" s="852"/>
      <c r="F16" s="858" t="str">
        <f t="shared" si="1"/>
        <v>Diesel</v>
      </c>
      <c r="G16" s="859" t="str">
        <f t="shared" si="1"/>
        <v>Electricity</v>
      </c>
      <c r="H16" s="866" t="b">
        <f t="shared" si="1"/>
        <v>0</v>
      </c>
      <c r="I16" s="273">
        <f t="shared" si="1"/>
        <v>2025</v>
      </c>
      <c r="J16" s="273">
        <f t="shared" si="1"/>
        <v>0</v>
      </c>
      <c r="K16" s="956">
        <f t="shared" si="1"/>
        <v>0.5</v>
      </c>
      <c r="L16" s="703">
        <f t="shared" si="1"/>
        <v>5</v>
      </c>
      <c r="M16" s="273">
        <f t="shared" si="1"/>
        <v>5</v>
      </c>
      <c r="N16" s="273">
        <f t="shared" si="1"/>
        <v>0</v>
      </c>
      <c r="O16" s="360">
        <f t="shared" si="1"/>
        <v>350</v>
      </c>
      <c r="P16" s="274">
        <f>$D$6*('Inputs 4-6 Diesel'!$N13/('Inputs 4-6 Diesel'!$O13*1000))/12</f>
        <v>0</v>
      </c>
      <c r="Q16" s="275">
        <f t="shared" si="2"/>
        <v>0</v>
      </c>
      <c r="R16" s="265"/>
      <c r="S16" s="269"/>
      <c r="AD16"/>
      <c r="AE16"/>
      <c r="AF16"/>
      <c r="AG16"/>
      <c r="AH16"/>
      <c r="AI16"/>
      <c r="AJ16"/>
      <c r="AK16"/>
      <c r="AL16"/>
      <c r="AM16"/>
      <c r="AN16"/>
      <c r="AO16"/>
      <c r="AP16"/>
      <c r="AQ16"/>
      <c r="AR16"/>
      <c r="AS16"/>
      <c r="AT16"/>
      <c r="AU16"/>
      <c r="AV16"/>
      <c r="AW16"/>
      <c r="AX16"/>
      <c r="AY16"/>
      <c r="AZ16"/>
      <c r="BA16"/>
      <c r="BB16"/>
      <c r="BC16"/>
      <c r="BD16"/>
      <c r="BE16"/>
      <c r="BF16"/>
      <c r="BG16"/>
      <c r="BH16"/>
    </row>
    <row r="17" spans="1:60" s="249" customFormat="1" x14ac:dyDescent="0.2">
      <c r="B17" s="276"/>
      <c r="C17" s="276"/>
      <c r="D17" s="276"/>
      <c r="E17" s="253"/>
      <c r="F17" s="253"/>
      <c r="G17" s="253"/>
      <c r="H17" s="253"/>
      <c r="I17" s="248"/>
      <c r="J17" s="248"/>
      <c r="K17" s="277"/>
      <c r="L17" s="250"/>
      <c r="M17" s="248"/>
      <c r="N17" s="248"/>
      <c r="O17" s="277"/>
      <c r="P17" s="250"/>
      <c r="Q17" s="251"/>
      <c r="AD17"/>
      <c r="AE17"/>
      <c r="AF17"/>
      <c r="AG17"/>
      <c r="AH17"/>
      <c r="AI17"/>
      <c r="AJ17"/>
      <c r="AK17"/>
      <c r="AL17"/>
      <c r="AM17"/>
      <c r="AN17" s="774" t="s">
        <v>81</v>
      </c>
      <c r="AO17" s="778">
        <f>'S-curves'!Z4</f>
        <v>2</v>
      </c>
      <c r="AP17" s="775" t="s">
        <v>105</v>
      </c>
      <c r="AQ17" s="778">
        <f>'S-curves'!Z6</f>
        <v>1</v>
      </c>
      <c r="AR17" s="771"/>
      <c r="AS17" s="770" t="s">
        <v>199</v>
      </c>
      <c r="AT17" s="781"/>
      <c r="AU17" s="781"/>
      <c r="AV17" s="780"/>
      <c r="AW17" s="771"/>
      <c r="AX17" s="770"/>
      <c r="AY17"/>
      <c r="AZ17"/>
      <c r="BA17"/>
      <c r="BB17"/>
      <c r="BC17"/>
      <c r="BD17"/>
      <c r="BE17"/>
      <c r="BF17"/>
      <c r="BG17"/>
      <c r="BH17"/>
    </row>
    <row r="18" spans="1:60" ht="13.5" thickBot="1" x14ac:dyDescent="0.25">
      <c r="B18" s="238"/>
      <c r="D18" s="278"/>
      <c r="N18" s="279"/>
      <c r="Q18" s="279"/>
      <c r="W18" s="236"/>
      <c r="X18" s="236"/>
      <c r="Y18" s="236"/>
      <c r="AC18" s="279"/>
      <c r="AD18"/>
      <c r="AE18"/>
      <c r="AF18"/>
      <c r="AG18"/>
      <c r="AH18"/>
      <c r="AI18"/>
      <c r="AJ18"/>
      <c r="AK18"/>
      <c r="AL18"/>
      <c r="AM18"/>
      <c r="AN18" s="776" t="s">
        <v>82</v>
      </c>
      <c r="AO18" s="779">
        <f>'S-curves'!Z5</f>
        <v>0.6</v>
      </c>
      <c r="AP18" s="777"/>
      <c r="AQ18" s="777"/>
      <c r="AR18" s="773"/>
      <c r="AS18" s="782" t="s">
        <v>109</v>
      </c>
      <c r="AT18" s="783"/>
      <c r="AU18" s="784">
        <f>MATCH('Run Model'!C7,AdoptCols,0)</f>
        <v>4</v>
      </c>
      <c r="AV18" s="783" t="str">
        <f>INDEX(AdoptCols,AU18)</f>
        <v>Moderate</v>
      </c>
      <c r="AW18" s="773"/>
      <c r="AX18" s="772"/>
      <c r="AY18"/>
      <c r="AZ18"/>
      <c r="BA18"/>
      <c r="BB18"/>
      <c r="BC18"/>
      <c r="BD18"/>
      <c r="BE18"/>
      <c r="BF18"/>
      <c r="BG18"/>
      <c r="BH18"/>
    </row>
    <row r="19" spans="1:60" s="28" customFormat="1" ht="15.75" thickBot="1" x14ac:dyDescent="0.3">
      <c r="A19" s="785"/>
      <c r="B19" s="1638" t="s">
        <v>200</v>
      </c>
      <c r="C19" s="1639"/>
      <c r="D19" s="1639"/>
      <c r="E19" s="1639"/>
      <c r="F19" s="1639"/>
      <c r="G19" s="1640"/>
      <c r="H19" s="1651" t="s">
        <v>188</v>
      </c>
      <c r="I19" s="1652"/>
      <c r="J19" s="1652"/>
      <c r="K19" s="1652"/>
      <c r="L19" s="1652"/>
      <c r="M19" s="1653"/>
      <c r="N19" s="1639" t="s">
        <v>74</v>
      </c>
      <c r="O19" s="1639"/>
      <c r="P19" s="1639"/>
      <c r="Q19" s="1639"/>
      <c r="R19" s="1639"/>
      <c r="S19" s="1640"/>
      <c r="T19" s="1638" t="s">
        <v>111</v>
      </c>
      <c r="U19" s="1639"/>
      <c r="V19" s="1639"/>
      <c r="W19" s="1639"/>
      <c r="X19" s="1640"/>
      <c r="Y19" s="1638" t="s">
        <v>75</v>
      </c>
      <c r="Z19" s="1639"/>
      <c r="AA19" s="1639"/>
      <c r="AB19" s="1639"/>
      <c r="AC19" s="1640"/>
      <c r="AD19" s="1638" t="s">
        <v>96</v>
      </c>
      <c r="AE19" s="1639"/>
      <c r="AF19" s="1639"/>
      <c r="AG19" s="1639"/>
      <c r="AH19" s="1640"/>
      <c r="AI19" s="1638" t="s">
        <v>79</v>
      </c>
      <c r="AJ19" s="1639"/>
      <c r="AK19" s="1639"/>
      <c r="AL19" s="1639"/>
      <c r="AM19" s="1639"/>
      <c r="AN19" s="1638" t="s">
        <v>104</v>
      </c>
      <c r="AO19" s="1639"/>
      <c r="AP19" s="1639"/>
      <c r="AQ19" s="1639"/>
      <c r="AR19" s="1640"/>
      <c r="AS19" s="1638" t="s">
        <v>76</v>
      </c>
      <c r="AT19" s="1639"/>
      <c r="AU19" s="1639"/>
      <c r="AV19" s="1639"/>
      <c r="AW19" s="1640"/>
      <c r="AX19" s="1639" t="s">
        <v>106</v>
      </c>
      <c r="AY19" s="1639"/>
      <c r="AZ19" s="1639"/>
      <c r="BA19" s="1639"/>
      <c r="BB19" s="1640"/>
      <c r="BC19" s="1638" t="s">
        <v>86</v>
      </c>
      <c r="BD19" s="1639"/>
      <c r="BE19" s="1639"/>
      <c r="BF19" s="1639"/>
      <c r="BG19" s="1639"/>
      <c r="BH19" s="1640"/>
    </row>
    <row r="20" spans="1:60" ht="15" customHeight="1" x14ac:dyDescent="0.2">
      <c r="A20" s="281"/>
      <c r="B20" s="1004" t="s">
        <v>72</v>
      </c>
      <c r="C20" s="1005" t="s">
        <v>68</v>
      </c>
      <c r="D20" s="1005" t="s">
        <v>69</v>
      </c>
      <c r="E20" s="1005" t="s">
        <v>70</v>
      </c>
      <c r="F20" s="1005" t="s">
        <v>178</v>
      </c>
      <c r="G20" s="1037" t="s">
        <v>179</v>
      </c>
      <c r="H20" s="1050" t="s">
        <v>72</v>
      </c>
      <c r="I20" s="1051" t="s">
        <v>68</v>
      </c>
      <c r="J20" s="1051" t="s">
        <v>69</v>
      </c>
      <c r="K20" s="1051" t="s">
        <v>70</v>
      </c>
      <c r="L20" s="1051" t="s">
        <v>178</v>
      </c>
      <c r="M20" s="1052" t="s">
        <v>179</v>
      </c>
      <c r="N20" s="1004" t="s">
        <v>72</v>
      </c>
      <c r="O20" s="1005" t="s">
        <v>68</v>
      </c>
      <c r="P20" s="1005" t="s">
        <v>69</v>
      </c>
      <c r="Q20" s="1005" t="s">
        <v>70</v>
      </c>
      <c r="R20" s="1005" t="s">
        <v>178</v>
      </c>
      <c r="S20" s="1037" t="s">
        <v>179</v>
      </c>
      <c r="T20" s="1009" t="s">
        <v>68</v>
      </c>
      <c r="U20" s="1010" t="s">
        <v>69</v>
      </c>
      <c r="V20" s="1010" t="s">
        <v>70</v>
      </c>
      <c r="W20" s="1005" t="s">
        <v>178</v>
      </c>
      <c r="X20" s="1037" t="s">
        <v>179</v>
      </c>
      <c r="Y20" s="1009" t="s">
        <v>68</v>
      </c>
      <c r="Z20" s="1010" t="s">
        <v>69</v>
      </c>
      <c r="AA20" s="1010" t="s">
        <v>70</v>
      </c>
      <c r="AB20" s="1005" t="s">
        <v>178</v>
      </c>
      <c r="AC20" s="1037" t="s">
        <v>179</v>
      </c>
      <c r="AD20" s="1009" t="s">
        <v>68</v>
      </c>
      <c r="AE20" s="1010" t="s">
        <v>69</v>
      </c>
      <c r="AF20" s="1010" t="s">
        <v>70</v>
      </c>
      <c r="AG20" s="1005" t="s">
        <v>178</v>
      </c>
      <c r="AH20" s="1037" t="s">
        <v>179</v>
      </c>
      <c r="AI20" s="1009" t="s">
        <v>68</v>
      </c>
      <c r="AJ20" s="1010" t="s">
        <v>69</v>
      </c>
      <c r="AK20" s="1010" t="s">
        <v>70</v>
      </c>
      <c r="AL20" s="1005" t="s">
        <v>178</v>
      </c>
      <c r="AM20" s="1037" t="s">
        <v>179</v>
      </c>
      <c r="AN20" s="1009" t="s">
        <v>68</v>
      </c>
      <c r="AO20" s="1010" t="s">
        <v>69</v>
      </c>
      <c r="AP20" s="1010" t="s">
        <v>70</v>
      </c>
      <c r="AQ20" s="1005" t="s">
        <v>178</v>
      </c>
      <c r="AR20" s="1037" t="s">
        <v>179</v>
      </c>
      <c r="AS20" s="1009" t="s">
        <v>68</v>
      </c>
      <c r="AT20" s="1010" t="s">
        <v>69</v>
      </c>
      <c r="AU20" s="1010" t="s">
        <v>70</v>
      </c>
      <c r="AV20" s="1005" t="s">
        <v>178</v>
      </c>
      <c r="AW20" s="1037" t="s">
        <v>179</v>
      </c>
      <c r="AX20" s="1009" t="s">
        <v>68</v>
      </c>
      <c r="AY20" s="1010" t="s">
        <v>69</v>
      </c>
      <c r="AZ20" s="1010" t="s">
        <v>70</v>
      </c>
      <c r="BA20" s="1005" t="s">
        <v>178</v>
      </c>
      <c r="BB20" s="1037" t="s">
        <v>179</v>
      </c>
      <c r="BC20" s="1009" t="s">
        <v>72</v>
      </c>
      <c r="BD20" s="1010" t="s">
        <v>68</v>
      </c>
      <c r="BE20" s="1010" t="s">
        <v>69</v>
      </c>
      <c r="BF20" s="1010" t="s">
        <v>70</v>
      </c>
      <c r="BG20" s="1005" t="s">
        <v>178</v>
      </c>
      <c r="BH20" s="1037" t="s">
        <v>179</v>
      </c>
    </row>
    <row r="21" spans="1:60" s="283" customFormat="1" x14ac:dyDescent="0.2">
      <c r="A21" s="281"/>
      <c r="B21" s="1044"/>
      <c r="C21" s="1045"/>
      <c r="D21" s="1045"/>
      <c r="E21" s="1045"/>
      <c r="F21" s="1045"/>
      <c r="G21" s="1046"/>
      <c r="H21" s="1243" t="str">
        <f>IF(INDEX($G$11:$G$16,MATCH(H20,$B$11:$B$16,0))="N/A","Single-fuel","Dual-Fuel")</f>
        <v>Single-fuel</v>
      </c>
      <c r="I21" s="1242" t="str">
        <f t="shared" ref="I21:M21" si="3">IF(INDEX($G$11:$G$16,MATCH(I20,$B$11:$B$16,0))="N/A","Single-fuel","Dual-Fuel")</f>
        <v>Single-fuel</v>
      </c>
      <c r="J21" s="1242" t="str">
        <f t="shared" si="3"/>
        <v>Single-fuel</v>
      </c>
      <c r="K21" s="1242" t="str">
        <f t="shared" si="3"/>
        <v>Single-fuel</v>
      </c>
      <c r="L21" s="1242" t="str">
        <f t="shared" si="3"/>
        <v>Single-fuel</v>
      </c>
      <c r="M21" s="1244" t="str">
        <f t="shared" si="3"/>
        <v>Dual-Fuel</v>
      </c>
      <c r="N21" s="962" t="str">
        <f>INDEX($F$11:$F$16,MATCH(N20,$B$11:$B$16,0))</f>
        <v>Diesel</v>
      </c>
      <c r="O21" s="963" t="str">
        <f t="shared" ref="O21:S21" si="4">INDEX($F$11:$F$16,MATCH(RIGHT(O20),$B$11:$B$16,0))</f>
        <v>Diesel</v>
      </c>
      <c r="P21" s="963" t="str">
        <f t="shared" si="4"/>
        <v>Diesel</v>
      </c>
      <c r="Q21" s="963" t="str">
        <f t="shared" si="4"/>
        <v>Electricity</v>
      </c>
      <c r="R21" s="963" t="str">
        <f t="shared" si="4"/>
        <v>Hydrogen</v>
      </c>
      <c r="S21" s="964" t="str">
        <f t="shared" si="4"/>
        <v>Diesel</v>
      </c>
      <c r="T21" s="1635" t="s">
        <v>121</v>
      </c>
      <c r="U21" s="1636"/>
      <c r="V21" s="1636"/>
      <c r="W21" s="1636"/>
      <c r="X21" s="1637"/>
      <c r="Y21" s="1013" t="str">
        <f>INDEX($F$11:$F$16,MATCH(Y20,$B$11:$B$16,0))</f>
        <v>Diesel</v>
      </c>
      <c r="Z21" s="1014" t="str">
        <f t="shared" ref="Z21:AC21" si="5">INDEX($F$11:$F$16,MATCH(Z20,$B$11:$B$16,0))</f>
        <v>Diesel</v>
      </c>
      <c r="AA21" s="1014" t="str">
        <f t="shared" si="5"/>
        <v>Electricity</v>
      </c>
      <c r="AB21" s="1014" t="str">
        <f t="shared" si="5"/>
        <v>Hydrogen</v>
      </c>
      <c r="AC21" s="1015" t="str">
        <f t="shared" si="5"/>
        <v>Diesel</v>
      </c>
      <c r="AD21" s="1016">
        <f>INDEX($L$11:$L$16,MATCH(AD20,$B$11:$B$16,0))</f>
        <v>5</v>
      </c>
      <c r="AE21" s="986">
        <f>INDEX($L$11:$L$16,MATCH(AE20,$B$11:$B$16,0))</f>
        <v>5</v>
      </c>
      <c r="AF21" s="986">
        <f>INDEX($L$11:$L$16,MATCH(AF20,$B$11:$B$16,0))</f>
        <v>5</v>
      </c>
      <c r="AG21" s="986">
        <f>INDEX($L$11:$L$16,MATCH(AG20,$B$11:$B$16,0))</f>
        <v>5</v>
      </c>
      <c r="AH21" s="987">
        <f>INDEX($L$11:$L$16,MATCH(AH20,$B$11:$B$16,0))</f>
        <v>5</v>
      </c>
      <c r="AI21" s="1018">
        <f>INDEX($J$11:$J$16,MATCH(AI20,$B$11:$B$16,0))</f>
        <v>0</v>
      </c>
      <c r="AJ21" s="1019">
        <f t="shared" ref="AJ21:AM21" si="6">INDEX($J$11:$J$16,MATCH(AJ20,$B$11:$B$16,0))</f>
        <v>0</v>
      </c>
      <c r="AK21" s="1019">
        <f t="shared" si="6"/>
        <v>0</v>
      </c>
      <c r="AL21" s="1019">
        <f t="shared" si="6"/>
        <v>0</v>
      </c>
      <c r="AM21" s="1020">
        <f t="shared" si="6"/>
        <v>0</v>
      </c>
      <c r="AN21" s="962" t="str">
        <f>INDEX($F$11:$F$16,MATCH(AN20,$B$11:$B$16,0))</f>
        <v>Diesel</v>
      </c>
      <c r="AO21" s="963" t="str">
        <f t="shared" ref="AO21" si="7">INDEX($F$11:$F$16,MATCH(AO20,$B$11:$B$16,0))</f>
        <v>Diesel</v>
      </c>
      <c r="AP21" s="963" t="str">
        <f t="shared" ref="AP21" si="8">INDEX($F$11:$F$16,MATCH(AP20,$B$11:$B$16,0))</f>
        <v>Electricity</v>
      </c>
      <c r="AQ21" s="963" t="str">
        <f t="shared" ref="AQ21" si="9">INDEX($F$11:$F$16,MATCH(AQ20,$B$11:$B$16,0))</f>
        <v>Hydrogen</v>
      </c>
      <c r="AR21" s="964" t="str">
        <f t="shared" ref="AR21" si="10">INDEX($F$11:$F$16,MATCH(AR20,$B$11:$B$16,0))</f>
        <v>Diesel</v>
      </c>
      <c r="AS21" s="1013" t="str">
        <f>INDEX($F$11:$F$16,MATCH(AS20,$B$11:$B$16,0))</f>
        <v>Diesel</v>
      </c>
      <c r="AT21" s="1014" t="str">
        <f t="shared" ref="AT21" si="11">INDEX($F$11:$F$16,MATCH(AT20,$B$11:$B$16,0))</f>
        <v>Diesel</v>
      </c>
      <c r="AU21" s="1014" t="str">
        <f t="shared" ref="AU21" si="12">INDEX($F$11:$F$16,MATCH(AU20,$B$11:$B$16,0))</f>
        <v>Electricity</v>
      </c>
      <c r="AV21" s="1014" t="str">
        <f t="shared" ref="AV21" si="13">INDEX($F$11:$F$16,MATCH(AV20,$B$11:$B$16,0))</f>
        <v>Hydrogen</v>
      </c>
      <c r="AW21" s="1015" t="str">
        <f t="shared" ref="AW21" si="14">INDEX($F$11:$F$16,MATCH(AW20,$B$11:$B$16,0))</f>
        <v>Diesel</v>
      </c>
      <c r="AX21" s="1013" t="str">
        <f>INDEX($F$11:$F$16,MATCH(AX20,$B$11:$B$16,0))</f>
        <v>Diesel</v>
      </c>
      <c r="AY21" s="1014" t="str">
        <f t="shared" ref="AY21" si="15">INDEX($F$11:$F$16,MATCH(AY20,$B$11:$B$16,0))</f>
        <v>Diesel</v>
      </c>
      <c r="AZ21" s="1014" t="str">
        <f t="shared" ref="AZ21" si="16">INDEX($F$11:$F$16,MATCH(AZ20,$B$11:$B$16,0))</f>
        <v>Electricity</v>
      </c>
      <c r="BA21" s="1014" t="str">
        <f t="shared" ref="BA21" si="17">INDEX($F$11:$F$16,MATCH(BA20,$B$11:$B$16,0))</f>
        <v>Hydrogen</v>
      </c>
      <c r="BB21" s="1015" t="str">
        <f t="shared" ref="BB21" si="18">INDEX($F$11:$F$16,MATCH(BB20,$B$11:$B$16,0))</f>
        <v>Diesel</v>
      </c>
      <c r="BC21" s="1024" t="str">
        <f>INDEX($F$11:$F$16,MATCH(BC20,$B$11:$B$16,0))</f>
        <v>Diesel</v>
      </c>
      <c r="BD21" s="1014" t="str">
        <f t="shared" ref="BD21" si="19">INDEX($F$11:$F$16,MATCH(BD20,$B$11:$B$16,0))</f>
        <v>Diesel</v>
      </c>
      <c r="BE21" s="1014" t="str">
        <f t="shared" ref="BE21" si="20">INDEX($F$11:$F$16,MATCH(BE20,$B$11:$B$16,0))</f>
        <v>Diesel</v>
      </c>
      <c r="BF21" s="1014" t="str">
        <f t="shared" ref="BF21" si="21">INDEX($F$11:$F$16,MATCH(BF20,$B$11:$B$16,0))</f>
        <v>Electricity</v>
      </c>
      <c r="BG21" s="1014" t="str">
        <f t="shared" ref="BG21:BH21" si="22">INDEX($F$11:$F$16,MATCH(BG20,$B$11:$B$16,0))</f>
        <v>Hydrogen</v>
      </c>
      <c r="BH21" s="1015" t="str">
        <f t="shared" si="22"/>
        <v>Diesel</v>
      </c>
    </row>
    <row r="22" spans="1:60" x14ac:dyDescent="0.2">
      <c r="A22" s="281"/>
      <c r="B22" s="1044"/>
      <c r="C22" s="1045"/>
      <c r="D22" s="1045"/>
      <c r="E22" s="1045"/>
      <c r="F22" s="1045"/>
      <c r="G22" s="1046"/>
      <c r="H22" s="1038"/>
      <c r="I22" s="1039"/>
      <c r="J22" s="1039"/>
      <c r="K22" s="1039"/>
      <c r="L22" s="1039"/>
      <c r="M22" s="1040"/>
      <c r="N22" s="1175" t="str">
        <f>INDEX($G$11:$G$16,MATCH(N20,$B$11:$B$16,0))</f>
        <v>N/A</v>
      </c>
      <c r="O22" s="1176" t="str">
        <f t="shared" ref="O22:S22" si="23">INDEX($G$11:$G$16,MATCH(O20,$B$11:$B$16,0))</f>
        <v>N/A</v>
      </c>
      <c r="P22" s="1176" t="str">
        <f t="shared" si="23"/>
        <v>N/A</v>
      </c>
      <c r="Q22" s="1176" t="str">
        <f t="shared" si="23"/>
        <v>N/A</v>
      </c>
      <c r="R22" s="1176" t="str">
        <f t="shared" si="23"/>
        <v>N/A</v>
      </c>
      <c r="S22" s="1177" t="str">
        <f t="shared" si="23"/>
        <v>Electricity</v>
      </c>
      <c r="T22" s="971">
        <f>Q12</f>
        <v>0</v>
      </c>
      <c r="U22" s="972">
        <f>Q13</f>
        <v>0</v>
      </c>
      <c r="V22" s="1011">
        <f>INDEX($Q$11:$Q$16,MATCH(V20,$B$11:$B$16,0))</f>
        <v>0</v>
      </c>
      <c r="W22" s="972">
        <f>INDEX($Q$11:$Q$16,MATCH(W20,$B$11:$B$16,0))</f>
        <v>0</v>
      </c>
      <c r="X22" s="973">
        <f>INDEX($Q$11:$Q$16,MATCH(X20,$B$11:$B$16,0))</f>
        <v>0</v>
      </c>
      <c r="Y22" s="977" t="b">
        <f>INDEX($H$11:$H$16,MATCH(Y20,$B$11:$B$16,0))</f>
        <v>0</v>
      </c>
      <c r="Z22" s="978" t="b">
        <f t="shared" ref="Z22:AC22" si="24">INDEX($H$11:$H$16,MATCH(Z20,$B$11:$B$16,0))</f>
        <v>0</v>
      </c>
      <c r="AA22" s="978" t="b">
        <f t="shared" si="24"/>
        <v>1</v>
      </c>
      <c r="AB22" s="978" t="b">
        <f t="shared" si="24"/>
        <v>0</v>
      </c>
      <c r="AC22" s="979" t="b">
        <f t="shared" si="24"/>
        <v>0</v>
      </c>
      <c r="AD22" s="1016">
        <f>INDEX($M$11:$M$16,MATCH(AD20,$B$11:$B$16,0))</f>
        <v>5</v>
      </c>
      <c r="AE22" s="986">
        <f>INDEX($M$11:$M$16,MATCH(AE20,$B$11:$B$16,0))</f>
        <v>5</v>
      </c>
      <c r="AF22" s="986">
        <f>INDEX($M$11:$M$16,MATCH(AF20,$B$11:$B$16,0))</f>
        <v>5</v>
      </c>
      <c r="AG22" s="986">
        <f>INDEX($M$11:$M$16,MATCH(AG20,$B$11:$B$16,0))</f>
        <v>5</v>
      </c>
      <c r="AH22" s="987">
        <f>INDEX($M$11:$M$16,MATCH(AH20,$B$11:$B$16,0))</f>
        <v>5</v>
      </c>
      <c r="AI22" s="1018">
        <f>INDEX($K$11:$K$16,MATCH(AI20,$B$11:$B$16,0))</f>
        <v>0.5</v>
      </c>
      <c r="AJ22" s="1019">
        <f t="shared" ref="AJ22:AM22" si="25">INDEX($K$11:$K$16,MATCH(AJ20,$B$11:$B$16,0))</f>
        <v>0.5</v>
      </c>
      <c r="AK22" s="1019">
        <f t="shared" si="25"/>
        <v>0.5</v>
      </c>
      <c r="AL22" s="1019">
        <f t="shared" si="25"/>
        <v>0.5</v>
      </c>
      <c r="AM22" s="1020">
        <f t="shared" si="25"/>
        <v>0.5</v>
      </c>
      <c r="AN22" s="962"/>
      <c r="AO22" s="963"/>
      <c r="AP22" s="963"/>
      <c r="AQ22" s="963"/>
      <c r="AR22" s="964"/>
      <c r="AS22" s="977"/>
      <c r="AT22" s="978"/>
      <c r="AU22" s="978"/>
      <c r="AV22" s="978"/>
      <c r="AW22" s="979"/>
      <c r="AX22" s="977"/>
      <c r="AY22" s="978"/>
      <c r="AZ22" s="978"/>
      <c r="BA22" s="978"/>
      <c r="BB22" s="979"/>
      <c r="BC22" s="977"/>
      <c r="BD22" s="978"/>
      <c r="BE22" s="978"/>
      <c r="BF22" s="978"/>
      <c r="BG22" s="978"/>
      <c r="BH22" s="979"/>
    </row>
    <row r="23" spans="1:60" ht="13.5" thickBot="1" x14ac:dyDescent="0.25">
      <c r="A23" s="757"/>
      <c r="B23" s="1047"/>
      <c r="C23" s="1048"/>
      <c r="D23" s="1048"/>
      <c r="E23" s="1048"/>
      <c r="F23" s="1048"/>
      <c r="G23" s="1049"/>
      <c r="H23" s="1041"/>
      <c r="I23" s="1042"/>
      <c r="J23" s="1042"/>
      <c r="K23" s="1042"/>
      <c r="L23" s="1042"/>
      <c r="M23" s="1043"/>
      <c r="N23" s="1006"/>
      <c r="O23" s="1007"/>
      <c r="P23" s="1007"/>
      <c r="Q23" s="1007"/>
      <c r="R23" s="1007"/>
      <c r="S23" s="1008"/>
      <c r="T23" s="974"/>
      <c r="U23" s="975"/>
      <c r="V23" s="1012"/>
      <c r="W23" s="975"/>
      <c r="X23" s="976"/>
      <c r="Y23" s="980"/>
      <c r="Z23" s="981"/>
      <c r="AA23" s="981"/>
      <c r="AB23" s="981"/>
      <c r="AC23" s="982"/>
      <c r="AD23" s="1017"/>
      <c r="AE23" s="989"/>
      <c r="AF23" s="989"/>
      <c r="AG23" s="989"/>
      <c r="AH23" s="990"/>
      <c r="AI23" s="1021">
        <f>INDEX($I$11:$I$16,MATCH(AI20,$B$11:$B$16,0))</f>
        <v>2025</v>
      </c>
      <c r="AJ23" s="1022">
        <f t="shared" ref="AJ23:AM23" si="26">INDEX($I$11:$I$16,MATCH(AJ20,$B$11:$B$16,0))</f>
        <v>2025</v>
      </c>
      <c r="AK23" s="1022">
        <f t="shared" si="26"/>
        <v>2025</v>
      </c>
      <c r="AL23" s="1022">
        <f t="shared" si="26"/>
        <v>2025</v>
      </c>
      <c r="AM23" s="1023">
        <f t="shared" si="26"/>
        <v>2025</v>
      </c>
      <c r="AN23" s="988"/>
      <c r="AO23" s="991"/>
      <c r="AP23" s="991"/>
      <c r="AQ23" s="991"/>
      <c r="AR23" s="992"/>
      <c r="AS23" s="980"/>
      <c r="AT23" s="981"/>
      <c r="AU23" s="981"/>
      <c r="AV23" s="981"/>
      <c r="AW23" s="982"/>
      <c r="AX23" s="980"/>
      <c r="AY23" s="981"/>
      <c r="AZ23" s="981"/>
      <c r="BA23" s="981"/>
      <c r="BB23" s="982"/>
      <c r="BC23" s="980"/>
      <c r="BD23" s="981"/>
      <c r="BE23" s="981"/>
      <c r="BF23" s="981"/>
      <c r="BG23" s="981"/>
      <c r="BH23" s="982"/>
    </row>
    <row r="24" spans="1:60" ht="13.5" thickTop="1" x14ac:dyDescent="0.2">
      <c r="A24" s="580">
        <v>2007</v>
      </c>
      <c r="B24" s="789">
        <f t="shared" ref="B24:G33" si="27">ROUND(INDEX(COST_Cls2,$A24-($A$24-1),MATCH(B$20,TECHOPTS_Cls2,0)),2)</f>
        <v>72485</v>
      </c>
      <c r="C24" s="789">
        <f t="shared" si="27"/>
        <v>1000000</v>
      </c>
      <c r="D24" s="789">
        <f t="shared" si="27"/>
        <v>1000000</v>
      </c>
      <c r="E24" s="789">
        <f t="shared" si="27"/>
        <v>1000000</v>
      </c>
      <c r="F24" s="789">
        <f t="shared" si="27"/>
        <v>1000000</v>
      </c>
      <c r="G24" s="790">
        <f t="shared" si="27"/>
        <v>1000000</v>
      </c>
      <c r="H24" s="940">
        <f t="shared" ref="H24:M33" si="28">MAX(1-INDEX(CDRANGE_CLS2,$A24-($A$24-1),MATCH(H$20,TECHOPTS_Cls2,0))*OPDAYS_Cls2/$D$6,0)</f>
        <v>1</v>
      </c>
      <c r="I24" s="941">
        <f t="shared" si="28"/>
        <v>1</v>
      </c>
      <c r="J24" s="941">
        <f t="shared" si="28"/>
        <v>1</v>
      </c>
      <c r="K24" s="941">
        <f t="shared" si="28"/>
        <v>1</v>
      </c>
      <c r="L24" s="941">
        <f t="shared" si="28"/>
        <v>1</v>
      </c>
      <c r="M24" s="942">
        <f t="shared" si="28"/>
        <v>1</v>
      </c>
      <c r="N24" s="284">
        <f t="shared" ref="N24:N67" si="29">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4577.2716002152811</v>
      </c>
      <c r="O24" s="285">
        <f t="shared" ref="O24:O67" si="30">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38997.925835989263</v>
      </c>
      <c r="P24" s="285">
        <f t="shared" ref="P24:P67" si="31">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38997.925835989263</v>
      </c>
      <c r="Q24" s="285">
        <f t="shared" ref="Q24:Q67" si="32">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73983.042333333346</v>
      </c>
      <c r="R24" s="285">
        <f t="shared" ref="R24:R67" si="33">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206706.40834575263</v>
      </c>
      <c r="S24" s="287">
        <f t="shared" ref="S24:S67" si="34">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38997.925835989263</v>
      </c>
      <c r="T24" s="284">
        <f t="shared" ref="T24:T67" si="35">$N24-O24+T$22</f>
        <v>-34420.654235773982</v>
      </c>
      <c r="U24" s="285">
        <f t="shared" ref="U24:U67" si="36">$N24-P24+U$22</f>
        <v>-34420.654235773982</v>
      </c>
      <c r="V24" s="285">
        <f t="shared" ref="V24:V67" si="37">$N24-Q24+V$22</f>
        <v>-69405.770733118057</v>
      </c>
      <c r="W24" s="285">
        <f t="shared" ref="W24:W67" si="38">$N24-R24+W$22</f>
        <v>-202129.13674553734</v>
      </c>
      <c r="X24" s="287">
        <f t="shared" ref="X24:X67" si="39">$N24-S24+X$22</f>
        <v>-34420.654235773982</v>
      </c>
      <c r="Y24" s="288">
        <f>IF($D$7=0,86,IF(AND(Y$22=TRUE,INDEX(CDRANGE_CLS2,MATCH($A24,$A$24:$A$67,0),MATCH(Y$20,$B$20:$G$20,0))&lt;$D$6/OPDAYS_Cls2),86,payback(C24,T24,disc_rate/12,85)))</f>
        <v>86</v>
      </c>
      <c r="Z24" s="289">
        <f>IF($D$7=0,86,IF(AND(Z$22=TRUE,INDEX(CDRANGE_CLS2,MATCH($A24,$A$24:$A$67,0),MATCH(Z$20,$B$20:$G$20,0))&lt;$D$6/OPDAYS_Cls2),86,payback(D24,U24,disc_rate/12,85)))</f>
        <v>86</v>
      </c>
      <c r="AA24" s="289">
        <f>IF($D$7=0,86,IF(AND(AA$22=TRUE,INDEX(CDRANGE_CLS2,MATCH($A24,$A$24:$A$67,0),MATCH(AA$20,$B$20:$G$20,0))&lt;$D$6/OPDAYS_Cls2),86,payback(E24,V24,disc_rate/12,85)))</f>
        <v>86</v>
      </c>
      <c r="AB24" s="289">
        <f>IF($D$7=0,86,IF(AND(AB$22=TRUE,INDEX(CDRANGE_CLS2,MATCH($A24,$A$24:$A$67,0),MATCH(AB$20,$B$20:$G$20,0))&lt;$D$6/OPDAYS_Cls2),86,payback(F24,W24,disc_rate/12,85)))</f>
        <v>86</v>
      </c>
      <c r="AC24" s="290">
        <f>IF($D$7=0,86,IF(AND(AC$22=TRUE,INDEX(CDRANGE_CLS2,MATCH($A24,$A$24:$A$67,0),MATCH(AC$20,$B$20:$G$20,0))&lt;$D$6/OPDAYS_Cls2),86,payback(G24,X24,disc_rate/12,85)))</f>
        <v>86</v>
      </c>
      <c r="AD24" s="291">
        <f t="shared" ref="AD24:AD67" si="40">IF(AND(C24&lt;=AD$21,$N24-O24&gt;=-AD$22),AI24*VLOOKUP(C24/AD$21,FirstCostInd,2,TRUE)*VLOOKUP(($N24-O24)/AD$22,FuelCostInd,2,1),0)</f>
        <v>0</v>
      </c>
      <c r="AE24" s="292">
        <f t="shared" ref="AE24:AE67" si="41">IF(AND(D24&lt;=AE$21,$N24-P24&gt;=-AE$22),AJ24*VLOOKUP(D24/AE$21,FirstCostInd,2,TRUE)*VLOOKUP(($N24-P24)/AE$22,FuelCostInd,2,1),0)</f>
        <v>0</v>
      </c>
      <c r="AF24" s="292">
        <f t="shared" ref="AF24:AF67" si="42">IF(AND(E24&lt;=AF$21,$N24-Q24&gt;=-AF$22),AK24*VLOOKUP(E24/AF$21,FirstCostInd,2,TRUE)*VLOOKUP(($N24-Q24)/AF$22,FuelCostInd,2,1),0)</f>
        <v>0</v>
      </c>
      <c r="AG24" s="292">
        <f t="shared" ref="AG24:AG67" si="43">IF(AND(F24&lt;=AG$21,$N24-R24&gt;=-AG$22),AL24*VLOOKUP(F24/AG$21,FirstCostInd,2,TRUE)*VLOOKUP(($N24-R24)/AG$22,FuelCostInd,2,1),0)</f>
        <v>0</v>
      </c>
      <c r="AH24" s="292">
        <f t="shared" ref="AH24:AH67" si="44">IF(AND(G24&lt;=AH$21,$N24-S24&gt;=-AH$22),AM24*VLOOKUP(G24/AH$21,FirstCostInd,2,TRUE)*VLOOKUP(($N24-S24)/AH$22,FuelCostInd,2,1),0)</f>
        <v>0</v>
      </c>
      <c r="AI24" s="294">
        <f t="shared" ref="AI24:AI67" si="45">IF($A24&lt;AI$23,0,AI$21+VLOOKUP($A24-AI$23,SCdata,2,1)*(AI$22-AI$21))*IF($D$5="Non-Central",INDEX(fuel_avail,$A24-$A$24+1,MATCH(O$21,Fuels,0)),1)</f>
        <v>0</v>
      </c>
      <c r="AJ24" s="295">
        <f t="shared" ref="AJ24:AJ67" si="46">IF($A24&lt;AJ$23,0,AJ$21+VLOOKUP($A24-AJ$23,SCdata,2,1)*(AJ$22-AJ$21))*IF($D$5="Non-Central",INDEX(fuel_avail,$A24-$A$24+1,MATCH(P$21,Fuels,0)),1)</f>
        <v>0</v>
      </c>
      <c r="AK24" s="295">
        <f t="shared" ref="AK24:AK67" si="47">IF($A24&lt;AK$23,0,AK$21+VLOOKUP($A24-AK$23,SCdata,2,1)*(AK$22-AK$21))*IF($D$5="Non-Central",INDEX(fuel_avail,$A24-$A$24+1,MATCH(Q$21,Fuels,0)),1)</f>
        <v>0</v>
      </c>
      <c r="AL24" s="295">
        <f t="shared" ref="AL24:AL67" si="48">IF($A24&lt;AL$23,0,AL$21+VLOOKUP($A24-AL$23,SCdata,2,1)*(AL$22-AL$21))*IF($D$5="Non-Central",INDEX(fuel_avail,$A24-$A$24+1,MATCH(R$21,Fuels,0)),1)</f>
        <v>0</v>
      </c>
      <c r="AM24" s="582">
        <f t="shared" ref="AM24:AM67" si="49">IF($A24&lt;AM$23,0,AM$21+VLOOKUP($A24-AM$23,SCdata,2,1)*(AM$22-AM$21))*IF($D$5="Non-Central",INDEX(fuel_avail,$A24-$A$24+1,MATCH(S$21,Fuels,0)),1)</f>
        <v>0</v>
      </c>
      <c r="AN24" s="294">
        <f>IF(C24&lt;0,1,$AQ$17*(1-WEIBULL(C24/$B24,$AO$17,$AO$18,1)))</f>
        <v>0</v>
      </c>
      <c r="AO24" s="295">
        <f t="shared" ref="AO24:AR39" si="50">IF(D24&lt;0,1,$AQ$17*(1-WEIBULL(D24/$B24,$AO$17,$AO$18,1)))</f>
        <v>0</v>
      </c>
      <c r="AP24" s="295">
        <f t="shared" si="50"/>
        <v>0</v>
      </c>
      <c r="AQ24" s="295">
        <f t="shared" si="50"/>
        <v>0</v>
      </c>
      <c r="AR24" s="296">
        <f t="shared" si="50"/>
        <v>0</v>
      </c>
      <c r="AS24" s="291">
        <f t="shared" ref="AS24:AS67" si="51">MIN(1,MAX(AD24,IF(Y24&gt;85,0,(AI24/0.5)*VLOOKUP(Y24,AdoptDec,$AU$18,0))))</f>
        <v>0</v>
      </c>
      <c r="AT24" s="292">
        <f t="shared" ref="AT24:AT67" si="52">MIN(1,MAX(AE24,IF(Z24&gt;85,0,(AJ24/0.5)*VLOOKUP(Z24,AdoptDec,$AU$18,0))))</f>
        <v>0</v>
      </c>
      <c r="AU24" s="292">
        <f t="shared" ref="AU24:AU67" si="53">MIN(1,MAX(AF24,IF(AA24&gt;85,0,(AK24/0.5)*VLOOKUP(AA24,AdoptDec,$AU$18,0))))</f>
        <v>0</v>
      </c>
      <c r="AV24" s="292">
        <f t="shared" ref="AV24:AV67" si="54">MIN(1,MAX(AG24,IF(AB24&gt;85,0,(AL24/0.5)*VLOOKUP(AB24,AdoptDec,$AU$18,0))))</f>
        <v>0</v>
      </c>
      <c r="AW24" s="293">
        <f t="shared" ref="AW24:AW67" si="55">MIN(1,MAX(AH24,IF(AC24&gt;85,0,(AM24/0.5)*VLOOKUP(AC24,AdoptDec,$AU$18,0))))</f>
        <v>0</v>
      </c>
      <c r="AX24" s="291">
        <f t="shared" ref="AX24:AX67" si="56">MIN(AS24*AN24,1)</f>
        <v>0</v>
      </c>
      <c r="AY24" s="292">
        <f t="shared" ref="AY24:AY67" si="57">MIN(AT24*AO24,1)</f>
        <v>0</v>
      </c>
      <c r="AZ24" s="292">
        <f t="shared" ref="AZ24:AZ67" si="58">MIN(AU24*AP24,1)</f>
        <v>0</v>
      </c>
      <c r="BA24" s="292">
        <f t="shared" ref="BA24:BB24" si="59">MIN(AV24*AQ24,1)</f>
        <v>0</v>
      </c>
      <c r="BB24" s="293">
        <f t="shared" si="59"/>
        <v>0</v>
      </c>
      <c r="BC24" s="291">
        <f>1-SUM(BD24:BH24)</f>
        <v>1</v>
      </c>
      <c r="BD24" s="292">
        <f>IF(SUM($AX24:$BB24)=0,0,MAX($AX24:$BB24)*(AI24*AX24/SUMPRODUCT($AI24:$AM24,$AX24:$BB24)))</f>
        <v>0</v>
      </c>
      <c r="BE24" s="292">
        <f t="shared" ref="BE24:BH24" si="60">IF(SUM($AX24:$BB24)=0,0,MAX($AX24:$BB24)*(AJ24*AY24/SUMPRODUCT($AI24:$AM24,$AX24:$BB24)))</f>
        <v>0</v>
      </c>
      <c r="BF24" s="292">
        <f t="shared" si="60"/>
        <v>0</v>
      </c>
      <c r="BG24" s="292">
        <f t="shared" si="60"/>
        <v>0</v>
      </c>
      <c r="BH24" s="293">
        <f t="shared" si="60"/>
        <v>0</v>
      </c>
    </row>
    <row r="25" spans="1:60" x14ac:dyDescent="0.2">
      <c r="A25" s="297">
        <v>2008</v>
      </c>
      <c r="B25" s="791">
        <f t="shared" si="27"/>
        <v>72485</v>
      </c>
      <c r="C25" s="792">
        <f t="shared" si="27"/>
        <v>1000000</v>
      </c>
      <c r="D25" s="792">
        <f t="shared" si="27"/>
        <v>1000000</v>
      </c>
      <c r="E25" s="792">
        <f t="shared" si="27"/>
        <v>1000000</v>
      </c>
      <c r="F25" s="792">
        <f t="shared" si="27"/>
        <v>1000000</v>
      </c>
      <c r="G25" s="793">
        <f t="shared" si="27"/>
        <v>1000000</v>
      </c>
      <c r="H25" s="943">
        <f t="shared" si="28"/>
        <v>1</v>
      </c>
      <c r="I25" s="944">
        <f t="shared" si="28"/>
        <v>1</v>
      </c>
      <c r="J25" s="944">
        <f t="shared" si="28"/>
        <v>1</v>
      </c>
      <c r="K25" s="944">
        <f t="shared" si="28"/>
        <v>1</v>
      </c>
      <c r="L25" s="944">
        <f t="shared" si="28"/>
        <v>1</v>
      </c>
      <c r="M25" s="945">
        <f t="shared" si="28"/>
        <v>1</v>
      </c>
      <c r="N25" s="298">
        <f t="shared" si="29"/>
        <v>6112.6020173318602</v>
      </c>
      <c r="O25" s="299">
        <f t="shared" si="30"/>
        <v>53378.982647847421</v>
      </c>
      <c r="P25" s="299">
        <f t="shared" si="31"/>
        <v>53378.982647847421</v>
      </c>
      <c r="Q25" s="299">
        <f t="shared" si="32"/>
        <v>96089.200903333316</v>
      </c>
      <c r="R25" s="299">
        <f t="shared" si="33"/>
        <v>206706.40834575263</v>
      </c>
      <c r="S25" s="301">
        <f t="shared" si="34"/>
        <v>53378.982647847421</v>
      </c>
      <c r="T25" s="298">
        <f t="shared" si="35"/>
        <v>-47266.380630515559</v>
      </c>
      <c r="U25" s="299">
        <f t="shared" si="36"/>
        <v>-47266.380630515559</v>
      </c>
      <c r="V25" s="299">
        <f t="shared" si="37"/>
        <v>-89976.598886001462</v>
      </c>
      <c r="W25" s="299">
        <f t="shared" si="38"/>
        <v>-200593.80632842076</v>
      </c>
      <c r="X25" s="301">
        <f t="shared" si="39"/>
        <v>-47266.380630515559</v>
      </c>
      <c r="Y25" s="288">
        <f>IF($D$7=0,86,IF(AND(Y$22=TRUE,INDEX(CDRANGE_CLS2,MATCH($A25,$A$24:$A$67,0),MATCH(Y$20,$B$20:$G$20,0))&lt;$D$6/OPDAYS_Cls2),86,payback(C25,T25,disc_rate/12,85)))</f>
        <v>86</v>
      </c>
      <c r="Z25" s="289">
        <f>IF($D$7=0,86,IF(AND(Z$22=TRUE,INDEX(CDRANGE_CLS2,MATCH($A25,$A$24:$A$67,0),MATCH(Z$20,$B$20:$G$20,0))&lt;$D$6/OPDAYS_Cls2),86,payback(D25,U25,disc_rate/12,85)))</f>
        <v>86</v>
      </c>
      <c r="AA25" s="289">
        <f>IF($D$7=0,86,IF(AND(AA$22=TRUE,INDEX(CDRANGE_CLS2,MATCH($A25,$A$24:$A$67,0),MATCH(AA$20,$B$20:$G$20,0))&lt;$D$6/OPDAYS_Cls2),86,payback(E25,V25,disc_rate/12,85)))</f>
        <v>86</v>
      </c>
      <c r="AB25" s="289">
        <f>IF($D$7=0,86,IF(AND(AB$22=TRUE,INDEX(CDRANGE_CLS2,MATCH($A25,$A$24:$A$67,0),MATCH(AB$20,$B$20:$G$20,0))&lt;$D$6/OPDAYS_Cls2),86,payback(F25,W25,disc_rate/12,85)))</f>
        <v>86</v>
      </c>
      <c r="AC25" s="290">
        <f>IF($D$7=0,86,IF(AND(AC$22=TRUE,INDEX(CDRANGE_CLS2,MATCH($A25,$A$24:$A$67,0),MATCH(AC$20,$B$20:$G$20,0))&lt;$D$6/OPDAYS_Cls2),86,payback(G25,X25,disc_rate/12,85)))</f>
        <v>86</v>
      </c>
      <c r="AD25" s="305">
        <f t="shared" si="40"/>
        <v>0</v>
      </c>
      <c r="AE25" s="306">
        <f t="shared" si="41"/>
        <v>0</v>
      </c>
      <c r="AF25" s="306">
        <f t="shared" si="42"/>
        <v>0</v>
      </c>
      <c r="AG25" s="306">
        <f t="shared" si="43"/>
        <v>0</v>
      </c>
      <c r="AH25" s="307">
        <f t="shared" si="44"/>
        <v>0</v>
      </c>
      <c r="AI25" s="308">
        <f t="shared" si="45"/>
        <v>0</v>
      </c>
      <c r="AJ25" s="309">
        <f t="shared" si="46"/>
        <v>0</v>
      </c>
      <c r="AK25" s="309">
        <f t="shared" si="47"/>
        <v>0</v>
      </c>
      <c r="AL25" s="309">
        <f t="shared" si="48"/>
        <v>0</v>
      </c>
      <c r="AM25" s="570">
        <f t="shared" si="49"/>
        <v>0</v>
      </c>
      <c r="AN25" s="308">
        <f t="shared" ref="AN25:AN67" si="61">IF(C25&lt;0,1,$AQ$17*(1-WEIBULL(C25/$B25,$AO$17,$AO$18,1)))</f>
        <v>0</v>
      </c>
      <c r="AO25" s="309">
        <f t="shared" si="50"/>
        <v>0</v>
      </c>
      <c r="AP25" s="309">
        <f t="shared" si="50"/>
        <v>0</v>
      </c>
      <c r="AQ25" s="309">
        <f t="shared" si="50"/>
        <v>0</v>
      </c>
      <c r="AR25" s="310">
        <f t="shared" si="50"/>
        <v>0</v>
      </c>
      <c r="AS25" s="291">
        <f t="shared" si="51"/>
        <v>0</v>
      </c>
      <c r="AT25" s="292">
        <f t="shared" si="52"/>
        <v>0</v>
      </c>
      <c r="AU25" s="292">
        <f t="shared" si="53"/>
        <v>0</v>
      </c>
      <c r="AV25" s="292">
        <f t="shared" si="54"/>
        <v>0</v>
      </c>
      <c r="AW25" s="293">
        <f t="shared" si="55"/>
        <v>0</v>
      </c>
      <c r="AX25" s="305">
        <f t="shared" si="56"/>
        <v>0</v>
      </c>
      <c r="AY25" s="306">
        <f t="shared" si="57"/>
        <v>0</v>
      </c>
      <c r="AZ25" s="306">
        <f t="shared" si="58"/>
        <v>0</v>
      </c>
      <c r="BA25" s="292">
        <f t="shared" ref="BA25:BA67" si="62">MIN(AV25*AQ25,1)</f>
        <v>0</v>
      </c>
      <c r="BB25" s="293">
        <f t="shared" ref="BB25:BB67" si="63">MIN(AW25*AR25,1)</f>
        <v>0</v>
      </c>
      <c r="BC25" s="291">
        <f t="shared" ref="BC25:BC67" si="64">1-SUM(BD25:BH25)</f>
        <v>1</v>
      </c>
      <c r="BD25" s="292">
        <f t="shared" ref="BD25:BD67" si="65">IF(SUM($AX25:$BB25)=0,0,MAX($AX25:$BB25)*(AI25*AX25/SUMPRODUCT($AI25:$AM25,$AX25:$BB25)))</f>
        <v>0</v>
      </c>
      <c r="BE25" s="292">
        <f t="shared" ref="BE25:BE67" si="66">IF(SUM($AX25:$BB25)=0,0,MAX($AX25:$BB25)*(AJ25*AY25/SUMPRODUCT($AI25:$AM25,$AX25:$BB25)))</f>
        <v>0</v>
      </c>
      <c r="BF25" s="292">
        <f t="shared" ref="BF25:BF67" si="67">IF(SUM($AX25:$BB25)=0,0,MAX($AX25:$BB25)*(AK25*AZ25/SUMPRODUCT($AI25:$AM25,$AX25:$BB25)))</f>
        <v>0</v>
      </c>
      <c r="BG25" s="292">
        <f t="shared" ref="BG25:BG67" si="68">IF(SUM($AX25:$BB25)=0,0,MAX($AX25:$BB25)*(AL25*BA25/SUMPRODUCT($AI25:$AM25,$AX25:$BB25)))</f>
        <v>0</v>
      </c>
      <c r="BH25" s="293">
        <f t="shared" ref="BH25:BH67" si="69">IF(SUM($AX25:$BB25)=0,0,MAX($AX25:$BB25)*(AM25*BB25/SUMPRODUCT($AI25:$AM25,$AX25:$BB25)))</f>
        <v>0</v>
      </c>
    </row>
    <row r="26" spans="1:60" x14ac:dyDescent="0.2">
      <c r="A26" s="297">
        <v>2009</v>
      </c>
      <c r="B26" s="791">
        <f t="shared" si="27"/>
        <v>72485</v>
      </c>
      <c r="C26" s="792">
        <f t="shared" si="27"/>
        <v>1000000</v>
      </c>
      <c r="D26" s="792">
        <f t="shared" si="27"/>
        <v>1000000</v>
      </c>
      <c r="E26" s="792">
        <f t="shared" si="27"/>
        <v>1000000</v>
      </c>
      <c r="F26" s="792">
        <f t="shared" si="27"/>
        <v>1000000</v>
      </c>
      <c r="G26" s="793">
        <f t="shared" si="27"/>
        <v>1000000</v>
      </c>
      <c r="H26" s="943">
        <f t="shared" si="28"/>
        <v>1</v>
      </c>
      <c r="I26" s="944">
        <f t="shared" si="28"/>
        <v>1</v>
      </c>
      <c r="J26" s="944">
        <f t="shared" si="28"/>
        <v>1</v>
      </c>
      <c r="K26" s="944">
        <f t="shared" si="28"/>
        <v>1</v>
      </c>
      <c r="L26" s="944">
        <f t="shared" si="28"/>
        <v>1</v>
      </c>
      <c r="M26" s="945">
        <f t="shared" si="28"/>
        <v>1</v>
      </c>
      <c r="N26" s="298">
        <f t="shared" si="29"/>
        <v>4186.6237947082564</v>
      </c>
      <c r="O26" s="299">
        <f t="shared" si="30"/>
        <v>34502.056457732579</v>
      </c>
      <c r="P26" s="299">
        <f t="shared" si="31"/>
        <v>34502.056457732579</v>
      </c>
      <c r="Q26" s="299">
        <f t="shared" si="32"/>
        <v>143994.69681333334</v>
      </c>
      <c r="R26" s="299">
        <f t="shared" si="33"/>
        <v>206706.40834575263</v>
      </c>
      <c r="S26" s="301">
        <f t="shared" si="34"/>
        <v>34502.056457732579</v>
      </c>
      <c r="T26" s="298">
        <f t="shared" si="35"/>
        <v>-30315.432663024323</v>
      </c>
      <c r="U26" s="299">
        <f t="shared" si="36"/>
        <v>-30315.432663024323</v>
      </c>
      <c r="V26" s="299">
        <f t="shared" si="37"/>
        <v>-139808.07301862509</v>
      </c>
      <c r="W26" s="299">
        <f t="shared" si="38"/>
        <v>-202519.78455104437</v>
      </c>
      <c r="X26" s="301">
        <f t="shared" si="39"/>
        <v>-30315.432663024323</v>
      </c>
      <c r="Y26" s="288">
        <f>IF($D$7=0,86,IF(AND(Y$22=TRUE,INDEX(CDRANGE_CLS2,MATCH($A26,$A$24:$A$67,0),MATCH(Y$20,$B$20:$G$20,0))&lt;$D$6/OPDAYS_Cls2),86,payback(C26,T26,disc_rate/12,85)))</f>
        <v>86</v>
      </c>
      <c r="Z26" s="289">
        <f>IF($D$7=0,86,IF(AND(Z$22=TRUE,INDEX(CDRANGE_CLS2,MATCH($A26,$A$24:$A$67,0),MATCH(Z$20,$B$20:$G$20,0))&lt;$D$6/OPDAYS_Cls2),86,payback(D26,U26,disc_rate/12,85)))</f>
        <v>86</v>
      </c>
      <c r="AA26" s="289">
        <f>IF($D$7=0,86,IF(AND(AA$22=TRUE,INDEX(CDRANGE_CLS2,MATCH($A26,$A$24:$A$67,0),MATCH(AA$20,$B$20:$G$20,0))&lt;$D$6/OPDAYS_Cls2),86,payback(E26,V26,disc_rate/12,85)))</f>
        <v>86</v>
      </c>
      <c r="AB26" s="289">
        <f>IF($D$7=0,86,IF(AND(AB$22=TRUE,INDEX(CDRANGE_CLS2,MATCH($A26,$A$24:$A$67,0),MATCH(AB$20,$B$20:$G$20,0))&lt;$D$6/OPDAYS_Cls2),86,payback(F26,W26,disc_rate/12,85)))</f>
        <v>86</v>
      </c>
      <c r="AC26" s="290">
        <f>IF($D$7=0,86,IF(AND(AC$22=TRUE,INDEX(CDRANGE_CLS2,MATCH($A26,$A$24:$A$67,0),MATCH(AC$20,$B$20:$G$20,0))&lt;$D$6/OPDAYS_Cls2),86,payback(G26,X26,disc_rate/12,85)))</f>
        <v>86</v>
      </c>
      <c r="AD26" s="305">
        <f t="shared" si="40"/>
        <v>0</v>
      </c>
      <c r="AE26" s="306">
        <f t="shared" si="41"/>
        <v>0</v>
      </c>
      <c r="AF26" s="306">
        <f t="shared" si="42"/>
        <v>0</v>
      </c>
      <c r="AG26" s="306">
        <f t="shared" si="43"/>
        <v>0</v>
      </c>
      <c r="AH26" s="307">
        <f t="shared" si="44"/>
        <v>0</v>
      </c>
      <c r="AI26" s="308">
        <f t="shared" si="45"/>
        <v>0</v>
      </c>
      <c r="AJ26" s="309">
        <f t="shared" si="46"/>
        <v>0</v>
      </c>
      <c r="AK26" s="309">
        <f t="shared" si="47"/>
        <v>0</v>
      </c>
      <c r="AL26" s="309">
        <f t="shared" si="48"/>
        <v>0</v>
      </c>
      <c r="AM26" s="570">
        <f t="shared" si="49"/>
        <v>0</v>
      </c>
      <c r="AN26" s="308">
        <f t="shared" si="61"/>
        <v>0</v>
      </c>
      <c r="AO26" s="309">
        <f t="shared" si="50"/>
        <v>0</v>
      </c>
      <c r="AP26" s="309">
        <f t="shared" si="50"/>
        <v>0</v>
      </c>
      <c r="AQ26" s="309">
        <f t="shared" si="50"/>
        <v>0</v>
      </c>
      <c r="AR26" s="310">
        <f t="shared" si="50"/>
        <v>0</v>
      </c>
      <c r="AS26" s="291">
        <f t="shared" si="51"/>
        <v>0</v>
      </c>
      <c r="AT26" s="292">
        <f t="shared" si="52"/>
        <v>0</v>
      </c>
      <c r="AU26" s="292">
        <f t="shared" si="53"/>
        <v>0</v>
      </c>
      <c r="AV26" s="292">
        <f t="shared" si="54"/>
        <v>0</v>
      </c>
      <c r="AW26" s="293">
        <f t="shared" si="55"/>
        <v>0</v>
      </c>
      <c r="AX26" s="305">
        <f t="shared" si="56"/>
        <v>0</v>
      </c>
      <c r="AY26" s="306">
        <f t="shared" si="57"/>
        <v>0</v>
      </c>
      <c r="AZ26" s="306">
        <f t="shared" si="58"/>
        <v>0</v>
      </c>
      <c r="BA26" s="292">
        <f t="shared" si="62"/>
        <v>0</v>
      </c>
      <c r="BB26" s="293">
        <f t="shared" si="63"/>
        <v>0</v>
      </c>
      <c r="BC26" s="291">
        <f t="shared" si="64"/>
        <v>1</v>
      </c>
      <c r="BD26" s="292">
        <f t="shared" si="65"/>
        <v>0</v>
      </c>
      <c r="BE26" s="292">
        <f t="shared" si="66"/>
        <v>0</v>
      </c>
      <c r="BF26" s="292">
        <f t="shared" si="67"/>
        <v>0</v>
      </c>
      <c r="BG26" s="292">
        <f t="shared" si="68"/>
        <v>0</v>
      </c>
      <c r="BH26" s="293">
        <f t="shared" si="69"/>
        <v>0</v>
      </c>
    </row>
    <row r="27" spans="1:60" ht="13.5" thickBot="1" x14ac:dyDescent="0.25">
      <c r="A27" s="311">
        <v>2010</v>
      </c>
      <c r="B27" s="794">
        <f t="shared" si="27"/>
        <v>72485</v>
      </c>
      <c r="C27" s="795">
        <f t="shared" si="27"/>
        <v>1000000</v>
      </c>
      <c r="D27" s="795">
        <f t="shared" si="27"/>
        <v>1000000</v>
      </c>
      <c r="E27" s="795">
        <f t="shared" si="27"/>
        <v>1000000</v>
      </c>
      <c r="F27" s="795">
        <f t="shared" si="27"/>
        <v>1000000</v>
      </c>
      <c r="G27" s="796">
        <f t="shared" si="27"/>
        <v>1000000</v>
      </c>
      <c r="H27" s="946">
        <f t="shared" si="28"/>
        <v>1</v>
      </c>
      <c r="I27" s="947">
        <f t="shared" si="28"/>
        <v>1</v>
      </c>
      <c r="J27" s="947">
        <f t="shared" si="28"/>
        <v>1</v>
      </c>
      <c r="K27" s="947">
        <f t="shared" si="28"/>
        <v>1</v>
      </c>
      <c r="L27" s="947">
        <f t="shared" si="28"/>
        <v>1</v>
      </c>
      <c r="M27" s="948">
        <f t="shared" si="28"/>
        <v>1</v>
      </c>
      <c r="N27" s="312">
        <f t="shared" si="29"/>
        <v>5099.9557437739049</v>
      </c>
      <c r="O27" s="313">
        <f t="shared" si="30"/>
        <v>42533.110740122422</v>
      </c>
      <c r="P27" s="313">
        <f t="shared" si="31"/>
        <v>42533.110740122422</v>
      </c>
      <c r="Q27" s="313">
        <f t="shared" si="32"/>
        <v>103555.909665</v>
      </c>
      <c r="R27" s="313">
        <f t="shared" si="33"/>
        <v>206706.40834575263</v>
      </c>
      <c r="S27" s="315">
        <f t="shared" si="34"/>
        <v>42533.110740122422</v>
      </c>
      <c r="T27" s="312">
        <f t="shared" si="35"/>
        <v>-37433.154996348516</v>
      </c>
      <c r="U27" s="313">
        <f t="shared" si="36"/>
        <v>-37433.154996348516</v>
      </c>
      <c r="V27" s="313">
        <f t="shared" si="37"/>
        <v>-98455.953921226101</v>
      </c>
      <c r="W27" s="313">
        <f t="shared" si="38"/>
        <v>-201606.45260197873</v>
      </c>
      <c r="X27" s="315">
        <f t="shared" si="39"/>
        <v>-37433.154996348516</v>
      </c>
      <c r="Y27" s="288">
        <f>IF($D$7=0,86,IF(AND(Y$22=TRUE,INDEX(CDRANGE_CLS2,MATCH($A27,$A$24:$A$67,0),MATCH(Y$20,$B$20:$G$20,0))&lt;$D$6/OPDAYS_Cls2),86,payback(C27,T27,disc_rate/12,85)))</f>
        <v>86</v>
      </c>
      <c r="Z27" s="289">
        <f>IF($D$7=0,86,IF(AND(Z$22=TRUE,INDEX(CDRANGE_CLS2,MATCH($A27,$A$24:$A$67,0),MATCH(Z$20,$B$20:$G$20,0))&lt;$D$6/OPDAYS_Cls2),86,payback(D27,U27,disc_rate/12,85)))</f>
        <v>86</v>
      </c>
      <c r="AA27" s="289">
        <f>IF($D$7=0,86,IF(AND(AA$22=TRUE,INDEX(CDRANGE_CLS2,MATCH($A27,$A$24:$A$67,0),MATCH(AA$20,$B$20:$G$20,0))&lt;$D$6/OPDAYS_Cls2),86,payback(E27,V27,disc_rate/12,85)))</f>
        <v>86</v>
      </c>
      <c r="AB27" s="289">
        <f>IF($D$7=0,86,IF(AND(AB$22=TRUE,INDEX(CDRANGE_CLS2,MATCH($A27,$A$24:$A$67,0),MATCH(AB$20,$B$20:$G$20,0))&lt;$D$6/OPDAYS_Cls2),86,payback(F27,W27,disc_rate/12,85)))</f>
        <v>86</v>
      </c>
      <c r="AC27" s="290">
        <f>IF($D$7=0,86,IF(AND(AC$22=TRUE,INDEX(CDRANGE_CLS2,MATCH($A27,$A$24:$A$67,0),MATCH(AC$20,$B$20:$G$20,0))&lt;$D$6/OPDAYS_Cls2),86,payback(G27,X27,disc_rate/12,85)))</f>
        <v>86</v>
      </c>
      <c r="AD27" s="319">
        <f t="shared" si="40"/>
        <v>0</v>
      </c>
      <c r="AE27" s="320">
        <f t="shared" si="41"/>
        <v>0</v>
      </c>
      <c r="AF27" s="320">
        <f t="shared" si="42"/>
        <v>0</v>
      </c>
      <c r="AG27" s="320">
        <f t="shared" si="43"/>
        <v>0</v>
      </c>
      <c r="AH27" s="321">
        <f t="shared" si="44"/>
        <v>0</v>
      </c>
      <c r="AI27" s="322">
        <f t="shared" si="45"/>
        <v>0</v>
      </c>
      <c r="AJ27" s="323">
        <f t="shared" si="46"/>
        <v>0</v>
      </c>
      <c r="AK27" s="323">
        <f t="shared" si="47"/>
        <v>0</v>
      </c>
      <c r="AL27" s="323">
        <f t="shared" si="48"/>
        <v>0</v>
      </c>
      <c r="AM27" s="571">
        <f t="shared" si="49"/>
        <v>0</v>
      </c>
      <c r="AN27" s="322">
        <f t="shared" si="61"/>
        <v>0</v>
      </c>
      <c r="AO27" s="323">
        <f t="shared" si="50"/>
        <v>0</v>
      </c>
      <c r="AP27" s="323">
        <f t="shared" si="50"/>
        <v>0</v>
      </c>
      <c r="AQ27" s="323">
        <f t="shared" si="50"/>
        <v>0</v>
      </c>
      <c r="AR27" s="324">
        <f t="shared" si="50"/>
        <v>0</v>
      </c>
      <c r="AS27" s="328">
        <f t="shared" si="51"/>
        <v>0</v>
      </c>
      <c r="AT27" s="329">
        <f t="shared" si="52"/>
        <v>0</v>
      </c>
      <c r="AU27" s="329">
        <f t="shared" si="53"/>
        <v>0</v>
      </c>
      <c r="AV27" s="329">
        <f t="shared" si="54"/>
        <v>0</v>
      </c>
      <c r="AW27" s="330">
        <f t="shared" si="55"/>
        <v>0</v>
      </c>
      <c r="AX27" s="319">
        <f t="shared" si="56"/>
        <v>0</v>
      </c>
      <c r="AY27" s="320">
        <f t="shared" si="57"/>
        <v>0</v>
      </c>
      <c r="AZ27" s="320">
        <f t="shared" si="58"/>
        <v>0</v>
      </c>
      <c r="BA27" s="320">
        <f t="shared" si="62"/>
        <v>0</v>
      </c>
      <c r="BB27" s="321">
        <f t="shared" si="63"/>
        <v>0</v>
      </c>
      <c r="BC27" s="319">
        <f t="shared" si="64"/>
        <v>1</v>
      </c>
      <c r="BD27" s="320">
        <f t="shared" si="65"/>
        <v>0</v>
      </c>
      <c r="BE27" s="320">
        <f t="shared" si="66"/>
        <v>0</v>
      </c>
      <c r="BF27" s="320">
        <f t="shared" si="67"/>
        <v>0</v>
      </c>
      <c r="BG27" s="320">
        <f t="shared" si="68"/>
        <v>0</v>
      </c>
      <c r="BH27" s="321">
        <f t="shared" si="69"/>
        <v>0</v>
      </c>
    </row>
    <row r="28" spans="1:60" x14ac:dyDescent="0.2">
      <c r="A28" s="325">
        <v>2011</v>
      </c>
      <c r="B28" s="797">
        <f t="shared" si="27"/>
        <v>72485</v>
      </c>
      <c r="C28" s="798">
        <f t="shared" si="27"/>
        <v>1000000</v>
      </c>
      <c r="D28" s="798">
        <f t="shared" si="27"/>
        <v>1000000</v>
      </c>
      <c r="E28" s="798">
        <f t="shared" si="27"/>
        <v>1000000</v>
      </c>
      <c r="F28" s="798">
        <f t="shared" si="27"/>
        <v>1000000</v>
      </c>
      <c r="G28" s="799">
        <f t="shared" si="27"/>
        <v>1000000</v>
      </c>
      <c r="H28" s="949">
        <f t="shared" si="28"/>
        <v>1</v>
      </c>
      <c r="I28" s="950">
        <f t="shared" si="28"/>
        <v>1</v>
      </c>
      <c r="J28" s="950">
        <f t="shared" si="28"/>
        <v>1</v>
      </c>
      <c r="K28" s="950">
        <f t="shared" si="28"/>
        <v>1</v>
      </c>
      <c r="L28" s="950">
        <f t="shared" si="28"/>
        <v>1</v>
      </c>
      <c r="M28" s="951">
        <f t="shared" si="28"/>
        <v>1</v>
      </c>
      <c r="N28" s="284">
        <f t="shared" si="29"/>
        <v>6643.9636447436542</v>
      </c>
      <c r="O28" s="285">
        <f t="shared" si="30"/>
        <v>56307.178631051742</v>
      </c>
      <c r="P28" s="285">
        <f t="shared" si="31"/>
        <v>56307.178631051742</v>
      </c>
      <c r="Q28" s="285">
        <f t="shared" si="32"/>
        <v>81807.20180000001</v>
      </c>
      <c r="R28" s="285">
        <f t="shared" si="33"/>
        <v>206706.40834575263</v>
      </c>
      <c r="S28" s="287">
        <f t="shared" si="34"/>
        <v>56307.178631051742</v>
      </c>
      <c r="T28" s="284">
        <f t="shared" si="35"/>
        <v>-49663.214986308085</v>
      </c>
      <c r="U28" s="285">
        <f t="shared" si="36"/>
        <v>-49663.214986308085</v>
      </c>
      <c r="V28" s="285">
        <f t="shared" si="37"/>
        <v>-75163.23815525636</v>
      </c>
      <c r="W28" s="285">
        <f t="shared" si="38"/>
        <v>-200062.44470100896</v>
      </c>
      <c r="X28" s="287">
        <f t="shared" si="39"/>
        <v>-49663.214986308085</v>
      </c>
      <c r="Y28" s="288">
        <f>IF($D$7=0,86,IF(AND(Y$22=TRUE,INDEX(CDRANGE_CLS2,MATCH($A28,$A$24:$A$67,0),MATCH(Y$20,$B$20:$G$20,0))&lt;$D$6/OPDAYS_Cls2),86,payback(C28,T28,disc_rate/12,85)))</f>
        <v>86</v>
      </c>
      <c r="Z28" s="289">
        <f>IF($D$7=0,86,IF(AND(Z$22=TRUE,INDEX(CDRANGE_CLS2,MATCH($A28,$A$24:$A$67,0),MATCH(Z$20,$B$20:$G$20,0))&lt;$D$6/OPDAYS_Cls2),86,payback(D28,U28,disc_rate/12,85)))</f>
        <v>86</v>
      </c>
      <c r="AA28" s="289">
        <f>IF($D$7=0,86,IF(AND(AA$22=TRUE,INDEX(CDRANGE_CLS2,MATCH($A28,$A$24:$A$67,0),MATCH(AA$20,$B$20:$G$20,0))&lt;$D$6/OPDAYS_Cls2),86,payback(E28,V28,disc_rate/12,85)))</f>
        <v>86</v>
      </c>
      <c r="AB28" s="289">
        <f>IF($D$7=0,86,IF(AND(AB$22=TRUE,INDEX(CDRANGE_CLS2,MATCH($A28,$A$24:$A$67,0),MATCH(AB$20,$B$20:$G$20,0))&lt;$D$6/OPDAYS_Cls2),86,payback(F28,W28,disc_rate/12,85)))</f>
        <v>86</v>
      </c>
      <c r="AC28" s="290">
        <f>IF($D$7=0,86,IF(AND(AC$22=TRUE,INDEX(CDRANGE_CLS2,MATCH($A28,$A$24:$A$67,0),MATCH(AC$20,$B$20:$G$20,0))&lt;$D$6/OPDAYS_Cls2),86,payback(G28,X28,disc_rate/12,85)))</f>
        <v>86</v>
      </c>
      <c r="AD28" s="291">
        <f t="shared" si="40"/>
        <v>0</v>
      </c>
      <c r="AE28" s="292">
        <f t="shared" si="41"/>
        <v>0</v>
      </c>
      <c r="AF28" s="292">
        <f t="shared" si="42"/>
        <v>0</v>
      </c>
      <c r="AG28" s="292">
        <f t="shared" si="43"/>
        <v>0</v>
      </c>
      <c r="AH28" s="293">
        <f t="shared" si="44"/>
        <v>0</v>
      </c>
      <c r="AI28" s="294">
        <f t="shared" si="45"/>
        <v>0</v>
      </c>
      <c r="AJ28" s="295">
        <f t="shared" si="46"/>
        <v>0</v>
      </c>
      <c r="AK28" s="295">
        <f t="shared" si="47"/>
        <v>0</v>
      </c>
      <c r="AL28" s="295">
        <f t="shared" si="48"/>
        <v>0</v>
      </c>
      <c r="AM28" s="296">
        <f t="shared" si="49"/>
        <v>0</v>
      </c>
      <c r="AN28" s="294">
        <f t="shared" si="61"/>
        <v>0</v>
      </c>
      <c r="AO28" s="295">
        <f t="shared" si="50"/>
        <v>0</v>
      </c>
      <c r="AP28" s="295">
        <f t="shared" si="50"/>
        <v>0</v>
      </c>
      <c r="AQ28" s="295">
        <f t="shared" si="50"/>
        <v>0</v>
      </c>
      <c r="AR28" s="296">
        <f t="shared" si="50"/>
        <v>0</v>
      </c>
      <c r="AS28" s="291">
        <f t="shared" si="51"/>
        <v>0</v>
      </c>
      <c r="AT28" s="292">
        <f t="shared" si="52"/>
        <v>0</v>
      </c>
      <c r="AU28" s="292">
        <f t="shared" si="53"/>
        <v>0</v>
      </c>
      <c r="AV28" s="292">
        <f t="shared" si="54"/>
        <v>0</v>
      </c>
      <c r="AW28" s="293">
        <f t="shared" si="55"/>
        <v>0</v>
      </c>
      <c r="AX28" s="291">
        <f t="shared" si="56"/>
        <v>0</v>
      </c>
      <c r="AY28" s="292">
        <f t="shared" si="57"/>
        <v>0</v>
      </c>
      <c r="AZ28" s="292">
        <f t="shared" si="58"/>
        <v>0</v>
      </c>
      <c r="BA28" s="292">
        <f t="shared" si="62"/>
        <v>0</v>
      </c>
      <c r="BB28" s="293">
        <f t="shared" si="63"/>
        <v>0</v>
      </c>
      <c r="BC28" s="291">
        <f t="shared" si="64"/>
        <v>1</v>
      </c>
      <c r="BD28" s="292">
        <f t="shared" si="65"/>
        <v>0</v>
      </c>
      <c r="BE28" s="292">
        <f t="shared" si="66"/>
        <v>0</v>
      </c>
      <c r="BF28" s="292">
        <f t="shared" si="67"/>
        <v>0</v>
      </c>
      <c r="BG28" s="292">
        <f t="shared" si="68"/>
        <v>0</v>
      </c>
      <c r="BH28" s="293">
        <f t="shared" si="69"/>
        <v>0</v>
      </c>
    </row>
    <row r="29" spans="1:60" x14ac:dyDescent="0.2">
      <c r="A29" s="326">
        <v>2012</v>
      </c>
      <c r="B29" s="800">
        <f t="shared" si="27"/>
        <v>72485</v>
      </c>
      <c r="C29" s="801">
        <f t="shared" si="27"/>
        <v>1000000</v>
      </c>
      <c r="D29" s="801">
        <f t="shared" si="27"/>
        <v>1000000</v>
      </c>
      <c r="E29" s="801">
        <f t="shared" si="27"/>
        <v>1000000</v>
      </c>
      <c r="F29" s="801">
        <f t="shared" si="27"/>
        <v>1000000</v>
      </c>
      <c r="G29" s="802">
        <f t="shared" si="27"/>
        <v>1000000</v>
      </c>
      <c r="H29" s="952">
        <f t="shared" si="28"/>
        <v>1</v>
      </c>
      <c r="I29" s="953">
        <f t="shared" si="28"/>
        <v>1</v>
      </c>
      <c r="J29" s="953">
        <f t="shared" si="28"/>
        <v>1</v>
      </c>
      <c r="K29" s="953">
        <f t="shared" si="28"/>
        <v>1</v>
      </c>
      <c r="L29" s="953">
        <f t="shared" si="28"/>
        <v>1</v>
      </c>
      <c r="M29" s="954">
        <f t="shared" si="28"/>
        <v>1</v>
      </c>
      <c r="N29" s="298">
        <f t="shared" si="29"/>
        <v>6975.3036776624722</v>
      </c>
      <c r="O29" s="299">
        <f t="shared" si="30"/>
        <v>59388.516213891824</v>
      </c>
      <c r="P29" s="299">
        <f t="shared" si="31"/>
        <v>59388.516213891824</v>
      </c>
      <c r="Q29" s="299">
        <f t="shared" si="32"/>
        <v>69925.350716666653</v>
      </c>
      <c r="R29" s="299">
        <f t="shared" si="33"/>
        <v>206706.40834575263</v>
      </c>
      <c r="S29" s="301">
        <f t="shared" si="34"/>
        <v>59388.516213891824</v>
      </c>
      <c r="T29" s="298">
        <f t="shared" si="35"/>
        <v>-52413.212536229352</v>
      </c>
      <c r="U29" s="299">
        <f t="shared" si="36"/>
        <v>-52413.212536229352</v>
      </c>
      <c r="V29" s="299">
        <f t="shared" si="37"/>
        <v>-62950.047039004181</v>
      </c>
      <c r="W29" s="299">
        <f t="shared" si="38"/>
        <v>-199731.10466809015</v>
      </c>
      <c r="X29" s="301">
        <f t="shared" si="39"/>
        <v>-52413.212536229352</v>
      </c>
      <c r="Y29" s="288">
        <f>IF($D$7=0,86,IF(AND(Y$22=TRUE,INDEX(CDRANGE_CLS2,MATCH($A29,$A$24:$A$67,0),MATCH(Y$20,$B$20:$G$20,0))&lt;$D$6/OPDAYS_Cls2),86,payback(C29,T29,disc_rate/12,85)))</f>
        <v>86</v>
      </c>
      <c r="Z29" s="289">
        <f>IF($D$7=0,86,IF(AND(Z$22=TRUE,INDEX(CDRANGE_CLS2,MATCH($A29,$A$24:$A$67,0),MATCH(Z$20,$B$20:$G$20,0))&lt;$D$6/OPDAYS_Cls2),86,payback(D29,U29,disc_rate/12,85)))</f>
        <v>86</v>
      </c>
      <c r="AA29" s="289">
        <f>IF($D$7=0,86,IF(AND(AA$22=TRUE,INDEX(CDRANGE_CLS2,MATCH($A29,$A$24:$A$67,0),MATCH(AA$20,$B$20:$G$20,0))&lt;$D$6/OPDAYS_Cls2),86,payback(E29,V29,disc_rate/12,85)))</f>
        <v>86</v>
      </c>
      <c r="AB29" s="289">
        <f>IF($D$7=0,86,IF(AND(AB$22=TRUE,INDEX(CDRANGE_CLS2,MATCH($A29,$A$24:$A$67,0),MATCH(AB$20,$B$20:$G$20,0))&lt;$D$6/OPDAYS_Cls2),86,payback(F29,W29,disc_rate/12,85)))</f>
        <v>86</v>
      </c>
      <c r="AC29" s="290">
        <f>IF($D$7=0,86,IF(AND(AC$22=TRUE,INDEX(CDRANGE_CLS2,MATCH($A29,$A$24:$A$67,0),MATCH(AC$20,$B$20:$G$20,0))&lt;$D$6/OPDAYS_Cls2),86,payback(G29,X29,disc_rate/12,85)))</f>
        <v>86</v>
      </c>
      <c r="AD29" s="305">
        <f t="shared" si="40"/>
        <v>0</v>
      </c>
      <c r="AE29" s="306">
        <f t="shared" si="41"/>
        <v>0</v>
      </c>
      <c r="AF29" s="306">
        <f t="shared" si="42"/>
        <v>0</v>
      </c>
      <c r="AG29" s="306">
        <f t="shared" si="43"/>
        <v>0</v>
      </c>
      <c r="AH29" s="307">
        <f t="shared" si="44"/>
        <v>0</v>
      </c>
      <c r="AI29" s="308">
        <f t="shared" si="45"/>
        <v>0</v>
      </c>
      <c r="AJ29" s="309">
        <f t="shared" si="46"/>
        <v>0</v>
      </c>
      <c r="AK29" s="309">
        <f t="shared" si="47"/>
        <v>0</v>
      </c>
      <c r="AL29" s="309">
        <f t="shared" si="48"/>
        <v>0</v>
      </c>
      <c r="AM29" s="310">
        <f t="shared" si="49"/>
        <v>0</v>
      </c>
      <c r="AN29" s="308">
        <f t="shared" si="61"/>
        <v>0</v>
      </c>
      <c r="AO29" s="309">
        <f t="shared" si="50"/>
        <v>0</v>
      </c>
      <c r="AP29" s="309">
        <f t="shared" si="50"/>
        <v>0</v>
      </c>
      <c r="AQ29" s="309">
        <f t="shared" si="50"/>
        <v>0</v>
      </c>
      <c r="AR29" s="310">
        <f t="shared" si="50"/>
        <v>0</v>
      </c>
      <c r="AS29" s="291">
        <f t="shared" si="51"/>
        <v>0</v>
      </c>
      <c r="AT29" s="292">
        <f t="shared" si="52"/>
        <v>0</v>
      </c>
      <c r="AU29" s="292">
        <f t="shared" si="53"/>
        <v>0</v>
      </c>
      <c r="AV29" s="292">
        <f t="shared" si="54"/>
        <v>0</v>
      </c>
      <c r="AW29" s="293">
        <f t="shared" si="55"/>
        <v>0</v>
      </c>
      <c r="AX29" s="305">
        <f t="shared" si="56"/>
        <v>0</v>
      </c>
      <c r="AY29" s="306">
        <f t="shared" si="57"/>
        <v>0</v>
      </c>
      <c r="AZ29" s="306">
        <f t="shared" si="58"/>
        <v>0</v>
      </c>
      <c r="BA29" s="292">
        <f t="shared" si="62"/>
        <v>0</v>
      </c>
      <c r="BB29" s="293">
        <f t="shared" si="63"/>
        <v>0</v>
      </c>
      <c r="BC29" s="291">
        <f t="shared" si="64"/>
        <v>1</v>
      </c>
      <c r="BD29" s="292">
        <f t="shared" si="65"/>
        <v>0</v>
      </c>
      <c r="BE29" s="292">
        <f t="shared" si="66"/>
        <v>0</v>
      </c>
      <c r="BF29" s="292">
        <f t="shared" si="67"/>
        <v>0</v>
      </c>
      <c r="BG29" s="292">
        <f t="shared" si="68"/>
        <v>0</v>
      </c>
      <c r="BH29" s="293">
        <f t="shared" si="69"/>
        <v>0</v>
      </c>
    </row>
    <row r="30" spans="1:60" x14ac:dyDescent="0.2">
      <c r="A30" s="326">
        <v>2013</v>
      </c>
      <c r="B30" s="800">
        <f t="shared" si="27"/>
        <v>72485</v>
      </c>
      <c r="C30" s="801">
        <f t="shared" si="27"/>
        <v>1000000</v>
      </c>
      <c r="D30" s="801">
        <f t="shared" si="27"/>
        <v>1000000</v>
      </c>
      <c r="E30" s="801">
        <f t="shared" si="27"/>
        <v>1000000</v>
      </c>
      <c r="F30" s="801">
        <f t="shared" si="27"/>
        <v>1000000</v>
      </c>
      <c r="G30" s="802">
        <f t="shared" si="27"/>
        <v>1000000</v>
      </c>
      <c r="H30" s="952">
        <f t="shared" si="28"/>
        <v>1</v>
      </c>
      <c r="I30" s="953">
        <f t="shared" si="28"/>
        <v>1</v>
      </c>
      <c r="J30" s="953">
        <f t="shared" si="28"/>
        <v>1</v>
      </c>
      <c r="K30" s="953">
        <f t="shared" si="28"/>
        <v>1</v>
      </c>
      <c r="L30" s="953">
        <f t="shared" si="28"/>
        <v>1</v>
      </c>
      <c r="M30" s="954">
        <f t="shared" si="28"/>
        <v>1</v>
      </c>
      <c r="N30" s="298">
        <f t="shared" si="29"/>
        <v>6965.3025287049286</v>
      </c>
      <c r="O30" s="299">
        <f t="shared" si="30"/>
        <v>59563.130469975207</v>
      </c>
      <c r="P30" s="299">
        <f t="shared" si="31"/>
        <v>59563.130469975207</v>
      </c>
      <c r="Q30" s="299">
        <f t="shared" si="32"/>
        <v>71675.832559999995</v>
      </c>
      <c r="R30" s="299">
        <f t="shared" si="33"/>
        <v>206706.40834575263</v>
      </c>
      <c r="S30" s="301">
        <f t="shared" si="34"/>
        <v>59563.130469975207</v>
      </c>
      <c r="T30" s="298">
        <f t="shared" si="35"/>
        <v>-52597.827941270276</v>
      </c>
      <c r="U30" s="299">
        <f t="shared" si="36"/>
        <v>-52597.827941270276</v>
      </c>
      <c r="V30" s="299">
        <f t="shared" si="37"/>
        <v>-64710.530031295064</v>
      </c>
      <c r="W30" s="299">
        <f t="shared" si="38"/>
        <v>-199741.1058170477</v>
      </c>
      <c r="X30" s="301">
        <f t="shared" si="39"/>
        <v>-52597.827941270276</v>
      </c>
      <c r="Y30" s="288">
        <f>IF($D$7=0,86,IF(AND(Y$22=TRUE,INDEX(CDRANGE_CLS2,MATCH($A30,$A$24:$A$67,0),MATCH(Y$20,$B$20:$G$20,0))&lt;$D$6/OPDAYS_Cls2),86,payback(C30,T30,disc_rate/12,85)))</f>
        <v>86</v>
      </c>
      <c r="Z30" s="289">
        <f>IF($D$7=0,86,IF(AND(Z$22=TRUE,INDEX(CDRANGE_CLS2,MATCH($A30,$A$24:$A$67,0),MATCH(Z$20,$B$20:$G$20,0))&lt;$D$6/OPDAYS_Cls2),86,payback(D30,U30,disc_rate/12,85)))</f>
        <v>86</v>
      </c>
      <c r="AA30" s="289">
        <f>IF($D$7=0,86,IF(AND(AA$22=TRUE,INDEX(CDRANGE_CLS2,MATCH($A30,$A$24:$A$67,0),MATCH(AA$20,$B$20:$G$20,0))&lt;$D$6/OPDAYS_Cls2),86,payback(E30,V30,disc_rate/12,85)))</f>
        <v>86</v>
      </c>
      <c r="AB30" s="289">
        <f>IF($D$7=0,86,IF(AND(AB$22=TRUE,INDEX(CDRANGE_CLS2,MATCH($A30,$A$24:$A$67,0),MATCH(AB$20,$B$20:$G$20,0))&lt;$D$6/OPDAYS_Cls2),86,payback(F30,W30,disc_rate/12,85)))</f>
        <v>86</v>
      </c>
      <c r="AC30" s="290">
        <f>IF($D$7=0,86,IF(AND(AC$22=TRUE,INDEX(CDRANGE_CLS2,MATCH($A30,$A$24:$A$67,0),MATCH(AC$20,$B$20:$G$20,0))&lt;$D$6/OPDAYS_Cls2),86,payback(G30,X30,disc_rate/12,85)))</f>
        <v>86</v>
      </c>
      <c r="AD30" s="305">
        <f t="shared" si="40"/>
        <v>0</v>
      </c>
      <c r="AE30" s="306">
        <f t="shared" si="41"/>
        <v>0</v>
      </c>
      <c r="AF30" s="306">
        <f t="shared" si="42"/>
        <v>0</v>
      </c>
      <c r="AG30" s="306">
        <f t="shared" si="43"/>
        <v>0</v>
      </c>
      <c r="AH30" s="307">
        <f t="shared" si="44"/>
        <v>0</v>
      </c>
      <c r="AI30" s="308">
        <f t="shared" si="45"/>
        <v>0</v>
      </c>
      <c r="AJ30" s="309">
        <f t="shared" si="46"/>
        <v>0</v>
      </c>
      <c r="AK30" s="309">
        <f t="shared" si="47"/>
        <v>0</v>
      </c>
      <c r="AL30" s="309">
        <f t="shared" si="48"/>
        <v>0</v>
      </c>
      <c r="AM30" s="310">
        <f t="shared" si="49"/>
        <v>0</v>
      </c>
      <c r="AN30" s="308">
        <f t="shared" si="61"/>
        <v>0</v>
      </c>
      <c r="AO30" s="309">
        <f t="shared" si="50"/>
        <v>0</v>
      </c>
      <c r="AP30" s="309">
        <f t="shared" si="50"/>
        <v>0</v>
      </c>
      <c r="AQ30" s="309">
        <f t="shared" si="50"/>
        <v>0</v>
      </c>
      <c r="AR30" s="310">
        <f t="shared" si="50"/>
        <v>0</v>
      </c>
      <c r="AS30" s="291">
        <f t="shared" si="51"/>
        <v>0</v>
      </c>
      <c r="AT30" s="292">
        <f t="shared" si="52"/>
        <v>0</v>
      </c>
      <c r="AU30" s="292">
        <f t="shared" si="53"/>
        <v>0</v>
      </c>
      <c r="AV30" s="292">
        <f t="shared" si="54"/>
        <v>0</v>
      </c>
      <c r="AW30" s="293">
        <f t="shared" si="55"/>
        <v>0</v>
      </c>
      <c r="AX30" s="305">
        <f t="shared" si="56"/>
        <v>0</v>
      </c>
      <c r="AY30" s="306">
        <f t="shared" si="57"/>
        <v>0</v>
      </c>
      <c r="AZ30" s="306">
        <f t="shared" si="58"/>
        <v>0</v>
      </c>
      <c r="BA30" s="292">
        <f t="shared" si="62"/>
        <v>0</v>
      </c>
      <c r="BB30" s="293">
        <f t="shared" si="63"/>
        <v>0</v>
      </c>
      <c r="BC30" s="291">
        <f t="shared" si="64"/>
        <v>1</v>
      </c>
      <c r="BD30" s="292">
        <f t="shared" si="65"/>
        <v>0</v>
      </c>
      <c r="BE30" s="292">
        <f t="shared" si="66"/>
        <v>0</v>
      </c>
      <c r="BF30" s="292">
        <f t="shared" si="67"/>
        <v>0</v>
      </c>
      <c r="BG30" s="292">
        <f t="shared" si="68"/>
        <v>0</v>
      </c>
      <c r="BH30" s="293">
        <f t="shared" si="69"/>
        <v>0</v>
      </c>
    </row>
    <row r="31" spans="1:60" x14ac:dyDescent="0.2">
      <c r="A31" s="326">
        <v>2014</v>
      </c>
      <c r="B31" s="800">
        <f t="shared" si="27"/>
        <v>72485</v>
      </c>
      <c r="C31" s="801">
        <f t="shared" si="27"/>
        <v>1000000</v>
      </c>
      <c r="D31" s="801">
        <f t="shared" si="27"/>
        <v>1000000</v>
      </c>
      <c r="E31" s="801">
        <f t="shared" si="27"/>
        <v>1000000</v>
      </c>
      <c r="F31" s="801">
        <f t="shared" si="27"/>
        <v>1000000</v>
      </c>
      <c r="G31" s="802">
        <f t="shared" si="27"/>
        <v>1000000</v>
      </c>
      <c r="H31" s="952">
        <f t="shared" si="28"/>
        <v>1</v>
      </c>
      <c r="I31" s="953">
        <f t="shared" si="28"/>
        <v>1</v>
      </c>
      <c r="J31" s="953">
        <f t="shared" si="28"/>
        <v>1</v>
      </c>
      <c r="K31" s="953">
        <f t="shared" si="28"/>
        <v>1</v>
      </c>
      <c r="L31" s="953">
        <f t="shared" si="28"/>
        <v>1</v>
      </c>
      <c r="M31" s="954">
        <f t="shared" si="28"/>
        <v>1</v>
      </c>
      <c r="N31" s="298">
        <f t="shared" si="29"/>
        <v>6767.2262481029866</v>
      </c>
      <c r="O31" s="299">
        <f t="shared" si="30"/>
        <v>59028.494460464404</v>
      </c>
      <c r="P31" s="299">
        <f t="shared" si="31"/>
        <v>59028.494460464404</v>
      </c>
      <c r="Q31" s="299">
        <f t="shared" si="32"/>
        <v>74392.052451666692</v>
      </c>
      <c r="R31" s="299">
        <f t="shared" si="33"/>
        <v>206706.40834575263</v>
      </c>
      <c r="S31" s="301">
        <f t="shared" si="34"/>
        <v>59028.494460464404</v>
      </c>
      <c r="T31" s="298">
        <f t="shared" si="35"/>
        <v>-52261.268212361421</v>
      </c>
      <c r="U31" s="299">
        <f t="shared" si="36"/>
        <v>-52261.268212361421</v>
      </c>
      <c r="V31" s="299">
        <f t="shared" si="37"/>
        <v>-67624.826203563702</v>
      </c>
      <c r="W31" s="299">
        <f t="shared" si="38"/>
        <v>-199939.18209764964</v>
      </c>
      <c r="X31" s="301">
        <f t="shared" si="39"/>
        <v>-52261.268212361421</v>
      </c>
      <c r="Y31" s="288">
        <f>IF($D$7=0,86,IF(AND(Y$22=TRUE,INDEX(CDRANGE_CLS2,MATCH($A31,$A$24:$A$67,0),MATCH(Y$20,$B$20:$G$20,0))&lt;$D$6/OPDAYS_Cls2),86,payback(C31,T31,disc_rate/12,85)))</f>
        <v>86</v>
      </c>
      <c r="Z31" s="289">
        <f>IF($D$7=0,86,IF(AND(Z$22=TRUE,INDEX(CDRANGE_CLS2,MATCH($A31,$A$24:$A$67,0),MATCH(Z$20,$B$20:$G$20,0))&lt;$D$6/OPDAYS_Cls2),86,payback(D31,U31,disc_rate/12,85)))</f>
        <v>86</v>
      </c>
      <c r="AA31" s="289">
        <f>IF($D$7=0,86,IF(AND(AA$22=TRUE,INDEX(CDRANGE_CLS2,MATCH($A31,$A$24:$A$67,0),MATCH(AA$20,$B$20:$G$20,0))&lt;$D$6/OPDAYS_Cls2),86,payback(E31,V31,disc_rate/12,85)))</f>
        <v>86</v>
      </c>
      <c r="AB31" s="289">
        <f>IF($D$7=0,86,IF(AND(AB$22=TRUE,INDEX(CDRANGE_CLS2,MATCH($A31,$A$24:$A$67,0),MATCH(AB$20,$B$20:$G$20,0))&lt;$D$6/OPDAYS_Cls2),86,payback(F31,W31,disc_rate/12,85)))</f>
        <v>86</v>
      </c>
      <c r="AC31" s="290">
        <f>IF($D$7=0,86,IF(AND(AC$22=TRUE,INDEX(CDRANGE_CLS2,MATCH($A31,$A$24:$A$67,0),MATCH(AC$20,$B$20:$G$20,0))&lt;$D$6/OPDAYS_Cls2),86,payback(G31,X31,disc_rate/12,85)))</f>
        <v>86</v>
      </c>
      <c r="AD31" s="305">
        <f t="shared" si="40"/>
        <v>0</v>
      </c>
      <c r="AE31" s="306">
        <f t="shared" si="41"/>
        <v>0</v>
      </c>
      <c r="AF31" s="306">
        <f t="shared" si="42"/>
        <v>0</v>
      </c>
      <c r="AG31" s="306">
        <f t="shared" si="43"/>
        <v>0</v>
      </c>
      <c r="AH31" s="307">
        <f t="shared" si="44"/>
        <v>0</v>
      </c>
      <c r="AI31" s="308">
        <f t="shared" si="45"/>
        <v>0</v>
      </c>
      <c r="AJ31" s="309">
        <f t="shared" si="46"/>
        <v>0</v>
      </c>
      <c r="AK31" s="309">
        <f t="shared" si="47"/>
        <v>0</v>
      </c>
      <c r="AL31" s="309">
        <f t="shared" si="48"/>
        <v>0</v>
      </c>
      <c r="AM31" s="310">
        <f t="shared" si="49"/>
        <v>0</v>
      </c>
      <c r="AN31" s="308">
        <f t="shared" si="61"/>
        <v>0</v>
      </c>
      <c r="AO31" s="309">
        <f t="shared" si="50"/>
        <v>0</v>
      </c>
      <c r="AP31" s="309">
        <f t="shared" si="50"/>
        <v>0</v>
      </c>
      <c r="AQ31" s="309">
        <f t="shared" si="50"/>
        <v>0</v>
      </c>
      <c r="AR31" s="310">
        <f t="shared" si="50"/>
        <v>0</v>
      </c>
      <c r="AS31" s="291">
        <f t="shared" si="51"/>
        <v>0</v>
      </c>
      <c r="AT31" s="292">
        <f t="shared" si="52"/>
        <v>0</v>
      </c>
      <c r="AU31" s="292">
        <f t="shared" si="53"/>
        <v>0</v>
      </c>
      <c r="AV31" s="292">
        <f t="shared" si="54"/>
        <v>0</v>
      </c>
      <c r="AW31" s="293">
        <f t="shared" si="55"/>
        <v>0</v>
      </c>
      <c r="AX31" s="305">
        <f t="shared" si="56"/>
        <v>0</v>
      </c>
      <c r="AY31" s="306">
        <f t="shared" si="57"/>
        <v>0</v>
      </c>
      <c r="AZ31" s="306">
        <f t="shared" si="58"/>
        <v>0</v>
      </c>
      <c r="BA31" s="292">
        <f t="shared" si="62"/>
        <v>0</v>
      </c>
      <c r="BB31" s="293">
        <f t="shared" si="63"/>
        <v>0</v>
      </c>
      <c r="BC31" s="291">
        <f t="shared" si="64"/>
        <v>1</v>
      </c>
      <c r="BD31" s="292">
        <f t="shared" si="65"/>
        <v>0</v>
      </c>
      <c r="BE31" s="292">
        <f t="shared" si="66"/>
        <v>0</v>
      </c>
      <c r="BF31" s="292">
        <f t="shared" si="67"/>
        <v>0</v>
      </c>
      <c r="BG31" s="292">
        <f t="shared" si="68"/>
        <v>0</v>
      </c>
      <c r="BH31" s="293">
        <f t="shared" si="69"/>
        <v>0</v>
      </c>
    </row>
    <row r="32" spans="1:60" ht="13.5" thickBot="1" x14ac:dyDescent="0.25">
      <c r="A32" s="311">
        <v>2015</v>
      </c>
      <c r="B32" s="803">
        <f t="shared" si="27"/>
        <v>72485</v>
      </c>
      <c r="C32" s="804">
        <f t="shared" si="27"/>
        <v>1000000</v>
      </c>
      <c r="D32" s="804">
        <f t="shared" si="27"/>
        <v>1000000</v>
      </c>
      <c r="E32" s="804">
        <f t="shared" si="27"/>
        <v>1000000</v>
      </c>
      <c r="F32" s="804">
        <f t="shared" si="27"/>
        <v>1000000</v>
      </c>
      <c r="G32" s="805">
        <f t="shared" si="27"/>
        <v>1000000</v>
      </c>
      <c r="H32" s="946">
        <f t="shared" si="28"/>
        <v>1</v>
      </c>
      <c r="I32" s="947">
        <f t="shared" si="28"/>
        <v>1</v>
      </c>
      <c r="J32" s="947">
        <f t="shared" si="28"/>
        <v>1</v>
      </c>
      <c r="K32" s="947">
        <f t="shared" si="28"/>
        <v>1</v>
      </c>
      <c r="L32" s="947">
        <f t="shared" si="28"/>
        <v>1</v>
      </c>
      <c r="M32" s="948">
        <f t="shared" si="28"/>
        <v>1</v>
      </c>
      <c r="N32" s="312">
        <f t="shared" si="29"/>
        <v>4755.2827558351855</v>
      </c>
      <c r="O32" s="313">
        <f t="shared" si="30"/>
        <v>41829.976728891568</v>
      </c>
      <c r="P32" s="313">
        <f t="shared" si="31"/>
        <v>41829.976728891568</v>
      </c>
      <c r="Q32" s="313">
        <f t="shared" si="32"/>
        <v>68160.617448333331</v>
      </c>
      <c r="R32" s="313">
        <f t="shared" si="33"/>
        <v>206706.40834575263</v>
      </c>
      <c r="S32" s="315">
        <f t="shared" si="34"/>
        <v>41829.976728891568</v>
      </c>
      <c r="T32" s="312">
        <f t="shared" si="35"/>
        <v>-37074.693973056383</v>
      </c>
      <c r="U32" s="313">
        <f t="shared" si="36"/>
        <v>-37074.693973056383</v>
      </c>
      <c r="V32" s="313">
        <f t="shared" si="37"/>
        <v>-63405.334692498145</v>
      </c>
      <c r="W32" s="313">
        <f t="shared" si="38"/>
        <v>-201951.12558991744</v>
      </c>
      <c r="X32" s="315">
        <f t="shared" si="39"/>
        <v>-37074.693973056383</v>
      </c>
      <c r="Y32" s="288">
        <f>IF($D$7=0,86,IF(AND(Y$22=TRUE,INDEX(CDRANGE_CLS2,MATCH($A32,$A$24:$A$67,0),MATCH(Y$20,$B$20:$G$20,0))&lt;$D$6/OPDAYS_Cls2),86,payback(C32,T32,disc_rate/12,85)))</f>
        <v>86</v>
      </c>
      <c r="Z32" s="289">
        <f>IF($D$7=0,86,IF(AND(Z$22=TRUE,INDEX(CDRANGE_CLS2,MATCH($A32,$A$24:$A$67,0),MATCH(Z$20,$B$20:$G$20,0))&lt;$D$6/OPDAYS_Cls2),86,payback(D32,U32,disc_rate/12,85)))</f>
        <v>86</v>
      </c>
      <c r="AA32" s="289">
        <f>IF($D$7=0,86,IF(AND(AA$22=TRUE,INDEX(CDRANGE_CLS2,MATCH($A32,$A$24:$A$67,0),MATCH(AA$20,$B$20:$G$20,0))&lt;$D$6/OPDAYS_Cls2),86,payback(E32,V32,disc_rate/12,85)))</f>
        <v>86</v>
      </c>
      <c r="AB32" s="289">
        <f>IF($D$7=0,86,IF(AND(AB$22=TRUE,INDEX(CDRANGE_CLS2,MATCH($A32,$A$24:$A$67,0),MATCH(AB$20,$B$20:$G$20,0))&lt;$D$6/OPDAYS_Cls2),86,payback(F32,W32,disc_rate/12,85)))</f>
        <v>86</v>
      </c>
      <c r="AC32" s="290">
        <f>IF($D$7=0,86,IF(AND(AC$22=TRUE,INDEX(CDRANGE_CLS2,MATCH($A32,$A$24:$A$67,0),MATCH(AC$20,$B$20:$G$20,0))&lt;$D$6/OPDAYS_Cls2),86,payback(G32,X32,disc_rate/12,85)))</f>
        <v>86</v>
      </c>
      <c r="AD32" s="319">
        <f t="shared" si="40"/>
        <v>0</v>
      </c>
      <c r="AE32" s="320">
        <f t="shared" si="41"/>
        <v>0</v>
      </c>
      <c r="AF32" s="320">
        <f t="shared" si="42"/>
        <v>0</v>
      </c>
      <c r="AG32" s="320">
        <f t="shared" si="43"/>
        <v>0</v>
      </c>
      <c r="AH32" s="321">
        <f t="shared" si="44"/>
        <v>0</v>
      </c>
      <c r="AI32" s="322">
        <f t="shared" si="45"/>
        <v>0</v>
      </c>
      <c r="AJ32" s="323">
        <f t="shared" si="46"/>
        <v>0</v>
      </c>
      <c r="AK32" s="323">
        <f t="shared" si="47"/>
        <v>0</v>
      </c>
      <c r="AL32" s="323">
        <f t="shared" si="48"/>
        <v>0</v>
      </c>
      <c r="AM32" s="324">
        <f t="shared" si="49"/>
        <v>0</v>
      </c>
      <c r="AN32" s="322">
        <f t="shared" si="61"/>
        <v>0</v>
      </c>
      <c r="AO32" s="323">
        <f t="shared" si="50"/>
        <v>0</v>
      </c>
      <c r="AP32" s="323">
        <f t="shared" si="50"/>
        <v>0</v>
      </c>
      <c r="AQ32" s="323">
        <f t="shared" si="50"/>
        <v>0</v>
      </c>
      <c r="AR32" s="324">
        <f t="shared" si="50"/>
        <v>0</v>
      </c>
      <c r="AS32" s="810">
        <f t="shared" si="51"/>
        <v>0</v>
      </c>
      <c r="AT32" s="811">
        <f t="shared" si="52"/>
        <v>0</v>
      </c>
      <c r="AU32" s="811">
        <f t="shared" si="53"/>
        <v>0</v>
      </c>
      <c r="AV32" s="811">
        <f t="shared" si="54"/>
        <v>0</v>
      </c>
      <c r="AW32" s="812">
        <f t="shared" si="55"/>
        <v>0</v>
      </c>
      <c r="AX32" s="319">
        <f t="shared" si="56"/>
        <v>0</v>
      </c>
      <c r="AY32" s="320">
        <f t="shared" si="57"/>
        <v>0</v>
      </c>
      <c r="AZ32" s="320">
        <f t="shared" si="58"/>
        <v>0</v>
      </c>
      <c r="BA32" s="320">
        <f t="shared" si="62"/>
        <v>0</v>
      </c>
      <c r="BB32" s="321">
        <f t="shared" si="63"/>
        <v>0</v>
      </c>
      <c r="BC32" s="319">
        <f t="shared" si="64"/>
        <v>1</v>
      </c>
      <c r="BD32" s="320">
        <f t="shared" si="65"/>
        <v>0</v>
      </c>
      <c r="BE32" s="320">
        <f t="shared" si="66"/>
        <v>0</v>
      </c>
      <c r="BF32" s="320">
        <f t="shared" si="67"/>
        <v>0</v>
      </c>
      <c r="BG32" s="320">
        <f t="shared" si="68"/>
        <v>0</v>
      </c>
      <c r="BH32" s="321">
        <f t="shared" si="69"/>
        <v>0</v>
      </c>
    </row>
    <row r="33" spans="1:60" x14ac:dyDescent="0.2">
      <c r="A33" s="325">
        <v>2016</v>
      </c>
      <c r="B33" s="806">
        <f t="shared" si="27"/>
        <v>72485</v>
      </c>
      <c r="C33" s="807">
        <f t="shared" si="27"/>
        <v>1000000</v>
      </c>
      <c r="D33" s="807">
        <f t="shared" si="27"/>
        <v>1000000</v>
      </c>
      <c r="E33" s="807">
        <f t="shared" si="27"/>
        <v>1000000</v>
      </c>
      <c r="F33" s="807">
        <f t="shared" si="27"/>
        <v>1000000</v>
      </c>
      <c r="G33" s="808">
        <f t="shared" si="27"/>
        <v>1000000</v>
      </c>
      <c r="H33" s="949">
        <f t="shared" si="28"/>
        <v>1</v>
      </c>
      <c r="I33" s="950">
        <f t="shared" si="28"/>
        <v>1</v>
      </c>
      <c r="J33" s="950">
        <f t="shared" si="28"/>
        <v>1</v>
      </c>
      <c r="K33" s="950">
        <f t="shared" si="28"/>
        <v>1</v>
      </c>
      <c r="L33" s="950">
        <f t="shared" si="28"/>
        <v>1</v>
      </c>
      <c r="M33" s="951">
        <f t="shared" si="28"/>
        <v>1</v>
      </c>
      <c r="N33" s="284">
        <f t="shared" si="29"/>
        <v>4046.8915081387267</v>
      </c>
      <c r="O33" s="285">
        <f t="shared" si="30"/>
        <v>36051.358324480192</v>
      </c>
      <c r="P33" s="285">
        <f t="shared" si="31"/>
        <v>36051.358324480192</v>
      </c>
      <c r="Q33" s="285">
        <f t="shared" si="32"/>
        <v>66773.444073333318</v>
      </c>
      <c r="R33" s="285">
        <f t="shared" si="33"/>
        <v>198093.64133134627</v>
      </c>
      <c r="S33" s="287">
        <f t="shared" si="34"/>
        <v>36051.358324480192</v>
      </c>
      <c r="T33" s="284">
        <f t="shared" si="35"/>
        <v>-32004.466816341464</v>
      </c>
      <c r="U33" s="285">
        <f t="shared" si="36"/>
        <v>-32004.466816341464</v>
      </c>
      <c r="V33" s="285">
        <f t="shared" si="37"/>
        <v>-62726.552565194594</v>
      </c>
      <c r="W33" s="285">
        <f t="shared" si="38"/>
        <v>-194046.74982320753</v>
      </c>
      <c r="X33" s="287">
        <f t="shared" si="39"/>
        <v>-32004.466816341464</v>
      </c>
      <c r="Y33" s="288">
        <f>IF($D$7=0,86,IF(AND(Y$22=TRUE,INDEX(CDRANGE_CLS2,MATCH($A33,$A$24:$A$67,0),MATCH(Y$20,$B$20:$G$20,0))&lt;$D$6/OPDAYS_Cls2),86,payback(C33,T33,disc_rate/12,85)))</f>
        <v>86</v>
      </c>
      <c r="Z33" s="289">
        <f>IF($D$7=0,86,IF(AND(Z$22=TRUE,INDEX(CDRANGE_CLS2,MATCH($A33,$A$24:$A$67,0),MATCH(Z$20,$B$20:$G$20,0))&lt;$D$6/OPDAYS_Cls2),86,payback(D33,U33,disc_rate/12,85)))</f>
        <v>86</v>
      </c>
      <c r="AA33" s="289">
        <f>IF($D$7=0,86,IF(AND(AA$22=TRUE,INDEX(CDRANGE_CLS2,MATCH($A33,$A$24:$A$67,0),MATCH(AA$20,$B$20:$G$20,0))&lt;$D$6/OPDAYS_Cls2),86,payback(E33,V33,disc_rate/12,85)))</f>
        <v>86</v>
      </c>
      <c r="AB33" s="289">
        <f>IF($D$7=0,86,IF(AND(AB$22=TRUE,INDEX(CDRANGE_CLS2,MATCH($A33,$A$24:$A$67,0),MATCH(AB$20,$B$20:$G$20,0))&lt;$D$6/OPDAYS_Cls2),86,payback(F33,W33,disc_rate/12,85)))</f>
        <v>86</v>
      </c>
      <c r="AC33" s="290">
        <f>IF($D$7=0,86,IF(AND(AC$22=TRUE,INDEX(CDRANGE_CLS2,MATCH($A33,$A$24:$A$67,0),MATCH(AC$20,$B$20:$G$20,0))&lt;$D$6/OPDAYS_Cls2),86,payback(G33,X33,disc_rate/12,85)))</f>
        <v>86</v>
      </c>
      <c r="AD33" s="291">
        <f t="shared" si="40"/>
        <v>0</v>
      </c>
      <c r="AE33" s="292">
        <f t="shared" si="41"/>
        <v>0</v>
      </c>
      <c r="AF33" s="292">
        <f t="shared" si="42"/>
        <v>0</v>
      </c>
      <c r="AG33" s="292">
        <f t="shared" si="43"/>
        <v>0</v>
      </c>
      <c r="AH33" s="293">
        <f t="shared" si="44"/>
        <v>0</v>
      </c>
      <c r="AI33" s="294">
        <f t="shared" si="45"/>
        <v>0</v>
      </c>
      <c r="AJ33" s="295">
        <f t="shared" si="46"/>
        <v>0</v>
      </c>
      <c r="AK33" s="295">
        <f t="shared" si="47"/>
        <v>0</v>
      </c>
      <c r="AL33" s="295">
        <f t="shared" si="48"/>
        <v>0</v>
      </c>
      <c r="AM33" s="296">
        <f t="shared" si="49"/>
        <v>0</v>
      </c>
      <c r="AN33" s="294">
        <f t="shared" si="61"/>
        <v>0</v>
      </c>
      <c r="AO33" s="295">
        <f t="shared" si="50"/>
        <v>0</v>
      </c>
      <c r="AP33" s="295">
        <f t="shared" si="50"/>
        <v>0</v>
      </c>
      <c r="AQ33" s="295">
        <f t="shared" si="50"/>
        <v>0</v>
      </c>
      <c r="AR33" s="296">
        <f t="shared" si="50"/>
        <v>0</v>
      </c>
      <c r="AS33" s="606">
        <f t="shared" si="51"/>
        <v>0</v>
      </c>
      <c r="AT33" s="607">
        <f t="shared" si="52"/>
        <v>0</v>
      </c>
      <c r="AU33" s="607">
        <f t="shared" si="53"/>
        <v>0</v>
      </c>
      <c r="AV33" s="607">
        <f t="shared" si="54"/>
        <v>0</v>
      </c>
      <c r="AW33" s="608">
        <f t="shared" si="55"/>
        <v>0</v>
      </c>
      <c r="AX33" s="291">
        <f t="shared" si="56"/>
        <v>0</v>
      </c>
      <c r="AY33" s="292">
        <f t="shared" si="57"/>
        <v>0</v>
      </c>
      <c r="AZ33" s="292">
        <f t="shared" si="58"/>
        <v>0</v>
      </c>
      <c r="BA33" s="292">
        <f t="shared" si="62"/>
        <v>0</v>
      </c>
      <c r="BB33" s="293">
        <f t="shared" si="63"/>
        <v>0</v>
      </c>
      <c r="BC33" s="291">
        <f t="shared" si="64"/>
        <v>1</v>
      </c>
      <c r="BD33" s="292">
        <f t="shared" si="65"/>
        <v>0</v>
      </c>
      <c r="BE33" s="292">
        <f t="shared" si="66"/>
        <v>0</v>
      </c>
      <c r="BF33" s="292">
        <f t="shared" si="67"/>
        <v>0</v>
      </c>
      <c r="BG33" s="292">
        <f t="shared" si="68"/>
        <v>0</v>
      </c>
      <c r="BH33" s="293">
        <f t="shared" si="69"/>
        <v>0</v>
      </c>
    </row>
    <row r="34" spans="1:60" x14ac:dyDescent="0.2">
      <c r="A34" s="326">
        <v>2017</v>
      </c>
      <c r="B34" s="800">
        <f t="shared" ref="B34:G43" si="70">ROUND(INDEX(COST_Cls2,$A34-($A$24-1),MATCH(B$20,TECHOPTS_Cls2,0)),2)</f>
        <v>72485</v>
      </c>
      <c r="C34" s="801">
        <f t="shared" si="70"/>
        <v>1000000</v>
      </c>
      <c r="D34" s="801">
        <f t="shared" si="70"/>
        <v>1000000</v>
      </c>
      <c r="E34" s="801">
        <f t="shared" si="70"/>
        <v>1000000</v>
      </c>
      <c r="F34" s="801">
        <f t="shared" si="70"/>
        <v>1000000</v>
      </c>
      <c r="G34" s="802">
        <f t="shared" si="70"/>
        <v>1000000</v>
      </c>
      <c r="H34" s="952">
        <f t="shared" ref="H34:M43" si="71">MAX(1-INDEX(CDRANGE_CLS2,$A34-($A$24-1),MATCH(H$20,TECHOPTS_Cls2,0))*OPDAYS_Cls2/$D$6,0)</f>
        <v>1</v>
      </c>
      <c r="I34" s="953">
        <f t="shared" si="71"/>
        <v>1</v>
      </c>
      <c r="J34" s="953">
        <f t="shared" si="71"/>
        <v>1</v>
      </c>
      <c r="K34" s="953">
        <f t="shared" si="71"/>
        <v>1</v>
      </c>
      <c r="L34" s="953">
        <f t="shared" si="71"/>
        <v>1</v>
      </c>
      <c r="M34" s="954">
        <f t="shared" si="71"/>
        <v>1</v>
      </c>
      <c r="N34" s="298">
        <f t="shared" si="29"/>
        <v>4648.0391793381032</v>
      </c>
      <c r="O34" s="299">
        <f t="shared" si="30"/>
        <v>42350.129002883601</v>
      </c>
      <c r="P34" s="299">
        <f t="shared" si="31"/>
        <v>42350.129002883601</v>
      </c>
      <c r="Q34" s="299">
        <f t="shared" si="32"/>
        <v>67272.856539999993</v>
      </c>
      <c r="R34" s="299">
        <f t="shared" si="33"/>
        <v>189480.87431693988</v>
      </c>
      <c r="S34" s="301">
        <f t="shared" si="34"/>
        <v>42350.129002883601</v>
      </c>
      <c r="T34" s="298">
        <f t="shared" si="35"/>
        <v>-37702.089823545495</v>
      </c>
      <c r="U34" s="299">
        <f t="shared" si="36"/>
        <v>-37702.089823545495</v>
      </c>
      <c r="V34" s="299">
        <f t="shared" si="37"/>
        <v>-62624.817360661888</v>
      </c>
      <c r="W34" s="299">
        <f t="shared" si="38"/>
        <v>-184832.83513760177</v>
      </c>
      <c r="X34" s="301">
        <f t="shared" si="39"/>
        <v>-37702.089823545495</v>
      </c>
      <c r="Y34" s="288">
        <f>IF($D$7=0,86,IF(AND(Y$22=TRUE,INDEX(CDRANGE_CLS2,MATCH($A34,$A$24:$A$67,0),MATCH(Y$20,$B$20:$G$20,0))&lt;$D$6/OPDAYS_Cls2),86,payback(C34,T34,disc_rate/12,85)))</f>
        <v>86</v>
      </c>
      <c r="Z34" s="289">
        <f>IF($D$7=0,86,IF(AND(Z$22=TRUE,INDEX(CDRANGE_CLS2,MATCH($A34,$A$24:$A$67,0),MATCH(Z$20,$B$20:$G$20,0))&lt;$D$6/OPDAYS_Cls2),86,payback(D34,U34,disc_rate/12,85)))</f>
        <v>86</v>
      </c>
      <c r="AA34" s="289">
        <f>IF($D$7=0,86,IF(AND(AA$22=TRUE,INDEX(CDRANGE_CLS2,MATCH($A34,$A$24:$A$67,0),MATCH(AA$20,$B$20:$G$20,0))&lt;$D$6/OPDAYS_Cls2),86,payback(E34,V34,disc_rate/12,85)))</f>
        <v>86</v>
      </c>
      <c r="AB34" s="289">
        <f>IF($D$7=0,86,IF(AND(AB$22=TRUE,INDEX(CDRANGE_CLS2,MATCH($A34,$A$24:$A$67,0),MATCH(AB$20,$B$20:$G$20,0))&lt;$D$6/OPDAYS_Cls2),86,payback(F34,W34,disc_rate/12,85)))</f>
        <v>86</v>
      </c>
      <c r="AC34" s="290">
        <f>IF($D$7=0,86,IF(AND(AC$22=TRUE,INDEX(CDRANGE_CLS2,MATCH($A34,$A$24:$A$67,0),MATCH(AC$20,$B$20:$G$20,0))&lt;$D$6/OPDAYS_Cls2),86,payback(G34,X34,disc_rate/12,85)))</f>
        <v>86</v>
      </c>
      <c r="AD34" s="305">
        <f t="shared" si="40"/>
        <v>0</v>
      </c>
      <c r="AE34" s="306">
        <f t="shared" si="41"/>
        <v>0</v>
      </c>
      <c r="AF34" s="306">
        <f t="shared" si="42"/>
        <v>0</v>
      </c>
      <c r="AG34" s="306">
        <f t="shared" si="43"/>
        <v>0</v>
      </c>
      <c r="AH34" s="307">
        <f t="shared" si="44"/>
        <v>0</v>
      </c>
      <c r="AI34" s="308">
        <f t="shared" si="45"/>
        <v>0</v>
      </c>
      <c r="AJ34" s="309">
        <f t="shared" si="46"/>
        <v>0</v>
      </c>
      <c r="AK34" s="309">
        <f t="shared" si="47"/>
        <v>0</v>
      </c>
      <c r="AL34" s="309">
        <f t="shared" si="48"/>
        <v>0</v>
      </c>
      <c r="AM34" s="310">
        <f t="shared" si="49"/>
        <v>0</v>
      </c>
      <c r="AN34" s="308">
        <f t="shared" si="61"/>
        <v>0</v>
      </c>
      <c r="AO34" s="309">
        <f t="shared" si="50"/>
        <v>0</v>
      </c>
      <c r="AP34" s="309">
        <f t="shared" si="50"/>
        <v>0</v>
      </c>
      <c r="AQ34" s="309">
        <f t="shared" si="50"/>
        <v>0</v>
      </c>
      <c r="AR34" s="310">
        <f t="shared" si="50"/>
        <v>0</v>
      </c>
      <c r="AS34" s="291">
        <f t="shared" si="51"/>
        <v>0</v>
      </c>
      <c r="AT34" s="292">
        <f t="shared" si="52"/>
        <v>0</v>
      </c>
      <c r="AU34" s="292">
        <f t="shared" si="53"/>
        <v>0</v>
      </c>
      <c r="AV34" s="292">
        <f t="shared" si="54"/>
        <v>0</v>
      </c>
      <c r="AW34" s="293">
        <f t="shared" si="55"/>
        <v>0</v>
      </c>
      <c r="AX34" s="305">
        <f t="shared" si="56"/>
        <v>0</v>
      </c>
      <c r="AY34" s="306">
        <f t="shared" si="57"/>
        <v>0</v>
      </c>
      <c r="AZ34" s="306">
        <f t="shared" si="58"/>
        <v>0</v>
      </c>
      <c r="BA34" s="292">
        <f t="shared" si="62"/>
        <v>0</v>
      </c>
      <c r="BB34" s="293">
        <f t="shared" si="63"/>
        <v>0</v>
      </c>
      <c r="BC34" s="291">
        <f t="shared" si="64"/>
        <v>1</v>
      </c>
      <c r="BD34" s="292">
        <f t="shared" si="65"/>
        <v>0</v>
      </c>
      <c r="BE34" s="292">
        <f t="shared" si="66"/>
        <v>0</v>
      </c>
      <c r="BF34" s="292">
        <f t="shared" si="67"/>
        <v>0</v>
      </c>
      <c r="BG34" s="292">
        <f t="shared" si="68"/>
        <v>0</v>
      </c>
      <c r="BH34" s="293">
        <f t="shared" si="69"/>
        <v>0</v>
      </c>
    </row>
    <row r="35" spans="1:60" x14ac:dyDescent="0.2">
      <c r="A35" s="326">
        <v>2018</v>
      </c>
      <c r="B35" s="800">
        <f t="shared" si="70"/>
        <v>72485</v>
      </c>
      <c r="C35" s="801">
        <f t="shared" si="70"/>
        <v>1000000</v>
      </c>
      <c r="D35" s="801">
        <f t="shared" si="70"/>
        <v>1000000</v>
      </c>
      <c r="E35" s="801">
        <f t="shared" si="70"/>
        <v>1000000</v>
      </c>
      <c r="F35" s="801">
        <f t="shared" si="70"/>
        <v>1000000</v>
      </c>
      <c r="G35" s="802">
        <f t="shared" si="70"/>
        <v>1000000</v>
      </c>
      <c r="H35" s="952">
        <f t="shared" si="71"/>
        <v>1</v>
      </c>
      <c r="I35" s="953">
        <f t="shared" si="71"/>
        <v>1</v>
      </c>
      <c r="J35" s="953">
        <f t="shared" si="71"/>
        <v>1</v>
      </c>
      <c r="K35" s="953">
        <f t="shared" si="71"/>
        <v>1</v>
      </c>
      <c r="L35" s="953">
        <f t="shared" si="71"/>
        <v>1</v>
      </c>
      <c r="M35" s="954">
        <f t="shared" si="71"/>
        <v>1</v>
      </c>
      <c r="N35" s="298">
        <f t="shared" si="29"/>
        <v>5417.4157196944243</v>
      </c>
      <c r="O35" s="299">
        <f t="shared" si="30"/>
        <v>52026.144584408357</v>
      </c>
      <c r="P35" s="299">
        <f t="shared" si="31"/>
        <v>52026.144584408357</v>
      </c>
      <c r="Q35" s="299">
        <f t="shared" si="32"/>
        <v>76949.539439999993</v>
      </c>
      <c r="R35" s="299">
        <f t="shared" si="33"/>
        <v>180868.10730253355</v>
      </c>
      <c r="S35" s="301">
        <f t="shared" si="34"/>
        <v>52026.144584408357</v>
      </c>
      <c r="T35" s="298">
        <f t="shared" si="35"/>
        <v>-46608.728864713936</v>
      </c>
      <c r="U35" s="299">
        <f t="shared" si="36"/>
        <v>-46608.728864713936</v>
      </c>
      <c r="V35" s="299">
        <f t="shared" si="37"/>
        <v>-71532.123720305564</v>
      </c>
      <c r="W35" s="299">
        <f t="shared" si="38"/>
        <v>-175450.69158283912</v>
      </c>
      <c r="X35" s="301">
        <f t="shared" si="39"/>
        <v>-46608.728864713936</v>
      </c>
      <c r="Y35" s="288">
        <f>IF($D$7=0,86,IF(AND(Y$22=TRUE,INDEX(CDRANGE_CLS2,MATCH($A35,$A$24:$A$67,0),MATCH(Y$20,$B$20:$G$20,0))&lt;$D$6/OPDAYS_Cls2),86,payback(C35,T35,disc_rate/12,85)))</f>
        <v>86</v>
      </c>
      <c r="Z35" s="289">
        <f>IF($D$7=0,86,IF(AND(Z$22=TRUE,INDEX(CDRANGE_CLS2,MATCH($A35,$A$24:$A$67,0),MATCH(Z$20,$B$20:$G$20,0))&lt;$D$6/OPDAYS_Cls2),86,payback(D35,U35,disc_rate/12,85)))</f>
        <v>86</v>
      </c>
      <c r="AA35" s="289">
        <f>IF($D$7=0,86,IF(AND(AA$22=TRUE,INDEX(CDRANGE_CLS2,MATCH($A35,$A$24:$A$67,0),MATCH(AA$20,$B$20:$G$20,0))&lt;$D$6/OPDAYS_Cls2),86,payback(E35,V35,disc_rate/12,85)))</f>
        <v>86</v>
      </c>
      <c r="AB35" s="289">
        <f>IF($D$7=0,86,IF(AND(AB$22=TRUE,INDEX(CDRANGE_CLS2,MATCH($A35,$A$24:$A$67,0),MATCH(AB$20,$B$20:$G$20,0))&lt;$D$6/OPDAYS_Cls2),86,payback(F35,W35,disc_rate/12,85)))</f>
        <v>86</v>
      </c>
      <c r="AC35" s="290">
        <f>IF($D$7=0,86,IF(AND(AC$22=TRUE,INDEX(CDRANGE_CLS2,MATCH($A35,$A$24:$A$67,0),MATCH(AC$20,$B$20:$G$20,0))&lt;$D$6/OPDAYS_Cls2),86,payback(G35,X35,disc_rate/12,85)))</f>
        <v>86</v>
      </c>
      <c r="AD35" s="305">
        <f t="shared" si="40"/>
        <v>0</v>
      </c>
      <c r="AE35" s="306">
        <f t="shared" si="41"/>
        <v>0</v>
      </c>
      <c r="AF35" s="306">
        <f t="shared" si="42"/>
        <v>0</v>
      </c>
      <c r="AG35" s="306">
        <f t="shared" si="43"/>
        <v>0</v>
      </c>
      <c r="AH35" s="307">
        <f t="shared" si="44"/>
        <v>0</v>
      </c>
      <c r="AI35" s="308">
        <f t="shared" si="45"/>
        <v>0</v>
      </c>
      <c r="AJ35" s="309">
        <f t="shared" si="46"/>
        <v>0</v>
      </c>
      <c r="AK35" s="309">
        <f t="shared" si="47"/>
        <v>0</v>
      </c>
      <c r="AL35" s="309">
        <f t="shared" si="48"/>
        <v>0</v>
      </c>
      <c r="AM35" s="310">
        <f t="shared" si="49"/>
        <v>0</v>
      </c>
      <c r="AN35" s="308">
        <f t="shared" si="61"/>
        <v>0</v>
      </c>
      <c r="AO35" s="309">
        <f t="shared" si="50"/>
        <v>0</v>
      </c>
      <c r="AP35" s="309">
        <f t="shared" si="50"/>
        <v>0</v>
      </c>
      <c r="AQ35" s="309">
        <f t="shared" si="50"/>
        <v>0</v>
      </c>
      <c r="AR35" s="310">
        <f t="shared" si="50"/>
        <v>0</v>
      </c>
      <c r="AS35" s="291">
        <f t="shared" si="51"/>
        <v>0</v>
      </c>
      <c r="AT35" s="292">
        <f t="shared" si="52"/>
        <v>0</v>
      </c>
      <c r="AU35" s="292">
        <f t="shared" si="53"/>
        <v>0</v>
      </c>
      <c r="AV35" s="292">
        <f t="shared" si="54"/>
        <v>0</v>
      </c>
      <c r="AW35" s="293">
        <f t="shared" si="55"/>
        <v>0</v>
      </c>
      <c r="AX35" s="305">
        <f t="shared" si="56"/>
        <v>0</v>
      </c>
      <c r="AY35" s="306">
        <f t="shared" si="57"/>
        <v>0</v>
      </c>
      <c r="AZ35" s="306">
        <f t="shared" si="58"/>
        <v>0</v>
      </c>
      <c r="BA35" s="292">
        <f t="shared" si="62"/>
        <v>0</v>
      </c>
      <c r="BB35" s="293">
        <f t="shared" si="63"/>
        <v>0</v>
      </c>
      <c r="BC35" s="291">
        <f t="shared" si="64"/>
        <v>1</v>
      </c>
      <c r="BD35" s="292">
        <f t="shared" si="65"/>
        <v>0</v>
      </c>
      <c r="BE35" s="292">
        <f t="shared" si="66"/>
        <v>0</v>
      </c>
      <c r="BF35" s="292">
        <f t="shared" si="67"/>
        <v>0</v>
      </c>
      <c r="BG35" s="292">
        <f t="shared" si="68"/>
        <v>0</v>
      </c>
      <c r="BH35" s="293">
        <f t="shared" si="69"/>
        <v>0</v>
      </c>
    </row>
    <row r="36" spans="1:60" x14ac:dyDescent="0.2">
      <c r="A36" s="326">
        <v>2019</v>
      </c>
      <c r="B36" s="800">
        <f t="shared" si="70"/>
        <v>72485</v>
      </c>
      <c r="C36" s="801">
        <f t="shared" si="70"/>
        <v>1000000</v>
      </c>
      <c r="D36" s="801">
        <f t="shared" si="70"/>
        <v>1000000</v>
      </c>
      <c r="E36" s="801">
        <f t="shared" si="70"/>
        <v>1000000</v>
      </c>
      <c r="F36" s="801">
        <f t="shared" si="70"/>
        <v>1000000</v>
      </c>
      <c r="G36" s="802">
        <f t="shared" si="70"/>
        <v>1000000</v>
      </c>
      <c r="H36" s="952">
        <f t="shared" si="71"/>
        <v>1</v>
      </c>
      <c r="I36" s="953">
        <f t="shared" si="71"/>
        <v>1</v>
      </c>
      <c r="J36" s="953">
        <f t="shared" si="71"/>
        <v>1</v>
      </c>
      <c r="K36" s="953">
        <f t="shared" si="71"/>
        <v>1</v>
      </c>
      <c r="L36" s="953">
        <f t="shared" si="71"/>
        <v>1</v>
      </c>
      <c r="M36" s="954">
        <f t="shared" si="71"/>
        <v>1</v>
      </c>
      <c r="N36" s="298">
        <f t="shared" si="29"/>
        <v>5305.6836631626675</v>
      </c>
      <c r="O36" s="299">
        <f t="shared" si="30"/>
        <v>51112.771593333331</v>
      </c>
      <c r="P36" s="299">
        <f t="shared" si="31"/>
        <v>51112.771593333331</v>
      </c>
      <c r="Q36" s="299">
        <f t="shared" si="32"/>
        <v>76868.922376666669</v>
      </c>
      <c r="R36" s="299">
        <f t="shared" si="33"/>
        <v>172255.34028812719</v>
      </c>
      <c r="S36" s="301">
        <f t="shared" si="34"/>
        <v>51112.771593333331</v>
      </c>
      <c r="T36" s="298">
        <f t="shared" si="35"/>
        <v>-45807.087930170666</v>
      </c>
      <c r="U36" s="299">
        <f t="shared" si="36"/>
        <v>-45807.087930170666</v>
      </c>
      <c r="V36" s="299">
        <f t="shared" si="37"/>
        <v>-71563.238713504004</v>
      </c>
      <c r="W36" s="299">
        <f t="shared" si="38"/>
        <v>-166949.65662496453</v>
      </c>
      <c r="X36" s="301">
        <f t="shared" si="39"/>
        <v>-45807.087930170666</v>
      </c>
      <c r="Y36" s="288">
        <f>IF($D$7=0,86,IF(AND(Y$22=TRUE,INDEX(CDRANGE_CLS2,MATCH($A36,$A$24:$A$67,0),MATCH(Y$20,$B$20:$G$20,0))&lt;$D$6/OPDAYS_Cls2),86,payback(C36,T36,disc_rate/12,85)))</f>
        <v>86</v>
      </c>
      <c r="Z36" s="289">
        <f>IF($D$7=0,86,IF(AND(Z$22=TRUE,INDEX(CDRANGE_CLS2,MATCH($A36,$A$24:$A$67,0),MATCH(Z$20,$B$20:$G$20,0))&lt;$D$6/OPDAYS_Cls2),86,payback(D36,U36,disc_rate/12,85)))</f>
        <v>86</v>
      </c>
      <c r="AA36" s="289">
        <f>IF($D$7=0,86,IF(AND(AA$22=TRUE,INDEX(CDRANGE_CLS2,MATCH($A36,$A$24:$A$67,0),MATCH(AA$20,$B$20:$G$20,0))&lt;$D$6/OPDAYS_Cls2),86,payback(E36,V36,disc_rate/12,85)))</f>
        <v>86</v>
      </c>
      <c r="AB36" s="289">
        <f>IF($D$7=0,86,IF(AND(AB$22=TRUE,INDEX(CDRANGE_CLS2,MATCH($A36,$A$24:$A$67,0),MATCH(AB$20,$B$20:$G$20,0))&lt;$D$6/OPDAYS_Cls2),86,payback(F36,W36,disc_rate/12,85)))</f>
        <v>86</v>
      </c>
      <c r="AC36" s="290">
        <f>IF($D$7=0,86,IF(AND(AC$22=TRUE,INDEX(CDRANGE_CLS2,MATCH($A36,$A$24:$A$67,0),MATCH(AC$20,$B$20:$G$20,0))&lt;$D$6/OPDAYS_Cls2),86,payback(G36,X36,disc_rate/12,85)))</f>
        <v>86</v>
      </c>
      <c r="AD36" s="305">
        <f t="shared" si="40"/>
        <v>0</v>
      </c>
      <c r="AE36" s="306">
        <f t="shared" si="41"/>
        <v>0</v>
      </c>
      <c r="AF36" s="306">
        <f t="shared" si="42"/>
        <v>0</v>
      </c>
      <c r="AG36" s="306">
        <f t="shared" si="43"/>
        <v>0</v>
      </c>
      <c r="AH36" s="307">
        <f t="shared" si="44"/>
        <v>0</v>
      </c>
      <c r="AI36" s="308">
        <f t="shared" si="45"/>
        <v>0</v>
      </c>
      <c r="AJ36" s="309">
        <f t="shared" si="46"/>
        <v>0</v>
      </c>
      <c r="AK36" s="309">
        <f t="shared" si="47"/>
        <v>0</v>
      </c>
      <c r="AL36" s="309">
        <f t="shared" si="48"/>
        <v>0</v>
      </c>
      <c r="AM36" s="310">
        <f t="shared" si="49"/>
        <v>0</v>
      </c>
      <c r="AN36" s="308">
        <f t="shared" si="61"/>
        <v>0</v>
      </c>
      <c r="AO36" s="309">
        <f t="shared" si="50"/>
        <v>0</v>
      </c>
      <c r="AP36" s="309">
        <f t="shared" si="50"/>
        <v>0</v>
      </c>
      <c r="AQ36" s="309">
        <f t="shared" si="50"/>
        <v>0</v>
      </c>
      <c r="AR36" s="310">
        <f t="shared" si="50"/>
        <v>0</v>
      </c>
      <c r="AS36" s="291">
        <f t="shared" si="51"/>
        <v>0</v>
      </c>
      <c r="AT36" s="292">
        <f t="shared" si="52"/>
        <v>0</v>
      </c>
      <c r="AU36" s="292">
        <f t="shared" si="53"/>
        <v>0</v>
      </c>
      <c r="AV36" s="292">
        <f t="shared" si="54"/>
        <v>0</v>
      </c>
      <c r="AW36" s="293">
        <f t="shared" si="55"/>
        <v>0</v>
      </c>
      <c r="AX36" s="305">
        <f t="shared" si="56"/>
        <v>0</v>
      </c>
      <c r="AY36" s="306">
        <f t="shared" si="57"/>
        <v>0</v>
      </c>
      <c r="AZ36" s="306">
        <f t="shared" si="58"/>
        <v>0</v>
      </c>
      <c r="BA36" s="292">
        <f t="shared" si="62"/>
        <v>0</v>
      </c>
      <c r="BB36" s="293">
        <f t="shared" si="63"/>
        <v>0</v>
      </c>
      <c r="BC36" s="291">
        <f t="shared" si="64"/>
        <v>1</v>
      </c>
      <c r="BD36" s="292">
        <f t="shared" si="65"/>
        <v>0</v>
      </c>
      <c r="BE36" s="292">
        <f t="shared" si="66"/>
        <v>0</v>
      </c>
      <c r="BF36" s="292">
        <f t="shared" si="67"/>
        <v>0</v>
      </c>
      <c r="BG36" s="292">
        <f t="shared" si="68"/>
        <v>0</v>
      </c>
      <c r="BH36" s="293">
        <f t="shared" si="69"/>
        <v>0</v>
      </c>
    </row>
    <row r="37" spans="1:60" ht="13.5" thickBot="1" x14ac:dyDescent="0.25">
      <c r="A37" s="311">
        <v>2020</v>
      </c>
      <c r="B37" s="794">
        <f t="shared" si="70"/>
        <v>72485</v>
      </c>
      <c r="C37" s="795">
        <f t="shared" si="70"/>
        <v>1000000</v>
      </c>
      <c r="D37" s="795">
        <f t="shared" si="70"/>
        <v>1000000</v>
      </c>
      <c r="E37" s="795">
        <f t="shared" si="70"/>
        <v>1000000</v>
      </c>
      <c r="F37" s="795">
        <f t="shared" si="70"/>
        <v>1000000</v>
      </c>
      <c r="G37" s="796">
        <f t="shared" si="70"/>
        <v>1000000</v>
      </c>
      <c r="H37" s="946">
        <f t="shared" si="71"/>
        <v>1</v>
      </c>
      <c r="I37" s="947">
        <f t="shared" si="71"/>
        <v>1</v>
      </c>
      <c r="J37" s="947">
        <f t="shared" si="71"/>
        <v>1</v>
      </c>
      <c r="K37" s="947">
        <f t="shared" si="71"/>
        <v>1</v>
      </c>
      <c r="L37" s="947">
        <f t="shared" si="71"/>
        <v>1</v>
      </c>
      <c r="M37" s="948">
        <f t="shared" si="71"/>
        <v>1</v>
      </c>
      <c r="N37" s="312">
        <f t="shared" si="29"/>
        <v>5100.4960855104327</v>
      </c>
      <c r="O37" s="313">
        <f t="shared" si="30"/>
        <v>49340.039958333327</v>
      </c>
      <c r="P37" s="313">
        <f t="shared" si="31"/>
        <v>49340.039958333327</v>
      </c>
      <c r="Q37" s="313">
        <f t="shared" si="32"/>
        <v>156790.10931666667</v>
      </c>
      <c r="R37" s="313">
        <f t="shared" si="33"/>
        <v>163642.5732737208</v>
      </c>
      <c r="S37" s="315">
        <f t="shared" si="34"/>
        <v>49340.039958333327</v>
      </c>
      <c r="T37" s="312">
        <f t="shared" si="35"/>
        <v>-44239.543872822891</v>
      </c>
      <c r="U37" s="313">
        <f t="shared" si="36"/>
        <v>-44239.543872822891</v>
      </c>
      <c r="V37" s="313">
        <f t="shared" si="37"/>
        <v>-151689.61323115623</v>
      </c>
      <c r="W37" s="313">
        <f t="shared" si="38"/>
        <v>-158542.07718821036</v>
      </c>
      <c r="X37" s="315">
        <f t="shared" si="39"/>
        <v>-44239.543872822891</v>
      </c>
      <c r="Y37" s="288">
        <f>IF($D$7=0,86,IF(AND(Y$22=TRUE,INDEX(CDRANGE_CLS2,MATCH($A37,$A$24:$A$67,0),MATCH(Y$20,$B$20:$G$20,0))&lt;$D$6/OPDAYS_Cls2),86,payback(C37,T37,disc_rate/12,85)))</f>
        <v>86</v>
      </c>
      <c r="Z37" s="289">
        <f>IF($D$7=0,86,IF(AND(Z$22=TRUE,INDEX(CDRANGE_CLS2,MATCH($A37,$A$24:$A$67,0),MATCH(Z$20,$B$20:$G$20,0))&lt;$D$6/OPDAYS_Cls2),86,payback(D37,U37,disc_rate/12,85)))</f>
        <v>86</v>
      </c>
      <c r="AA37" s="289">
        <f>IF($D$7=0,86,IF(AND(AA$22=TRUE,INDEX(CDRANGE_CLS2,MATCH($A37,$A$24:$A$67,0),MATCH(AA$20,$B$20:$G$20,0))&lt;$D$6/OPDAYS_Cls2),86,payback(E37,V37,disc_rate/12,85)))</f>
        <v>86</v>
      </c>
      <c r="AB37" s="289">
        <f>IF($D$7=0,86,IF(AND(AB$22=TRUE,INDEX(CDRANGE_CLS2,MATCH($A37,$A$24:$A$67,0),MATCH(AB$20,$B$20:$G$20,0))&lt;$D$6/OPDAYS_Cls2),86,payback(F37,W37,disc_rate/12,85)))</f>
        <v>86</v>
      </c>
      <c r="AC37" s="290">
        <f>IF($D$7=0,86,IF(AND(AC$22=TRUE,INDEX(CDRANGE_CLS2,MATCH($A37,$A$24:$A$67,0),MATCH(AC$20,$B$20:$G$20,0))&lt;$D$6/OPDAYS_Cls2),86,payback(G37,X37,disc_rate/12,85)))</f>
        <v>86</v>
      </c>
      <c r="AD37" s="319">
        <f t="shared" si="40"/>
        <v>0</v>
      </c>
      <c r="AE37" s="320">
        <f t="shared" si="41"/>
        <v>0</v>
      </c>
      <c r="AF37" s="320">
        <f t="shared" si="42"/>
        <v>0</v>
      </c>
      <c r="AG37" s="320">
        <f t="shared" si="43"/>
        <v>0</v>
      </c>
      <c r="AH37" s="321">
        <f t="shared" si="44"/>
        <v>0</v>
      </c>
      <c r="AI37" s="322">
        <f t="shared" si="45"/>
        <v>0</v>
      </c>
      <c r="AJ37" s="323">
        <f t="shared" si="46"/>
        <v>0</v>
      </c>
      <c r="AK37" s="323">
        <f t="shared" si="47"/>
        <v>0</v>
      </c>
      <c r="AL37" s="323">
        <f t="shared" si="48"/>
        <v>0</v>
      </c>
      <c r="AM37" s="324">
        <f t="shared" si="49"/>
        <v>0</v>
      </c>
      <c r="AN37" s="322">
        <f t="shared" si="61"/>
        <v>0</v>
      </c>
      <c r="AO37" s="323">
        <f t="shared" si="50"/>
        <v>0</v>
      </c>
      <c r="AP37" s="323">
        <f t="shared" si="50"/>
        <v>0</v>
      </c>
      <c r="AQ37" s="323">
        <f t="shared" si="50"/>
        <v>0</v>
      </c>
      <c r="AR37" s="324">
        <f t="shared" si="50"/>
        <v>0</v>
      </c>
      <c r="AS37" s="328">
        <f t="shared" si="51"/>
        <v>0</v>
      </c>
      <c r="AT37" s="329">
        <f t="shared" si="52"/>
        <v>0</v>
      </c>
      <c r="AU37" s="329">
        <f t="shared" si="53"/>
        <v>0</v>
      </c>
      <c r="AV37" s="329">
        <f t="shared" si="54"/>
        <v>0</v>
      </c>
      <c r="AW37" s="330">
        <f t="shared" si="55"/>
        <v>0</v>
      </c>
      <c r="AX37" s="319">
        <f t="shared" si="56"/>
        <v>0</v>
      </c>
      <c r="AY37" s="320">
        <f t="shared" si="57"/>
        <v>0</v>
      </c>
      <c r="AZ37" s="320">
        <f t="shared" si="58"/>
        <v>0</v>
      </c>
      <c r="BA37" s="320">
        <f t="shared" si="62"/>
        <v>0</v>
      </c>
      <c r="BB37" s="321">
        <f t="shared" si="63"/>
        <v>0</v>
      </c>
      <c r="BC37" s="319">
        <f t="shared" si="64"/>
        <v>1</v>
      </c>
      <c r="BD37" s="320">
        <f t="shared" si="65"/>
        <v>0</v>
      </c>
      <c r="BE37" s="320">
        <f t="shared" si="66"/>
        <v>0</v>
      </c>
      <c r="BF37" s="320">
        <f t="shared" si="67"/>
        <v>0</v>
      </c>
      <c r="BG37" s="320">
        <f t="shared" si="68"/>
        <v>0</v>
      </c>
      <c r="BH37" s="321">
        <f t="shared" si="69"/>
        <v>0</v>
      </c>
    </row>
    <row r="38" spans="1:60" x14ac:dyDescent="0.2">
      <c r="A38" s="325">
        <v>2021</v>
      </c>
      <c r="B38" s="797">
        <f t="shared" si="70"/>
        <v>72485</v>
      </c>
      <c r="C38" s="798">
        <f t="shared" si="70"/>
        <v>1</v>
      </c>
      <c r="D38" s="798">
        <f t="shared" si="70"/>
        <v>9418</v>
      </c>
      <c r="E38" s="798">
        <f t="shared" si="70"/>
        <v>136424</v>
      </c>
      <c r="F38" s="798">
        <f t="shared" si="70"/>
        <v>65531</v>
      </c>
      <c r="G38" s="799">
        <f t="shared" si="70"/>
        <v>95332</v>
      </c>
      <c r="H38" s="949">
        <f t="shared" si="71"/>
        <v>1</v>
      </c>
      <c r="I38" s="950">
        <f t="shared" si="71"/>
        <v>1</v>
      </c>
      <c r="J38" s="950">
        <f t="shared" si="71"/>
        <v>1</v>
      </c>
      <c r="K38" s="950">
        <f t="shared" si="71"/>
        <v>0.79798957242497481</v>
      </c>
      <c r="L38" s="950">
        <f t="shared" si="71"/>
        <v>1</v>
      </c>
      <c r="M38" s="951">
        <f t="shared" si="71"/>
        <v>0.87757881772606106</v>
      </c>
      <c r="N38" s="284">
        <f t="shared" si="29"/>
        <v>4963.3431028321857</v>
      </c>
      <c r="O38" s="285">
        <f t="shared" si="30"/>
        <v>4813.6129836962691</v>
      </c>
      <c r="P38" s="285">
        <f t="shared" si="31"/>
        <v>3626.8369326215807</v>
      </c>
      <c r="Q38" s="285">
        <f t="shared" si="32"/>
        <v>3086.0399458377688</v>
      </c>
      <c r="R38" s="285">
        <f t="shared" si="33"/>
        <v>5910.4717899480574</v>
      </c>
      <c r="S38" s="287">
        <f t="shared" si="34"/>
        <v>3111.6931011568718</v>
      </c>
      <c r="T38" s="284">
        <f t="shared" si="35"/>
        <v>149.73011913591654</v>
      </c>
      <c r="U38" s="285">
        <f t="shared" si="36"/>
        <v>1336.506170210605</v>
      </c>
      <c r="V38" s="285">
        <f t="shared" si="37"/>
        <v>1877.3031569944169</v>
      </c>
      <c r="W38" s="285">
        <f t="shared" si="38"/>
        <v>-947.1286871158718</v>
      </c>
      <c r="X38" s="287">
        <f t="shared" si="39"/>
        <v>1851.6500016753139</v>
      </c>
      <c r="Y38" s="288">
        <f>IF($D$7=0,86,IF(AND(Y$22=TRUE,INDEX(CDRANGE_CLS2,MATCH($A38,$A$24:$A$67,0),MATCH(Y$20,$B$20:$G$20,0))&lt;$D$6/OPDAYS_Cls2),86,payback(C38,T38,disc_rate/12,85)))</f>
        <v>86</v>
      </c>
      <c r="Z38" s="289">
        <f>IF($D$7=0,86,IF(AND(Z$22=TRUE,INDEX(CDRANGE_CLS2,MATCH($A38,$A$24:$A$67,0),MATCH(Z$20,$B$20:$G$20,0))&lt;$D$6/OPDAYS_Cls2),86,payback(D38,U38,disc_rate/12,85)))</f>
        <v>86</v>
      </c>
      <c r="AA38" s="289">
        <f>IF($D$7=0,86,IF(AND(AA$22=TRUE,INDEX(CDRANGE_CLS2,MATCH($A38,$A$24:$A$67,0),MATCH(AA$20,$B$20:$G$20,0))&lt;$D$6/OPDAYS_Cls2),86,payback(E38,V38,disc_rate/12,85)))</f>
        <v>86</v>
      </c>
      <c r="AB38" s="289">
        <f>IF($D$7=0,86,IF(AND(AB$22=TRUE,INDEX(CDRANGE_CLS2,MATCH($A38,$A$24:$A$67,0),MATCH(AB$20,$B$20:$G$20,0))&lt;$D$6/OPDAYS_Cls2),86,payback(F38,W38,disc_rate/12,85)))</f>
        <v>86</v>
      </c>
      <c r="AC38" s="290">
        <f>IF($D$7=0,86,IF(AND(AC$22=TRUE,INDEX(CDRANGE_CLS2,MATCH($A38,$A$24:$A$67,0),MATCH(AC$20,$B$20:$G$20,0))&lt;$D$6/OPDAYS_Cls2),86,payback(G38,X38,disc_rate/12,85)))</f>
        <v>86</v>
      </c>
      <c r="AD38" s="291">
        <f t="shared" si="40"/>
        <v>0</v>
      </c>
      <c r="AE38" s="292">
        <f t="shared" si="41"/>
        <v>0</v>
      </c>
      <c r="AF38" s="292">
        <f t="shared" si="42"/>
        <v>0</v>
      </c>
      <c r="AG38" s="292">
        <f t="shared" si="43"/>
        <v>0</v>
      </c>
      <c r="AH38" s="293">
        <f t="shared" si="44"/>
        <v>0</v>
      </c>
      <c r="AI38" s="294">
        <f t="shared" si="45"/>
        <v>0</v>
      </c>
      <c r="AJ38" s="295">
        <f t="shared" si="46"/>
        <v>0</v>
      </c>
      <c r="AK38" s="295">
        <f t="shared" si="47"/>
        <v>0</v>
      </c>
      <c r="AL38" s="295">
        <f t="shared" si="48"/>
        <v>0</v>
      </c>
      <c r="AM38" s="296">
        <f t="shared" si="49"/>
        <v>0</v>
      </c>
      <c r="AN38" s="294">
        <f t="shared" si="61"/>
        <v>0.99999999947130991</v>
      </c>
      <c r="AO38" s="295">
        <f t="shared" si="50"/>
        <v>0.9541884016708001</v>
      </c>
      <c r="AP38" s="295">
        <f t="shared" si="50"/>
        <v>5.329219395222573E-5</v>
      </c>
      <c r="AQ38" s="295">
        <f t="shared" si="50"/>
        <v>0.10327495295139288</v>
      </c>
      <c r="AR38" s="296">
        <f t="shared" si="50"/>
        <v>8.1900393067584343E-3</v>
      </c>
      <c r="AS38" s="291">
        <f t="shared" si="51"/>
        <v>0</v>
      </c>
      <c r="AT38" s="292">
        <f t="shared" si="52"/>
        <v>0</v>
      </c>
      <c r="AU38" s="292">
        <f t="shared" si="53"/>
        <v>0</v>
      </c>
      <c r="AV38" s="292">
        <f t="shared" si="54"/>
        <v>0</v>
      </c>
      <c r="AW38" s="293">
        <f t="shared" si="55"/>
        <v>0</v>
      </c>
      <c r="AX38" s="291">
        <f t="shared" si="56"/>
        <v>0</v>
      </c>
      <c r="AY38" s="292">
        <f t="shared" si="57"/>
        <v>0</v>
      </c>
      <c r="AZ38" s="292">
        <f t="shared" si="58"/>
        <v>0</v>
      </c>
      <c r="BA38" s="292">
        <f t="shared" si="62"/>
        <v>0</v>
      </c>
      <c r="BB38" s="293">
        <f t="shared" si="63"/>
        <v>0</v>
      </c>
      <c r="BC38" s="291">
        <f t="shared" si="64"/>
        <v>1</v>
      </c>
      <c r="BD38" s="292">
        <f t="shared" si="65"/>
        <v>0</v>
      </c>
      <c r="BE38" s="292">
        <f t="shared" si="66"/>
        <v>0</v>
      </c>
      <c r="BF38" s="292">
        <f t="shared" si="67"/>
        <v>0</v>
      </c>
      <c r="BG38" s="292">
        <f t="shared" si="68"/>
        <v>0</v>
      </c>
      <c r="BH38" s="293">
        <f t="shared" si="69"/>
        <v>0</v>
      </c>
    </row>
    <row r="39" spans="1:60" x14ac:dyDescent="0.2">
      <c r="A39" s="326">
        <v>2022</v>
      </c>
      <c r="B39" s="800">
        <f t="shared" si="70"/>
        <v>72620.740000000005</v>
      </c>
      <c r="C39" s="801">
        <f t="shared" si="70"/>
        <v>70.55</v>
      </c>
      <c r="D39" s="801">
        <f t="shared" si="70"/>
        <v>9114.11</v>
      </c>
      <c r="E39" s="801">
        <f t="shared" si="70"/>
        <v>130472.27</v>
      </c>
      <c r="F39" s="801">
        <f t="shared" si="70"/>
        <v>63074.93</v>
      </c>
      <c r="G39" s="802">
        <f t="shared" si="70"/>
        <v>90823.44</v>
      </c>
      <c r="H39" s="952">
        <f t="shared" si="71"/>
        <v>1</v>
      </c>
      <c r="I39" s="953">
        <f t="shared" si="71"/>
        <v>1</v>
      </c>
      <c r="J39" s="953">
        <f t="shared" si="71"/>
        <v>1</v>
      </c>
      <c r="K39" s="953">
        <f t="shared" si="71"/>
        <v>0.79606604415353699</v>
      </c>
      <c r="L39" s="953">
        <f t="shared" si="71"/>
        <v>1</v>
      </c>
      <c r="M39" s="954">
        <f t="shared" si="71"/>
        <v>0.87822961325240356</v>
      </c>
      <c r="N39" s="298">
        <f t="shared" si="29"/>
        <v>4951.0093404035015</v>
      </c>
      <c r="O39" s="299">
        <f t="shared" si="30"/>
        <v>4795.3767275042183</v>
      </c>
      <c r="P39" s="299">
        <f t="shared" si="31"/>
        <v>3613.0181691964644</v>
      </c>
      <c r="Q39" s="299">
        <f t="shared" si="32"/>
        <v>3063.4546950581116</v>
      </c>
      <c r="R39" s="299">
        <f t="shared" si="33"/>
        <v>5477.2546552709891</v>
      </c>
      <c r="S39" s="301">
        <f t="shared" si="34"/>
        <v>3077.9607933303969</v>
      </c>
      <c r="T39" s="298">
        <f t="shared" si="35"/>
        <v>155.63261289928323</v>
      </c>
      <c r="U39" s="299">
        <f t="shared" si="36"/>
        <v>1337.991171207037</v>
      </c>
      <c r="V39" s="299">
        <f t="shared" si="37"/>
        <v>1887.5546453453899</v>
      </c>
      <c r="W39" s="299">
        <f t="shared" si="38"/>
        <v>-526.24531486748765</v>
      </c>
      <c r="X39" s="301">
        <f t="shared" si="39"/>
        <v>1873.0485470731046</v>
      </c>
      <c r="Y39" s="288">
        <f>IF($D$7=0,86,IF(AND(Y$22=TRUE,INDEX(CDRANGE_CLS2,MATCH($A39,$A$24:$A$67,0),MATCH(Y$20,$B$20:$G$20,0))&lt;$D$6/OPDAYS_Cls2),86,payback(C39,T39,disc_rate/12,85)))</f>
        <v>86</v>
      </c>
      <c r="Z39" s="289">
        <f>IF($D$7=0,86,IF(AND(Z$22=TRUE,INDEX(CDRANGE_CLS2,MATCH($A39,$A$24:$A$67,0),MATCH(Z$20,$B$20:$G$20,0))&lt;$D$6/OPDAYS_Cls2),86,payback(D39,U39,disc_rate/12,85)))</f>
        <v>86</v>
      </c>
      <c r="AA39" s="289">
        <f>IF($D$7=0,86,IF(AND(AA$22=TRUE,INDEX(CDRANGE_CLS2,MATCH($A39,$A$24:$A$67,0),MATCH(AA$20,$B$20:$G$20,0))&lt;$D$6/OPDAYS_Cls2),86,payback(E39,V39,disc_rate/12,85)))</f>
        <v>86</v>
      </c>
      <c r="AB39" s="289">
        <f>IF($D$7=0,86,IF(AND(AB$22=TRUE,INDEX(CDRANGE_CLS2,MATCH($A39,$A$24:$A$67,0),MATCH(AB$20,$B$20:$G$20,0))&lt;$D$6/OPDAYS_Cls2),86,payback(F39,W39,disc_rate/12,85)))</f>
        <v>86</v>
      </c>
      <c r="AC39" s="290">
        <f>IF($D$7=0,86,IF(AND(AC$22=TRUE,INDEX(CDRANGE_CLS2,MATCH($A39,$A$24:$A$67,0),MATCH(AC$20,$B$20:$G$20,0))&lt;$D$6/OPDAYS_Cls2),86,payback(G39,X39,disc_rate/12,85)))</f>
        <v>86</v>
      </c>
      <c r="AD39" s="305">
        <f t="shared" si="40"/>
        <v>0</v>
      </c>
      <c r="AE39" s="306">
        <f t="shared" si="41"/>
        <v>0</v>
      </c>
      <c r="AF39" s="306">
        <f t="shared" si="42"/>
        <v>0</v>
      </c>
      <c r="AG39" s="306">
        <f t="shared" si="43"/>
        <v>0</v>
      </c>
      <c r="AH39" s="307">
        <f t="shared" si="44"/>
        <v>0</v>
      </c>
      <c r="AI39" s="308">
        <f t="shared" si="45"/>
        <v>0</v>
      </c>
      <c r="AJ39" s="309">
        <f t="shared" si="46"/>
        <v>0</v>
      </c>
      <c r="AK39" s="309">
        <f t="shared" si="47"/>
        <v>0</v>
      </c>
      <c r="AL39" s="309">
        <f t="shared" si="48"/>
        <v>0</v>
      </c>
      <c r="AM39" s="310">
        <f t="shared" si="49"/>
        <v>0</v>
      </c>
      <c r="AN39" s="308">
        <f t="shared" si="61"/>
        <v>0.99999737838069713</v>
      </c>
      <c r="AO39" s="309">
        <f t="shared" si="50"/>
        <v>0.95719065763273947</v>
      </c>
      <c r="AP39" s="309">
        <f t="shared" si="50"/>
        <v>1.2764135051956949E-4</v>
      </c>
      <c r="AQ39" s="309">
        <f t="shared" si="50"/>
        <v>0.12300750811915928</v>
      </c>
      <c r="AR39" s="310">
        <f t="shared" si="50"/>
        <v>1.2973809011123771E-2</v>
      </c>
      <c r="AS39" s="291">
        <f t="shared" si="51"/>
        <v>0</v>
      </c>
      <c r="AT39" s="292">
        <f t="shared" si="52"/>
        <v>0</v>
      </c>
      <c r="AU39" s="292">
        <f t="shared" si="53"/>
        <v>0</v>
      </c>
      <c r="AV39" s="292">
        <f t="shared" si="54"/>
        <v>0</v>
      </c>
      <c r="AW39" s="293">
        <f t="shared" si="55"/>
        <v>0</v>
      </c>
      <c r="AX39" s="305">
        <f t="shared" si="56"/>
        <v>0</v>
      </c>
      <c r="AY39" s="306">
        <f t="shared" si="57"/>
        <v>0</v>
      </c>
      <c r="AZ39" s="306">
        <f t="shared" si="58"/>
        <v>0</v>
      </c>
      <c r="BA39" s="292">
        <f t="shared" si="62"/>
        <v>0</v>
      </c>
      <c r="BB39" s="293">
        <f t="shared" si="63"/>
        <v>0</v>
      </c>
      <c r="BC39" s="291">
        <f t="shared" si="64"/>
        <v>1</v>
      </c>
      <c r="BD39" s="292">
        <f t="shared" si="65"/>
        <v>0</v>
      </c>
      <c r="BE39" s="292">
        <f t="shared" si="66"/>
        <v>0</v>
      </c>
      <c r="BF39" s="292">
        <f t="shared" si="67"/>
        <v>0</v>
      </c>
      <c r="BG39" s="292">
        <f t="shared" si="68"/>
        <v>0</v>
      </c>
      <c r="BH39" s="293">
        <f t="shared" si="69"/>
        <v>0</v>
      </c>
    </row>
    <row r="40" spans="1:60" x14ac:dyDescent="0.2">
      <c r="A40" s="326">
        <v>2023</v>
      </c>
      <c r="B40" s="800">
        <f t="shared" si="70"/>
        <v>72796.27</v>
      </c>
      <c r="C40" s="801">
        <f t="shared" si="70"/>
        <v>141.63</v>
      </c>
      <c r="D40" s="801">
        <f t="shared" si="70"/>
        <v>8807.94</v>
      </c>
      <c r="E40" s="801">
        <f t="shared" si="70"/>
        <v>124476.03</v>
      </c>
      <c r="F40" s="801">
        <f t="shared" si="70"/>
        <v>60600.5</v>
      </c>
      <c r="G40" s="802">
        <f t="shared" si="70"/>
        <v>86281.17</v>
      </c>
      <c r="H40" s="952">
        <f t="shared" si="71"/>
        <v>1</v>
      </c>
      <c r="I40" s="953">
        <f t="shared" si="71"/>
        <v>1</v>
      </c>
      <c r="J40" s="953">
        <f t="shared" si="71"/>
        <v>1</v>
      </c>
      <c r="K40" s="953">
        <f t="shared" si="71"/>
        <v>0.79412813246815694</v>
      </c>
      <c r="L40" s="953">
        <f t="shared" si="71"/>
        <v>1</v>
      </c>
      <c r="M40" s="954">
        <f t="shared" si="71"/>
        <v>0.87888527518054849</v>
      </c>
      <c r="N40" s="298">
        <f t="shared" si="29"/>
        <v>4866.9578384559136</v>
      </c>
      <c r="O40" s="299">
        <f t="shared" si="30"/>
        <v>4731.5928332126477</v>
      </c>
      <c r="P40" s="299">
        <f t="shared" si="31"/>
        <v>3564.8858074500135</v>
      </c>
      <c r="Q40" s="299">
        <f t="shared" si="32"/>
        <v>3053.9459197783531</v>
      </c>
      <c r="R40" s="299">
        <f t="shared" si="33"/>
        <v>5059.3154766843736</v>
      </c>
      <c r="S40" s="301">
        <f t="shared" si="34"/>
        <v>3022.4179021645618</v>
      </c>
      <c r="T40" s="298">
        <f t="shared" si="35"/>
        <v>135.36500524326584</v>
      </c>
      <c r="U40" s="299">
        <f t="shared" si="36"/>
        <v>1302.0720310059</v>
      </c>
      <c r="V40" s="299">
        <f t="shared" si="37"/>
        <v>1813.0119186775605</v>
      </c>
      <c r="W40" s="299">
        <f t="shared" si="38"/>
        <v>-192.35763822846002</v>
      </c>
      <c r="X40" s="301">
        <f t="shared" si="39"/>
        <v>1844.5399362913518</v>
      </c>
      <c r="Y40" s="288">
        <f>IF($D$7=0,86,IF(AND(Y$22=TRUE,INDEX(CDRANGE_CLS2,MATCH($A40,$A$24:$A$67,0),MATCH(Y$20,$B$20:$G$20,0))&lt;$D$6/OPDAYS_Cls2),86,payback(C40,T40,disc_rate/12,85)))</f>
        <v>86</v>
      </c>
      <c r="Z40" s="289">
        <f>IF($D$7=0,86,IF(AND(Z$22=TRUE,INDEX(CDRANGE_CLS2,MATCH($A40,$A$24:$A$67,0),MATCH(Z$20,$B$20:$G$20,0))&lt;$D$6/OPDAYS_Cls2),86,payback(D40,U40,disc_rate/12,85)))</f>
        <v>86</v>
      </c>
      <c r="AA40" s="289">
        <f>IF($D$7=0,86,IF(AND(AA$22=TRUE,INDEX(CDRANGE_CLS2,MATCH($A40,$A$24:$A$67,0),MATCH(AA$20,$B$20:$G$20,0))&lt;$D$6/OPDAYS_Cls2),86,payback(E40,V40,disc_rate/12,85)))</f>
        <v>86</v>
      </c>
      <c r="AB40" s="289">
        <f>IF($D$7=0,86,IF(AND(AB$22=TRUE,INDEX(CDRANGE_CLS2,MATCH($A40,$A$24:$A$67,0),MATCH(AB$20,$B$20:$G$20,0))&lt;$D$6/OPDAYS_Cls2),86,payback(F40,W40,disc_rate/12,85)))</f>
        <v>86</v>
      </c>
      <c r="AC40" s="290">
        <f>IF($D$7=0,86,IF(AND(AC$22=TRUE,INDEX(CDRANGE_CLS2,MATCH($A40,$A$24:$A$67,0),MATCH(AC$20,$B$20:$G$20,0))&lt;$D$6/OPDAYS_Cls2),86,payback(G40,X40,disc_rate/12,85)))</f>
        <v>86</v>
      </c>
      <c r="AD40" s="305">
        <f t="shared" si="40"/>
        <v>0</v>
      </c>
      <c r="AE40" s="306">
        <f t="shared" si="41"/>
        <v>0</v>
      </c>
      <c r="AF40" s="306">
        <f t="shared" si="42"/>
        <v>0</v>
      </c>
      <c r="AG40" s="306">
        <f t="shared" si="43"/>
        <v>0</v>
      </c>
      <c r="AH40" s="307">
        <f t="shared" si="44"/>
        <v>0</v>
      </c>
      <c r="AI40" s="308">
        <f t="shared" si="45"/>
        <v>0</v>
      </c>
      <c r="AJ40" s="309">
        <f t="shared" si="46"/>
        <v>0</v>
      </c>
      <c r="AK40" s="309">
        <f t="shared" si="47"/>
        <v>0</v>
      </c>
      <c r="AL40" s="309">
        <f t="shared" si="48"/>
        <v>0</v>
      </c>
      <c r="AM40" s="310">
        <f t="shared" si="49"/>
        <v>0</v>
      </c>
      <c r="AN40" s="308">
        <f t="shared" si="61"/>
        <v>0.99998948552792055</v>
      </c>
      <c r="AO40" s="309">
        <f t="shared" ref="AO40:AO67" si="72">IF(D40&lt;0,1,$AQ$17*(1-WEIBULL(D40/$B40,$AO$17,$AO$18,1)))</f>
        <v>0.9601500825472763</v>
      </c>
      <c r="AP40" s="309">
        <f t="shared" ref="AP40:AP67" si="73">IF(E40&lt;0,1,$AQ$17*(1-WEIBULL(E40/$B40,$AO$17,$AO$18,1)))</f>
        <v>2.9700241351693357E-4</v>
      </c>
      <c r="AQ40" s="309">
        <f t="shared" ref="AQ40:AQ67" si="74">IF(F40&lt;0,1,$AQ$17*(1-WEIBULL(F40/$B40,$AO$17,$AO$18,1)))</f>
        <v>0.14587515809166018</v>
      </c>
      <c r="AR40" s="310">
        <f t="shared" ref="AR40:AR67" si="75">IF(G40&lt;0,1,$AQ$17*(1-WEIBULL(G40/$B40,$AO$17,$AO$18,1)))</f>
        <v>2.019710666985608E-2</v>
      </c>
      <c r="AS40" s="291">
        <f t="shared" si="51"/>
        <v>0</v>
      </c>
      <c r="AT40" s="292">
        <f t="shared" si="52"/>
        <v>0</v>
      </c>
      <c r="AU40" s="292">
        <f t="shared" si="53"/>
        <v>0</v>
      </c>
      <c r="AV40" s="292">
        <f t="shared" si="54"/>
        <v>0</v>
      </c>
      <c r="AW40" s="293">
        <f t="shared" si="55"/>
        <v>0</v>
      </c>
      <c r="AX40" s="305">
        <f t="shared" si="56"/>
        <v>0</v>
      </c>
      <c r="AY40" s="306">
        <f t="shared" si="57"/>
        <v>0</v>
      </c>
      <c r="AZ40" s="306">
        <f t="shared" si="58"/>
        <v>0</v>
      </c>
      <c r="BA40" s="292">
        <f t="shared" si="62"/>
        <v>0</v>
      </c>
      <c r="BB40" s="293">
        <f t="shared" si="63"/>
        <v>0</v>
      </c>
      <c r="BC40" s="291">
        <f t="shared" si="64"/>
        <v>1</v>
      </c>
      <c r="BD40" s="292">
        <f t="shared" si="65"/>
        <v>0</v>
      </c>
      <c r="BE40" s="292">
        <f t="shared" si="66"/>
        <v>0</v>
      </c>
      <c r="BF40" s="292">
        <f t="shared" si="67"/>
        <v>0</v>
      </c>
      <c r="BG40" s="292">
        <f t="shared" si="68"/>
        <v>0</v>
      </c>
      <c r="BH40" s="293">
        <f t="shared" si="69"/>
        <v>0</v>
      </c>
    </row>
    <row r="41" spans="1:60" x14ac:dyDescent="0.2">
      <c r="A41" s="326">
        <v>2024</v>
      </c>
      <c r="B41" s="800">
        <f t="shared" si="70"/>
        <v>73008.66</v>
      </c>
      <c r="C41" s="801">
        <f t="shared" si="70"/>
        <v>251.95</v>
      </c>
      <c r="D41" s="801">
        <f t="shared" si="70"/>
        <v>8332.7800000000007</v>
      </c>
      <c r="E41" s="801">
        <f t="shared" si="70"/>
        <v>115170.02</v>
      </c>
      <c r="F41" s="801">
        <f t="shared" si="70"/>
        <v>56760.24</v>
      </c>
      <c r="G41" s="802">
        <f t="shared" si="70"/>
        <v>79231.67</v>
      </c>
      <c r="H41" s="952">
        <f t="shared" si="71"/>
        <v>1</v>
      </c>
      <c r="I41" s="953">
        <f t="shared" si="71"/>
        <v>1</v>
      </c>
      <c r="J41" s="953">
        <f t="shared" si="71"/>
        <v>1</v>
      </c>
      <c r="K41" s="953">
        <f t="shared" si="71"/>
        <v>0.79112054101891738</v>
      </c>
      <c r="L41" s="953">
        <f t="shared" si="71"/>
        <v>1</v>
      </c>
      <c r="M41" s="954">
        <f t="shared" si="71"/>
        <v>0.87990284642672945</v>
      </c>
      <c r="N41" s="298">
        <f t="shared" si="29"/>
        <v>4822.8947910747956</v>
      </c>
      <c r="O41" s="299">
        <f t="shared" si="30"/>
        <v>4679.4070847453395</v>
      </c>
      <c r="P41" s="299">
        <f t="shared" si="31"/>
        <v>3525.4579756424109</v>
      </c>
      <c r="Q41" s="299">
        <f t="shared" si="32"/>
        <v>3009.9995202020432</v>
      </c>
      <c r="R41" s="299">
        <f t="shared" si="33"/>
        <v>4610.2157226310828</v>
      </c>
      <c r="S41" s="301">
        <f t="shared" si="34"/>
        <v>2960.1530502378282</v>
      </c>
      <c r="T41" s="298">
        <f t="shared" si="35"/>
        <v>143.48770632945616</v>
      </c>
      <c r="U41" s="299">
        <f t="shared" si="36"/>
        <v>1297.4368154323847</v>
      </c>
      <c r="V41" s="299">
        <f t="shared" si="37"/>
        <v>1812.8952708727525</v>
      </c>
      <c r="W41" s="299">
        <f t="shared" si="38"/>
        <v>212.67906844371282</v>
      </c>
      <c r="X41" s="301">
        <f t="shared" si="39"/>
        <v>1862.7417408369674</v>
      </c>
      <c r="Y41" s="288">
        <f>IF($D$7=0,86,IF(AND(Y$22=TRUE,INDEX(CDRANGE_CLS2,MATCH($A41,$A$24:$A$67,0),MATCH(Y$20,$B$20:$G$20,0))&lt;$D$6/OPDAYS_Cls2),86,payback(C41,T41,disc_rate/12,85)))</f>
        <v>86</v>
      </c>
      <c r="Z41" s="289">
        <f>IF($D$7=0,86,IF(AND(Z$22=TRUE,INDEX(CDRANGE_CLS2,MATCH($A41,$A$24:$A$67,0),MATCH(Z$20,$B$20:$G$20,0))&lt;$D$6/OPDAYS_Cls2),86,payback(D41,U41,disc_rate/12,85)))</f>
        <v>86</v>
      </c>
      <c r="AA41" s="289">
        <f>IF($D$7=0,86,IF(AND(AA$22=TRUE,INDEX(CDRANGE_CLS2,MATCH($A41,$A$24:$A$67,0),MATCH(AA$20,$B$20:$G$20,0))&lt;$D$6/OPDAYS_Cls2),86,payback(E41,V41,disc_rate/12,85)))</f>
        <v>86</v>
      </c>
      <c r="AB41" s="289">
        <f>IF($D$7=0,86,IF(AND(AB$22=TRUE,INDEX(CDRANGE_CLS2,MATCH($A41,$A$24:$A$67,0),MATCH(AB$20,$B$20:$G$20,0))&lt;$D$6/OPDAYS_Cls2),86,payback(F41,W41,disc_rate/12,85)))</f>
        <v>86</v>
      </c>
      <c r="AC41" s="290">
        <f>IF($D$7=0,86,IF(AND(AC$22=TRUE,INDEX(CDRANGE_CLS2,MATCH($A41,$A$24:$A$67,0),MATCH(AC$20,$B$20:$G$20,0))&lt;$D$6/OPDAYS_Cls2),86,payback(G41,X41,disc_rate/12,85)))</f>
        <v>86</v>
      </c>
      <c r="AD41" s="305">
        <f t="shared" si="40"/>
        <v>0</v>
      </c>
      <c r="AE41" s="306">
        <f t="shared" si="41"/>
        <v>0</v>
      </c>
      <c r="AF41" s="306">
        <f t="shared" si="42"/>
        <v>0</v>
      </c>
      <c r="AG41" s="306">
        <f t="shared" si="43"/>
        <v>0</v>
      </c>
      <c r="AH41" s="307">
        <f t="shared" si="44"/>
        <v>0</v>
      </c>
      <c r="AI41" s="308">
        <f t="shared" si="45"/>
        <v>0</v>
      </c>
      <c r="AJ41" s="309">
        <f t="shared" si="46"/>
        <v>0</v>
      </c>
      <c r="AK41" s="309">
        <f t="shared" si="47"/>
        <v>0</v>
      </c>
      <c r="AL41" s="309">
        <f t="shared" si="48"/>
        <v>0</v>
      </c>
      <c r="AM41" s="310">
        <f t="shared" si="49"/>
        <v>0</v>
      </c>
      <c r="AN41" s="308">
        <f t="shared" si="61"/>
        <v>0.99996691963549866</v>
      </c>
      <c r="AO41" s="309">
        <f t="shared" si="72"/>
        <v>0.96446185161589404</v>
      </c>
      <c r="AP41" s="309">
        <f t="shared" si="73"/>
        <v>9.9538557903955382E-4</v>
      </c>
      <c r="AQ41" s="309">
        <f t="shared" si="74"/>
        <v>0.1865701842667522</v>
      </c>
      <c r="AR41" s="310">
        <f t="shared" si="75"/>
        <v>3.7949620454832966E-2</v>
      </c>
      <c r="AS41" s="291">
        <f t="shared" si="51"/>
        <v>0</v>
      </c>
      <c r="AT41" s="292">
        <f t="shared" si="52"/>
        <v>0</v>
      </c>
      <c r="AU41" s="292">
        <f t="shared" si="53"/>
        <v>0</v>
      </c>
      <c r="AV41" s="292">
        <f t="shared" si="54"/>
        <v>0</v>
      </c>
      <c r="AW41" s="293">
        <f t="shared" si="55"/>
        <v>0</v>
      </c>
      <c r="AX41" s="305">
        <f t="shared" si="56"/>
        <v>0</v>
      </c>
      <c r="AY41" s="306">
        <f t="shared" si="57"/>
        <v>0</v>
      </c>
      <c r="AZ41" s="306">
        <f t="shared" si="58"/>
        <v>0</v>
      </c>
      <c r="BA41" s="292">
        <f t="shared" si="62"/>
        <v>0</v>
      </c>
      <c r="BB41" s="293">
        <f t="shared" si="63"/>
        <v>0</v>
      </c>
      <c r="BC41" s="291">
        <f t="shared" si="64"/>
        <v>1</v>
      </c>
      <c r="BD41" s="292">
        <f t="shared" si="65"/>
        <v>0</v>
      </c>
      <c r="BE41" s="292">
        <f t="shared" si="66"/>
        <v>0</v>
      </c>
      <c r="BF41" s="292">
        <f t="shared" si="67"/>
        <v>0</v>
      </c>
      <c r="BG41" s="292">
        <f t="shared" si="68"/>
        <v>0</v>
      </c>
      <c r="BH41" s="293">
        <f t="shared" si="69"/>
        <v>0</v>
      </c>
    </row>
    <row r="42" spans="1:60" ht="13.5" thickBot="1" x14ac:dyDescent="0.25">
      <c r="A42" s="311">
        <v>2025</v>
      </c>
      <c r="B42" s="803">
        <f t="shared" si="70"/>
        <v>73248.899999999994</v>
      </c>
      <c r="C42" s="804">
        <f t="shared" si="70"/>
        <v>380.87</v>
      </c>
      <c r="D42" s="804">
        <f t="shared" si="70"/>
        <v>7777.45</v>
      </c>
      <c r="E42" s="804">
        <f t="shared" si="70"/>
        <v>104294.07</v>
      </c>
      <c r="F42" s="804">
        <f t="shared" si="70"/>
        <v>52272.13</v>
      </c>
      <c r="G42" s="805">
        <f t="shared" si="70"/>
        <v>70992.92</v>
      </c>
      <c r="H42" s="946">
        <f t="shared" si="71"/>
        <v>1</v>
      </c>
      <c r="I42" s="947">
        <f t="shared" si="71"/>
        <v>1</v>
      </c>
      <c r="J42" s="947">
        <f t="shared" si="71"/>
        <v>1</v>
      </c>
      <c r="K42" s="947">
        <f t="shared" si="71"/>
        <v>0.78760556364675571</v>
      </c>
      <c r="L42" s="947">
        <f t="shared" si="71"/>
        <v>1</v>
      </c>
      <c r="M42" s="948">
        <f t="shared" si="71"/>
        <v>0.88109208371685155</v>
      </c>
      <c r="N42" s="312">
        <f t="shared" si="29"/>
        <v>4709.8989775215805</v>
      </c>
      <c r="O42" s="313">
        <f t="shared" si="30"/>
        <v>4555.3219046807999</v>
      </c>
      <c r="P42" s="313">
        <f t="shared" si="31"/>
        <v>3431.8548119663228</v>
      </c>
      <c r="Q42" s="313">
        <f t="shared" si="32"/>
        <v>2975.8353971251654</v>
      </c>
      <c r="R42" s="313">
        <f t="shared" si="33"/>
        <v>4166.4391357816303</v>
      </c>
      <c r="S42" s="315">
        <f t="shared" si="34"/>
        <v>2859.6572468706004</v>
      </c>
      <c r="T42" s="312">
        <f t="shared" si="35"/>
        <v>154.5770728407806</v>
      </c>
      <c r="U42" s="313">
        <f t="shared" si="36"/>
        <v>1278.0441655552577</v>
      </c>
      <c r="V42" s="313">
        <f t="shared" si="37"/>
        <v>1734.0635803964151</v>
      </c>
      <c r="W42" s="313">
        <f t="shared" si="38"/>
        <v>543.45984173995021</v>
      </c>
      <c r="X42" s="315">
        <f t="shared" si="39"/>
        <v>1850.2417306509801</v>
      </c>
      <c r="Y42" s="288">
        <f>IF($D$7=0,86,IF(AND(Y$22=TRUE,INDEX(CDRANGE_CLS2,MATCH($A42,$A$24:$A$67,0),MATCH(Y$20,$B$20:$G$20,0))&lt;$D$6/OPDAYS_Cls2),86,payback(C42,T42,disc_rate/12,85)))</f>
        <v>86</v>
      </c>
      <c r="Z42" s="289">
        <f>IF($D$7=0,86,IF(AND(Z$22=TRUE,INDEX(CDRANGE_CLS2,MATCH($A42,$A$24:$A$67,0),MATCH(Z$20,$B$20:$G$20,0))&lt;$D$6/OPDAYS_Cls2),86,payback(D42,U42,disc_rate/12,85)))</f>
        <v>86</v>
      </c>
      <c r="AA42" s="289">
        <f>IF($D$7=0,86,IF(AND(AA$22=TRUE,INDEX(CDRANGE_CLS2,MATCH($A42,$A$24:$A$67,0),MATCH(AA$20,$B$20:$G$20,0))&lt;$D$6/OPDAYS_Cls2),86,payback(E42,V42,disc_rate/12,85)))</f>
        <v>86</v>
      </c>
      <c r="AB42" s="289">
        <f>IF($D$7=0,86,IF(AND(AB$22=TRUE,INDEX(CDRANGE_CLS2,MATCH($A42,$A$24:$A$67,0),MATCH(AB$20,$B$20:$G$20,0))&lt;$D$6/OPDAYS_Cls2),86,payback(F42,W42,disc_rate/12,85)))</f>
        <v>86</v>
      </c>
      <c r="AC42" s="290">
        <f>IF($D$7=0,86,IF(AND(AC$22=TRUE,INDEX(CDRANGE_CLS2,MATCH($A42,$A$24:$A$67,0),MATCH(AC$20,$B$20:$G$20,0))&lt;$D$6/OPDAYS_Cls2),86,payback(G42,X42,disc_rate/12,85)))</f>
        <v>86</v>
      </c>
      <c r="AD42" s="319">
        <f t="shared" si="40"/>
        <v>0</v>
      </c>
      <c r="AE42" s="320">
        <f t="shared" si="41"/>
        <v>0</v>
      </c>
      <c r="AF42" s="320">
        <f t="shared" si="42"/>
        <v>0</v>
      </c>
      <c r="AG42" s="320">
        <f t="shared" si="43"/>
        <v>0</v>
      </c>
      <c r="AH42" s="321">
        <f t="shared" si="44"/>
        <v>0</v>
      </c>
      <c r="AI42" s="322">
        <f t="shared" si="45"/>
        <v>0</v>
      </c>
      <c r="AJ42" s="323">
        <f t="shared" si="46"/>
        <v>0</v>
      </c>
      <c r="AK42" s="323">
        <f t="shared" si="47"/>
        <v>0</v>
      </c>
      <c r="AL42" s="323">
        <f t="shared" si="48"/>
        <v>0</v>
      </c>
      <c r="AM42" s="324">
        <f t="shared" si="49"/>
        <v>0</v>
      </c>
      <c r="AN42" s="322">
        <f t="shared" si="61"/>
        <v>0.99992490128450717</v>
      </c>
      <c r="AO42" s="323">
        <f t="shared" si="72"/>
        <v>0.9691690256646196</v>
      </c>
      <c r="AP42" s="323">
        <f t="shared" si="73"/>
        <v>3.5836412639514981E-3</v>
      </c>
      <c r="AQ42" s="323">
        <f t="shared" si="74"/>
        <v>0.24302119968486102</v>
      </c>
      <c r="AR42" s="324">
        <f t="shared" si="75"/>
        <v>7.3585439303752498E-2</v>
      </c>
      <c r="AS42" s="810">
        <f t="shared" si="51"/>
        <v>0</v>
      </c>
      <c r="AT42" s="811">
        <f t="shared" si="52"/>
        <v>0</v>
      </c>
      <c r="AU42" s="811">
        <f t="shared" si="53"/>
        <v>0</v>
      </c>
      <c r="AV42" s="811">
        <f t="shared" si="54"/>
        <v>0</v>
      </c>
      <c r="AW42" s="812">
        <f t="shared" si="55"/>
        <v>0</v>
      </c>
      <c r="AX42" s="319">
        <f t="shared" si="56"/>
        <v>0</v>
      </c>
      <c r="AY42" s="320">
        <f t="shared" si="57"/>
        <v>0</v>
      </c>
      <c r="AZ42" s="320">
        <f t="shared" si="58"/>
        <v>0</v>
      </c>
      <c r="BA42" s="320">
        <f t="shared" si="62"/>
        <v>0</v>
      </c>
      <c r="BB42" s="321">
        <f t="shared" si="63"/>
        <v>0</v>
      </c>
      <c r="BC42" s="319">
        <f t="shared" si="64"/>
        <v>1</v>
      </c>
      <c r="BD42" s="320">
        <f t="shared" si="65"/>
        <v>0</v>
      </c>
      <c r="BE42" s="320">
        <f t="shared" si="66"/>
        <v>0</v>
      </c>
      <c r="BF42" s="320">
        <f t="shared" si="67"/>
        <v>0</v>
      </c>
      <c r="BG42" s="320">
        <f t="shared" si="68"/>
        <v>0</v>
      </c>
      <c r="BH42" s="321">
        <f t="shared" si="69"/>
        <v>0</v>
      </c>
    </row>
    <row r="43" spans="1:60" x14ac:dyDescent="0.2">
      <c r="A43" s="325">
        <v>2026</v>
      </c>
      <c r="B43" s="806">
        <f t="shared" si="70"/>
        <v>73485.22</v>
      </c>
      <c r="C43" s="807">
        <f t="shared" si="70"/>
        <v>489.8</v>
      </c>
      <c r="D43" s="807">
        <f t="shared" si="70"/>
        <v>7308.27</v>
      </c>
      <c r="E43" s="807">
        <f t="shared" si="70"/>
        <v>95105.18</v>
      </c>
      <c r="F43" s="807">
        <f t="shared" si="70"/>
        <v>48480.2</v>
      </c>
      <c r="G43" s="808">
        <f t="shared" si="70"/>
        <v>64032.15</v>
      </c>
      <c r="H43" s="949">
        <f t="shared" si="71"/>
        <v>1</v>
      </c>
      <c r="I43" s="950">
        <f t="shared" si="71"/>
        <v>1</v>
      </c>
      <c r="J43" s="950">
        <f t="shared" si="71"/>
        <v>1</v>
      </c>
      <c r="K43" s="950">
        <f t="shared" si="71"/>
        <v>0.78463582596520964</v>
      </c>
      <c r="L43" s="950">
        <f t="shared" si="71"/>
        <v>1</v>
      </c>
      <c r="M43" s="951">
        <f t="shared" si="71"/>
        <v>0.8820968477363148</v>
      </c>
      <c r="N43" s="284">
        <f t="shared" si="29"/>
        <v>4662.2487163499682</v>
      </c>
      <c r="O43" s="285">
        <f t="shared" si="30"/>
        <v>4515.6485976974582</v>
      </c>
      <c r="P43" s="285">
        <f t="shared" si="31"/>
        <v>3401.8732658175104</v>
      </c>
      <c r="Q43" s="285">
        <f t="shared" si="32"/>
        <v>2946.7105100088706</v>
      </c>
      <c r="R43" s="285">
        <f t="shared" si="33"/>
        <v>3988.1782768295679</v>
      </c>
      <c r="S43" s="287">
        <f t="shared" si="34"/>
        <v>2812.2242427436254</v>
      </c>
      <c r="T43" s="284">
        <f t="shared" si="35"/>
        <v>146.60011865250999</v>
      </c>
      <c r="U43" s="285">
        <f t="shared" si="36"/>
        <v>1260.3754505324578</v>
      </c>
      <c r="V43" s="285">
        <f t="shared" si="37"/>
        <v>1715.5382063410975</v>
      </c>
      <c r="W43" s="285">
        <f t="shared" si="38"/>
        <v>674.07043952040021</v>
      </c>
      <c r="X43" s="287">
        <f t="shared" si="39"/>
        <v>1850.0244736063428</v>
      </c>
      <c r="Y43" s="288">
        <f>IF($D$7=0,86,IF(AND(Y$22=TRUE,INDEX(CDRANGE_CLS2,MATCH($A43,$A$24:$A$67,0),MATCH(Y$20,$B$20:$G$20,0))&lt;$D$6/OPDAYS_Cls2),86,payback(C43,T43,disc_rate/12,85)))</f>
        <v>86</v>
      </c>
      <c r="Z43" s="289">
        <f>IF($D$7=0,86,IF(AND(Z$22=TRUE,INDEX(CDRANGE_CLS2,MATCH($A43,$A$24:$A$67,0),MATCH(Z$20,$B$20:$G$20,0))&lt;$D$6/OPDAYS_Cls2),86,payback(D43,U43,disc_rate/12,85)))</f>
        <v>86</v>
      </c>
      <c r="AA43" s="289">
        <f>IF($D$7=0,86,IF(AND(AA$22=TRUE,INDEX(CDRANGE_CLS2,MATCH($A43,$A$24:$A$67,0),MATCH(AA$20,$B$20:$G$20,0))&lt;$D$6/OPDAYS_Cls2),86,payback(E43,V43,disc_rate/12,85)))</f>
        <v>86</v>
      </c>
      <c r="AB43" s="289">
        <f>IF($D$7=0,86,IF(AND(AB$22=TRUE,INDEX(CDRANGE_CLS2,MATCH($A43,$A$24:$A$67,0),MATCH(AB$20,$B$20:$G$20,0))&lt;$D$6/OPDAYS_Cls2),86,payback(F43,W43,disc_rate/12,85)))</f>
        <v>86</v>
      </c>
      <c r="AC43" s="290">
        <f>IF($D$7=0,86,IF(AND(AC$22=TRUE,INDEX(CDRANGE_CLS2,MATCH($A43,$A$24:$A$67,0),MATCH(AC$20,$B$20:$G$20,0))&lt;$D$6/OPDAYS_Cls2),86,payback(G43,X43,disc_rate/12,85)))</f>
        <v>86</v>
      </c>
      <c r="AD43" s="291">
        <f t="shared" si="40"/>
        <v>0</v>
      </c>
      <c r="AE43" s="292">
        <f t="shared" si="41"/>
        <v>0</v>
      </c>
      <c r="AF43" s="292">
        <f t="shared" si="42"/>
        <v>0</v>
      </c>
      <c r="AG43" s="292">
        <f t="shared" si="43"/>
        <v>0</v>
      </c>
      <c r="AH43" s="293">
        <f t="shared" si="44"/>
        <v>0</v>
      </c>
      <c r="AI43" s="294">
        <f t="shared" si="45"/>
        <v>2.3712936588783391E-2</v>
      </c>
      <c r="AJ43" s="295">
        <f t="shared" si="46"/>
        <v>2.3712936588783391E-2</v>
      </c>
      <c r="AK43" s="295">
        <f t="shared" si="47"/>
        <v>5.5881180896723646E-3</v>
      </c>
      <c r="AL43" s="295">
        <f t="shared" si="48"/>
        <v>6.0705039964801214E-8</v>
      </c>
      <c r="AM43" s="296">
        <f t="shared" si="49"/>
        <v>2.3712936588783391E-2</v>
      </c>
      <c r="AN43" s="294">
        <f t="shared" si="61"/>
        <v>0.99987660195861661</v>
      </c>
      <c r="AO43" s="295">
        <f t="shared" si="72"/>
        <v>0.97289968371130986</v>
      </c>
      <c r="AP43" s="295">
        <f t="shared" si="73"/>
        <v>9.5357392229473703E-3</v>
      </c>
      <c r="AQ43" s="295">
        <f t="shared" si="74"/>
        <v>0.29849562040668309</v>
      </c>
      <c r="AR43" s="296">
        <f t="shared" si="75"/>
        <v>0.12134919302324443</v>
      </c>
      <c r="AS43" s="606">
        <f t="shared" si="51"/>
        <v>0</v>
      </c>
      <c r="AT43" s="607">
        <f t="shared" si="52"/>
        <v>0</v>
      </c>
      <c r="AU43" s="607">
        <f t="shared" si="53"/>
        <v>0</v>
      </c>
      <c r="AV43" s="607">
        <f t="shared" si="54"/>
        <v>0</v>
      </c>
      <c r="AW43" s="608">
        <f t="shared" si="55"/>
        <v>0</v>
      </c>
      <c r="AX43" s="291">
        <f t="shared" si="56"/>
        <v>0</v>
      </c>
      <c r="AY43" s="292">
        <f t="shared" si="57"/>
        <v>0</v>
      </c>
      <c r="AZ43" s="292">
        <f t="shared" si="58"/>
        <v>0</v>
      </c>
      <c r="BA43" s="292">
        <f t="shared" si="62"/>
        <v>0</v>
      </c>
      <c r="BB43" s="293">
        <f t="shared" si="63"/>
        <v>0</v>
      </c>
      <c r="BC43" s="291">
        <f t="shared" si="64"/>
        <v>1</v>
      </c>
      <c r="BD43" s="292">
        <f t="shared" si="65"/>
        <v>0</v>
      </c>
      <c r="BE43" s="292">
        <f t="shared" si="66"/>
        <v>0</v>
      </c>
      <c r="BF43" s="292">
        <f t="shared" si="67"/>
        <v>0</v>
      </c>
      <c r="BG43" s="292">
        <f t="shared" si="68"/>
        <v>0</v>
      </c>
      <c r="BH43" s="293">
        <f t="shared" si="69"/>
        <v>0</v>
      </c>
    </row>
    <row r="44" spans="1:60" x14ac:dyDescent="0.2">
      <c r="A44" s="326">
        <v>2027</v>
      </c>
      <c r="B44" s="800">
        <f t="shared" ref="B44:G53" si="76">ROUND(INDEX(COST_Cls2,$A44-($A$24-1),MATCH(B$20,TECHOPTS_Cls2,0)),2)</f>
        <v>73740.62</v>
      </c>
      <c r="C44" s="801">
        <f t="shared" si="76"/>
        <v>627.80999999999995</v>
      </c>
      <c r="D44" s="801">
        <f t="shared" si="76"/>
        <v>6713.81</v>
      </c>
      <c r="E44" s="801">
        <f t="shared" si="76"/>
        <v>83462.81</v>
      </c>
      <c r="F44" s="801">
        <f t="shared" si="76"/>
        <v>43675.81</v>
      </c>
      <c r="G44" s="802">
        <f t="shared" si="76"/>
        <v>55212.81</v>
      </c>
      <c r="H44" s="952">
        <f t="shared" ref="H44:M53" si="77">MAX(1-INDEX(CDRANGE_CLS2,$A44-($A$24-1),MATCH(H$20,TECHOPTS_Cls2,0))*OPDAYS_Cls2/$D$6,0)</f>
        <v>1</v>
      </c>
      <c r="I44" s="953">
        <f t="shared" si="77"/>
        <v>1</v>
      </c>
      <c r="J44" s="953">
        <f t="shared" si="77"/>
        <v>1</v>
      </c>
      <c r="K44" s="953">
        <f t="shared" si="77"/>
        <v>0.78087315031848736</v>
      </c>
      <c r="L44" s="953">
        <f t="shared" si="77"/>
        <v>1</v>
      </c>
      <c r="M44" s="954">
        <f t="shared" si="77"/>
        <v>0.88336988984041365</v>
      </c>
      <c r="N44" s="298">
        <f t="shared" si="29"/>
        <v>4536.9882823783646</v>
      </c>
      <c r="O44" s="299">
        <f t="shared" si="30"/>
        <v>4379.6545535037158</v>
      </c>
      <c r="P44" s="299">
        <f t="shared" si="31"/>
        <v>3299.3145233329942</v>
      </c>
      <c r="Q44" s="299">
        <f t="shared" si="32"/>
        <v>2871.1751514896905</v>
      </c>
      <c r="R44" s="299">
        <f t="shared" si="33"/>
        <v>3793.2305015518468</v>
      </c>
      <c r="S44" s="301">
        <f t="shared" si="34"/>
        <v>2704.461450879764</v>
      </c>
      <c r="T44" s="298">
        <f t="shared" si="35"/>
        <v>157.33372887464884</v>
      </c>
      <c r="U44" s="299">
        <f t="shared" si="36"/>
        <v>1237.6737590453704</v>
      </c>
      <c r="V44" s="299">
        <f t="shared" si="37"/>
        <v>1665.8131308886741</v>
      </c>
      <c r="W44" s="299">
        <f t="shared" si="38"/>
        <v>743.75778082651777</v>
      </c>
      <c r="X44" s="301">
        <f t="shared" si="39"/>
        <v>1832.5268314986006</v>
      </c>
      <c r="Y44" s="288">
        <f>IF($D$7=0,86,IF(AND(Y$22=TRUE,INDEX(CDRANGE_CLS2,MATCH($A44,$A$24:$A$67,0),MATCH(Y$20,$B$20:$G$20,0))&lt;$D$6/OPDAYS_Cls2),86,payback(C44,T44,disc_rate/12,85)))</f>
        <v>86</v>
      </c>
      <c r="Z44" s="289">
        <f>IF($D$7=0,86,IF(AND(Z$22=TRUE,INDEX(CDRANGE_CLS2,MATCH($A44,$A$24:$A$67,0),MATCH(Z$20,$B$20:$G$20,0))&lt;$D$6/OPDAYS_Cls2),86,payback(D44,U44,disc_rate/12,85)))</f>
        <v>86</v>
      </c>
      <c r="AA44" s="289">
        <f>IF($D$7=0,86,IF(AND(AA$22=TRUE,INDEX(CDRANGE_CLS2,MATCH($A44,$A$24:$A$67,0),MATCH(AA$20,$B$20:$G$20,0))&lt;$D$6/OPDAYS_Cls2),86,payback(E44,V44,disc_rate/12,85)))</f>
        <v>86</v>
      </c>
      <c r="AB44" s="289">
        <f>IF($D$7=0,86,IF(AND(AB$22=TRUE,INDEX(CDRANGE_CLS2,MATCH($A44,$A$24:$A$67,0),MATCH(AB$20,$B$20:$G$20,0))&lt;$D$6/OPDAYS_Cls2),86,payback(F44,W44,disc_rate/12,85)))</f>
        <v>86</v>
      </c>
      <c r="AC44" s="290">
        <f>IF($D$7=0,86,IF(AND(AC$22=TRUE,INDEX(CDRANGE_CLS2,MATCH($A44,$A$24:$A$67,0),MATCH(AC$20,$B$20:$G$20,0))&lt;$D$6/OPDAYS_Cls2),86,payback(G44,X44,disc_rate/12,85)))</f>
        <v>86</v>
      </c>
      <c r="AD44" s="305">
        <f t="shared" si="40"/>
        <v>0</v>
      </c>
      <c r="AE44" s="306">
        <f t="shared" si="41"/>
        <v>0</v>
      </c>
      <c r="AF44" s="306">
        <f t="shared" si="42"/>
        <v>0</v>
      </c>
      <c r="AG44" s="306">
        <f t="shared" si="43"/>
        <v>0</v>
      </c>
      <c r="AH44" s="307">
        <f t="shared" si="44"/>
        <v>0</v>
      </c>
      <c r="AI44" s="308">
        <f t="shared" si="45"/>
        <v>5.9601461011058773E-2</v>
      </c>
      <c r="AJ44" s="309">
        <f t="shared" si="46"/>
        <v>5.9601461011058773E-2</v>
      </c>
      <c r="AK44" s="309">
        <f t="shared" si="47"/>
        <v>1.8438883638792418E-2</v>
      </c>
      <c r="AL44" s="309">
        <f t="shared" si="48"/>
        <v>7.7242992934656781E-7</v>
      </c>
      <c r="AM44" s="310">
        <f t="shared" si="49"/>
        <v>5.9601461011058773E-2</v>
      </c>
      <c r="AN44" s="308">
        <f t="shared" si="61"/>
        <v>0.99979867548245327</v>
      </c>
      <c r="AO44" s="309">
        <f t="shared" si="72"/>
        <v>0.97723689276471226</v>
      </c>
      <c r="AP44" s="309">
        <f t="shared" si="73"/>
        <v>2.8480823219462437E-2</v>
      </c>
      <c r="AQ44" s="309">
        <f t="shared" si="74"/>
        <v>0.37739452668454943</v>
      </c>
      <c r="AR44" s="310">
        <f t="shared" si="75"/>
        <v>0.21071074266216905</v>
      </c>
      <c r="AS44" s="291">
        <f t="shared" si="51"/>
        <v>0</v>
      </c>
      <c r="AT44" s="292">
        <f t="shared" si="52"/>
        <v>0</v>
      </c>
      <c r="AU44" s="292">
        <f t="shared" si="53"/>
        <v>0</v>
      </c>
      <c r="AV44" s="292">
        <f t="shared" si="54"/>
        <v>0</v>
      </c>
      <c r="AW44" s="293">
        <f t="shared" si="55"/>
        <v>0</v>
      </c>
      <c r="AX44" s="305">
        <f t="shared" si="56"/>
        <v>0</v>
      </c>
      <c r="AY44" s="306">
        <f t="shared" si="57"/>
        <v>0</v>
      </c>
      <c r="AZ44" s="306">
        <f t="shared" si="58"/>
        <v>0</v>
      </c>
      <c r="BA44" s="292">
        <f t="shared" si="62"/>
        <v>0</v>
      </c>
      <c r="BB44" s="293">
        <f t="shared" si="63"/>
        <v>0</v>
      </c>
      <c r="BC44" s="291">
        <f t="shared" si="64"/>
        <v>1</v>
      </c>
      <c r="BD44" s="292">
        <f t="shared" si="65"/>
        <v>0</v>
      </c>
      <c r="BE44" s="292">
        <f t="shared" si="66"/>
        <v>0</v>
      </c>
      <c r="BF44" s="292">
        <f t="shared" si="67"/>
        <v>0</v>
      </c>
      <c r="BG44" s="292">
        <f t="shared" si="68"/>
        <v>0</v>
      </c>
      <c r="BH44" s="293">
        <f t="shared" si="69"/>
        <v>0</v>
      </c>
    </row>
    <row r="45" spans="1:60" x14ac:dyDescent="0.2">
      <c r="A45" s="326">
        <v>2028</v>
      </c>
      <c r="B45" s="800">
        <f t="shared" si="76"/>
        <v>73882.509999999995</v>
      </c>
      <c r="C45" s="801">
        <f t="shared" si="76"/>
        <v>655.86</v>
      </c>
      <c r="D45" s="801">
        <f t="shared" si="76"/>
        <v>6265.09</v>
      </c>
      <c r="E45" s="801">
        <f t="shared" si="76"/>
        <v>77895.56</v>
      </c>
      <c r="F45" s="801">
        <f t="shared" si="76"/>
        <v>42579.56</v>
      </c>
      <c r="G45" s="802">
        <f t="shared" si="76"/>
        <v>52101.9</v>
      </c>
      <c r="H45" s="952">
        <f t="shared" si="77"/>
        <v>1</v>
      </c>
      <c r="I45" s="953">
        <f t="shared" si="77"/>
        <v>1</v>
      </c>
      <c r="J45" s="953">
        <f t="shared" si="77"/>
        <v>1</v>
      </c>
      <c r="K45" s="953">
        <f t="shared" si="77"/>
        <v>0.77896680780506422</v>
      </c>
      <c r="L45" s="953">
        <f t="shared" si="77"/>
        <v>1</v>
      </c>
      <c r="M45" s="954">
        <f t="shared" si="77"/>
        <v>0.88311560959352797</v>
      </c>
      <c r="N45" s="298">
        <f t="shared" si="29"/>
        <v>4538.8865063477033</v>
      </c>
      <c r="O45" s="299">
        <f t="shared" si="30"/>
        <v>4311.1258431404003</v>
      </c>
      <c r="P45" s="299">
        <f t="shared" si="31"/>
        <v>3248.0345177885201</v>
      </c>
      <c r="Q45" s="299">
        <f t="shared" si="32"/>
        <v>2816.4838396969262</v>
      </c>
      <c r="R45" s="299">
        <f t="shared" si="33"/>
        <v>3667.1556677924473</v>
      </c>
      <c r="S45" s="301">
        <f t="shared" si="34"/>
        <v>2687.7635170749477</v>
      </c>
      <c r="T45" s="298">
        <f t="shared" si="35"/>
        <v>227.76066320730297</v>
      </c>
      <c r="U45" s="299">
        <f t="shared" si="36"/>
        <v>1290.8519885591832</v>
      </c>
      <c r="V45" s="299">
        <f t="shared" si="37"/>
        <v>1722.4026666507771</v>
      </c>
      <c r="W45" s="299">
        <f t="shared" si="38"/>
        <v>871.73083855525601</v>
      </c>
      <c r="X45" s="301">
        <f t="shared" si="39"/>
        <v>1851.1229892727556</v>
      </c>
      <c r="Y45" s="288">
        <f>IF($D$7=0,86,IF(AND(Y$22=TRUE,INDEX(CDRANGE_CLS2,MATCH($A45,$A$24:$A$67,0),MATCH(Y$20,$B$20:$G$20,0))&lt;$D$6/OPDAYS_Cls2),86,payback(C45,T45,disc_rate/12,85)))</f>
        <v>86</v>
      </c>
      <c r="Z45" s="289">
        <f>IF($D$7=0,86,IF(AND(Z$22=TRUE,INDEX(CDRANGE_CLS2,MATCH($A45,$A$24:$A$67,0),MATCH(Z$20,$B$20:$G$20,0))&lt;$D$6/OPDAYS_Cls2),86,payback(D45,U45,disc_rate/12,85)))</f>
        <v>86</v>
      </c>
      <c r="AA45" s="289">
        <f>IF($D$7=0,86,IF(AND(AA$22=TRUE,INDEX(CDRANGE_CLS2,MATCH($A45,$A$24:$A$67,0),MATCH(AA$20,$B$20:$G$20,0))&lt;$D$6/OPDAYS_Cls2),86,payback(E45,V45,disc_rate/12,85)))</f>
        <v>86</v>
      </c>
      <c r="AB45" s="289">
        <f>IF($D$7=0,86,IF(AND(AB$22=TRUE,INDEX(CDRANGE_CLS2,MATCH($A45,$A$24:$A$67,0),MATCH(AB$20,$B$20:$G$20,0))&lt;$D$6/OPDAYS_Cls2),86,payback(F45,W45,disc_rate/12,85)))</f>
        <v>86</v>
      </c>
      <c r="AC45" s="290">
        <f>IF($D$7=0,86,IF(AND(AC$22=TRUE,INDEX(CDRANGE_CLS2,MATCH($A45,$A$24:$A$67,0),MATCH(AC$20,$B$20:$G$20,0))&lt;$D$6/OPDAYS_Cls2),86,payback(G45,X45,disc_rate/12,85)))</f>
        <v>86</v>
      </c>
      <c r="AD45" s="305">
        <f t="shared" si="40"/>
        <v>0</v>
      </c>
      <c r="AE45" s="306">
        <f t="shared" si="41"/>
        <v>0</v>
      </c>
      <c r="AF45" s="306">
        <f t="shared" si="42"/>
        <v>0</v>
      </c>
      <c r="AG45" s="306">
        <f t="shared" si="43"/>
        <v>0</v>
      </c>
      <c r="AH45" s="307">
        <f t="shared" si="44"/>
        <v>0</v>
      </c>
      <c r="AI45" s="308">
        <f t="shared" si="45"/>
        <v>0.13447071068499755</v>
      </c>
      <c r="AJ45" s="309">
        <f t="shared" si="46"/>
        <v>0.13447071068499755</v>
      </c>
      <c r="AK45" s="309">
        <f t="shared" si="47"/>
        <v>5.2736303735593917E-2</v>
      </c>
      <c r="AL45" s="309">
        <f t="shared" si="48"/>
        <v>5.5078075089896646E-6</v>
      </c>
      <c r="AM45" s="310">
        <f t="shared" si="49"/>
        <v>0.13447071068499755</v>
      </c>
      <c r="AN45" s="308">
        <f t="shared" si="61"/>
        <v>0.99978112862086499</v>
      </c>
      <c r="AO45" s="309">
        <f t="shared" si="72"/>
        <v>0.98022398751212803</v>
      </c>
      <c r="AP45" s="309">
        <f t="shared" si="73"/>
        <v>4.5605261591659674E-2</v>
      </c>
      <c r="AQ45" s="309">
        <f t="shared" si="74"/>
        <v>0.39748161547313909</v>
      </c>
      <c r="AR45" s="310">
        <f t="shared" si="75"/>
        <v>0.25122508154945156</v>
      </c>
      <c r="AS45" s="291">
        <f t="shared" si="51"/>
        <v>0</v>
      </c>
      <c r="AT45" s="292">
        <f t="shared" si="52"/>
        <v>0</v>
      </c>
      <c r="AU45" s="292">
        <f t="shared" si="53"/>
        <v>0</v>
      </c>
      <c r="AV45" s="292">
        <f t="shared" si="54"/>
        <v>0</v>
      </c>
      <c r="AW45" s="293">
        <f t="shared" si="55"/>
        <v>0</v>
      </c>
      <c r="AX45" s="305">
        <f t="shared" si="56"/>
        <v>0</v>
      </c>
      <c r="AY45" s="306">
        <f t="shared" si="57"/>
        <v>0</v>
      </c>
      <c r="AZ45" s="306">
        <f t="shared" si="58"/>
        <v>0</v>
      </c>
      <c r="BA45" s="292">
        <f t="shared" si="62"/>
        <v>0</v>
      </c>
      <c r="BB45" s="293">
        <f t="shared" si="63"/>
        <v>0</v>
      </c>
      <c r="BC45" s="291">
        <f t="shared" si="64"/>
        <v>1</v>
      </c>
      <c r="BD45" s="292">
        <f t="shared" si="65"/>
        <v>0</v>
      </c>
      <c r="BE45" s="292">
        <f t="shared" si="66"/>
        <v>0</v>
      </c>
      <c r="BF45" s="292">
        <f t="shared" si="67"/>
        <v>0</v>
      </c>
      <c r="BG45" s="292">
        <f t="shared" si="68"/>
        <v>0</v>
      </c>
      <c r="BH45" s="293">
        <f t="shared" si="69"/>
        <v>0</v>
      </c>
    </row>
    <row r="46" spans="1:60" x14ac:dyDescent="0.2">
      <c r="A46" s="326">
        <v>2029</v>
      </c>
      <c r="B46" s="800">
        <f t="shared" si="76"/>
        <v>74128.710000000006</v>
      </c>
      <c r="C46" s="801">
        <f t="shared" si="76"/>
        <v>673.02</v>
      </c>
      <c r="D46" s="801">
        <f t="shared" si="76"/>
        <v>5990.45</v>
      </c>
      <c r="E46" s="801">
        <f t="shared" si="76"/>
        <v>74488.03</v>
      </c>
      <c r="F46" s="801">
        <f t="shared" si="76"/>
        <v>41908.589999999997</v>
      </c>
      <c r="G46" s="802">
        <f t="shared" si="76"/>
        <v>50197.82</v>
      </c>
      <c r="H46" s="952">
        <f t="shared" si="77"/>
        <v>1</v>
      </c>
      <c r="I46" s="953">
        <f t="shared" si="77"/>
        <v>1</v>
      </c>
      <c r="J46" s="953">
        <f t="shared" si="77"/>
        <v>1</v>
      </c>
      <c r="K46" s="953">
        <f t="shared" si="77"/>
        <v>0.77779999763060403</v>
      </c>
      <c r="L46" s="953">
        <f t="shared" si="77"/>
        <v>1</v>
      </c>
      <c r="M46" s="954">
        <f t="shared" si="77"/>
        <v>0.88295997293477357</v>
      </c>
      <c r="N46" s="298">
        <f t="shared" si="29"/>
        <v>4467.3343154886243</v>
      </c>
      <c r="O46" s="299">
        <f t="shared" si="30"/>
        <v>4271.5657764583257</v>
      </c>
      <c r="P46" s="299">
        <f t="shared" si="31"/>
        <v>3218.4285687690158</v>
      </c>
      <c r="Q46" s="299">
        <f t="shared" si="32"/>
        <v>2776.3763056548537</v>
      </c>
      <c r="R46" s="299">
        <f t="shared" si="33"/>
        <v>3566.4676781843964</v>
      </c>
      <c r="S46" s="301">
        <f t="shared" si="34"/>
        <v>2676.9248844543868</v>
      </c>
      <c r="T46" s="298">
        <f t="shared" si="35"/>
        <v>195.7685390302986</v>
      </c>
      <c r="U46" s="299">
        <f t="shared" si="36"/>
        <v>1248.9057467196085</v>
      </c>
      <c r="V46" s="299">
        <f t="shared" si="37"/>
        <v>1690.9580098337706</v>
      </c>
      <c r="W46" s="299">
        <f t="shared" si="38"/>
        <v>900.86663730422788</v>
      </c>
      <c r="X46" s="301">
        <f t="shared" si="39"/>
        <v>1790.4094310342375</v>
      </c>
      <c r="Y46" s="288">
        <f>IF($D$7=0,86,IF(AND(Y$22=TRUE,INDEX(CDRANGE_CLS2,MATCH($A46,$A$24:$A$67,0),MATCH(Y$20,$B$20:$G$20,0))&lt;$D$6/OPDAYS_Cls2),86,payback(C46,T46,disc_rate/12,85)))</f>
        <v>86</v>
      </c>
      <c r="Z46" s="289">
        <f>IF($D$7=0,86,IF(AND(Z$22=TRUE,INDEX(CDRANGE_CLS2,MATCH($A46,$A$24:$A$67,0),MATCH(Z$20,$B$20:$G$20,0))&lt;$D$6/OPDAYS_Cls2),86,payback(D46,U46,disc_rate/12,85)))</f>
        <v>86</v>
      </c>
      <c r="AA46" s="289">
        <f>IF($D$7=0,86,IF(AND(AA$22=TRUE,INDEX(CDRANGE_CLS2,MATCH($A46,$A$24:$A$67,0),MATCH(AA$20,$B$20:$G$20,0))&lt;$D$6/OPDAYS_Cls2),86,payback(E46,V46,disc_rate/12,85)))</f>
        <v>86</v>
      </c>
      <c r="AB46" s="289">
        <f>IF($D$7=0,86,IF(AND(AB$22=TRUE,INDEX(CDRANGE_CLS2,MATCH($A46,$A$24:$A$67,0),MATCH(AB$20,$B$20:$G$20,0))&lt;$D$6/OPDAYS_Cls2),86,payback(F46,W46,disc_rate/12,85)))</f>
        <v>86</v>
      </c>
      <c r="AC46" s="290">
        <f>IF($D$7=0,86,IF(AND(AC$22=TRUE,INDEX(CDRANGE_CLS2,MATCH($A46,$A$24:$A$67,0),MATCH(AC$20,$B$20:$G$20,0))&lt;$D$6/OPDAYS_Cls2),86,payback(G46,X46,disc_rate/12,85)))</f>
        <v>86</v>
      </c>
      <c r="AD46" s="305">
        <f t="shared" si="40"/>
        <v>0</v>
      </c>
      <c r="AE46" s="306">
        <f t="shared" si="41"/>
        <v>0</v>
      </c>
      <c r="AF46" s="306">
        <f t="shared" si="42"/>
        <v>0</v>
      </c>
      <c r="AG46" s="306">
        <f t="shared" si="43"/>
        <v>0</v>
      </c>
      <c r="AH46" s="307">
        <f t="shared" si="44"/>
        <v>0</v>
      </c>
      <c r="AI46" s="308">
        <f t="shared" si="45"/>
        <v>0.25</v>
      </c>
      <c r="AJ46" s="309">
        <f t="shared" si="46"/>
        <v>0.25</v>
      </c>
      <c r="AK46" s="309">
        <f t="shared" si="47"/>
        <v>0.12028225238363707</v>
      </c>
      <c r="AL46" s="309">
        <f t="shared" si="48"/>
        <v>5.1834625600284947E-5</v>
      </c>
      <c r="AM46" s="310">
        <f t="shared" si="49"/>
        <v>0.25</v>
      </c>
      <c r="AN46" s="308">
        <f t="shared" si="61"/>
        <v>0.99977105517294018</v>
      </c>
      <c r="AO46" s="309">
        <f t="shared" si="72"/>
        <v>0.98202328402901817</v>
      </c>
      <c r="AP46" s="309">
        <f t="shared" si="73"/>
        <v>6.0520557316238177E-2</v>
      </c>
      <c r="AQ46" s="309">
        <f t="shared" si="74"/>
        <v>0.41154708853722588</v>
      </c>
      <c r="AR46" s="310">
        <f t="shared" si="75"/>
        <v>0.27977216209404543</v>
      </c>
      <c r="AS46" s="291">
        <f t="shared" si="51"/>
        <v>0</v>
      </c>
      <c r="AT46" s="292">
        <f t="shared" si="52"/>
        <v>0</v>
      </c>
      <c r="AU46" s="292">
        <f t="shared" si="53"/>
        <v>0</v>
      </c>
      <c r="AV46" s="292">
        <f t="shared" si="54"/>
        <v>0</v>
      </c>
      <c r="AW46" s="293">
        <f t="shared" si="55"/>
        <v>0</v>
      </c>
      <c r="AX46" s="305">
        <f t="shared" si="56"/>
        <v>0</v>
      </c>
      <c r="AY46" s="306">
        <f t="shared" si="57"/>
        <v>0</v>
      </c>
      <c r="AZ46" s="306">
        <f t="shared" si="58"/>
        <v>0</v>
      </c>
      <c r="BA46" s="292">
        <f t="shared" si="62"/>
        <v>0</v>
      </c>
      <c r="BB46" s="293">
        <f t="shared" si="63"/>
        <v>0</v>
      </c>
      <c r="BC46" s="291">
        <f t="shared" si="64"/>
        <v>1</v>
      </c>
      <c r="BD46" s="292">
        <f t="shared" si="65"/>
        <v>0</v>
      </c>
      <c r="BE46" s="292">
        <f t="shared" si="66"/>
        <v>0</v>
      </c>
      <c r="BF46" s="292">
        <f t="shared" si="67"/>
        <v>0</v>
      </c>
      <c r="BG46" s="292">
        <f t="shared" si="68"/>
        <v>0</v>
      </c>
      <c r="BH46" s="293">
        <f t="shared" si="69"/>
        <v>0</v>
      </c>
    </row>
    <row r="47" spans="1:60" ht="13.5" thickBot="1" x14ac:dyDescent="0.25">
      <c r="A47" s="311">
        <v>2030</v>
      </c>
      <c r="B47" s="794">
        <f t="shared" si="76"/>
        <v>74351.179999999993</v>
      </c>
      <c r="C47" s="795">
        <f t="shared" si="76"/>
        <v>696.3</v>
      </c>
      <c r="D47" s="795">
        <f t="shared" si="76"/>
        <v>5618</v>
      </c>
      <c r="E47" s="795">
        <f t="shared" si="76"/>
        <v>69867.03</v>
      </c>
      <c r="F47" s="795">
        <f t="shared" si="76"/>
        <v>40998.67</v>
      </c>
      <c r="G47" s="796">
        <f t="shared" si="76"/>
        <v>47615.66</v>
      </c>
      <c r="H47" s="946">
        <f t="shared" si="77"/>
        <v>1</v>
      </c>
      <c r="I47" s="947">
        <f t="shared" si="77"/>
        <v>1</v>
      </c>
      <c r="J47" s="947">
        <f t="shared" si="77"/>
        <v>1</v>
      </c>
      <c r="K47" s="947">
        <f t="shared" si="77"/>
        <v>0.7762176699164457</v>
      </c>
      <c r="L47" s="947">
        <f t="shared" si="77"/>
        <v>1</v>
      </c>
      <c r="M47" s="948">
        <f t="shared" si="77"/>
        <v>0.88274891186942084</v>
      </c>
      <c r="N47" s="312">
        <f t="shared" si="29"/>
        <v>4460.2938257605547</v>
      </c>
      <c r="O47" s="313">
        <f t="shared" si="30"/>
        <v>4254.8503864815657</v>
      </c>
      <c r="P47" s="313">
        <f t="shared" si="31"/>
        <v>3206.091679213343</v>
      </c>
      <c r="Q47" s="313">
        <f t="shared" si="32"/>
        <v>2725.0911016516102</v>
      </c>
      <c r="R47" s="313">
        <f t="shared" si="33"/>
        <v>3456.0350283438725</v>
      </c>
      <c r="S47" s="315">
        <f t="shared" si="34"/>
        <v>2681.4055056024276</v>
      </c>
      <c r="T47" s="312">
        <f t="shared" si="35"/>
        <v>205.44343927898899</v>
      </c>
      <c r="U47" s="313">
        <f t="shared" si="36"/>
        <v>1254.2021465472117</v>
      </c>
      <c r="V47" s="313">
        <f t="shared" si="37"/>
        <v>1735.2027241089445</v>
      </c>
      <c r="W47" s="313">
        <f t="shared" si="38"/>
        <v>1004.2587974166822</v>
      </c>
      <c r="X47" s="315">
        <f t="shared" si="39"/>
        <v>1778.888320158127</v>
      </c>
      <c r="Y47" s="288">
        <f>IF($D$7=0,86,IF(AND(Y$22=TRUE,INDEX(CDRANGE_CLS2,MATCH($A47,$A$24:$A$67,0),MATCH(Y$20,$B$20:$G$20,0))&lt;$D$6/OPDAYS_Cls2),86,payback(C47,T47,disc_rate/12,85)))</f>
        <v>86</v>
      </c>
      <c r="Z47" s="289">
        <f>IF($D$7=0,86,IF(AND(Z$22=TRUE,INDEX(CDRANGE_CLS2,MATCH($A47,$A$24:$A$67,0),MATCH(Z$20,$B$20:$G$20,0))&lt;$D$6/OPDAYS_Cls2),86,payback(D47,U47,disc_rate/12,85)))</f>
        <v>86</v>
      </c>
      <c r="AA47" s="289">
        <f>IF($D$7=0,86,IF(AND(AA$22=TRUE,INDEX(CDRANGE_CLS2,MATCH($A47,$A$24:$A$67,0),MATCH(AA$20,$B$20:$G$20,0))&lt;$D$6/OPDAYS_Cls2),86,payback(E47,V47,disc_rate/12,85)))</f>
        <v>86</v>
      </c>
      <c r="AB47" s="289">
        <f>IF($D$7=0,86,IF(AND(AB$22=TRUE,INDEX(CDRANGE_CLS2,MATCH($A47,$A$24:$A$67,0),MATCH(AB$20,$B$20:$G$20,0))&lt;$D$6/OPDAYS_Cls2),86,payback(F47,W47,disc_rate/12,85)))</f>
        <v>86</v>
      </c>
      <c r="AC47" s="290">
        <f>IF($D$7=0,86,IF(AND(AC$22=TRUE,INDEX(CDRANGE_CLS2,MATCH($A47,$A$24:$A$67,0),MATCH(AC$20,$B$20:$G$20,0))&lt;$D$6/OPDAYS_Cls2),86,payback(G47,X47,disc_rate/12,85)))</f>
        <v>86</v>
      </c>
      <c r="AD47" s="319">
        <f t="shared" si="40"/>
        <v>0</v>
      </c>
      <c r="AE47" s="320">
        <f t="shared" si="41"/>
        <v>0</v>
      </c>
      <c r="AF47" s="320">
        <f t="shared" si="42"/>
        <v>0</v>
      </c>
      <c r="AG47" s="320">
        <f t="shared" si="43"/>
        <v>0</v>
      </c>
      <c r="AH47" s="321">
        <f t="shared" si="44"/>
        <v>0</v>
      </c>
      <c r="AI47" s="322">
        <f t="shared" si="45"/>
        <v>0.36552928931500245</v>
      </c>
      <c r="AJ47" s="323">
        <f t="shared" si="46"/>
        <v>0.36552928931500245</v>
      </c>
      <c r="AK47" s="323">
        <f t="shared" si="47"/>
        <v>0.20919449095547166</v>
      </c>
      <c r="AL47" s="323">
        <f t="shared" si="48"/>
        <v>1.4039476303055965E-4</v>
      </c>
      <c r="AM47" s="324">
        <f t="shared" si="49"/>
        <v>0.36552928931500245</v>
      </c>
      <c r="AN47" s="322">
        <f t="shared" si="61"/>
        <v>0.99975640876449978</v>
      </c>
      <c r="AO47" s="323">
        <f t="shared" si="72"/>
        <v>0.98426575252999715</v>
      </c>
      <c r="AP47" s="323">
        <f t="shared" si="73"/>
        <v>8.6050263632838075E-2</v>
      </c>
      <c r="AQ47" s="323">
        <f t="shared" si="74"/>
        <v>0.42972066768890915</v>
      </c>
      <c r="AR47" s="324">
        <f t="shared" si="75"/>
        <v>0.32005700469663467</v>
      </c>
      <c r="AS47" s="328">
        <f t="shared" si="51"/>
        <v>0</v>
      </c>
      <c r="AT47" s="329">
        <f t="shared" si="52"/>
        <v>0</v>
      </c>
      <c r="AU47" s="329">
        <f t="shared" si="53"/>
        <v>0</v>
      </c>
      <c r="AV47" s="329">
        <f t="shared" si="54"/>
        <v>0</v>
      </c>
      <c r="AW47" s="330">
        <f t="shared" si="55"/>
        <v>0</v>
      </c>
      <c r="AX47" s="319">
        <f t="shared" si="56"/>
        <v>0</v>
      </c>
      <c r="AY47" s="320">
        <f t="shared" si="57"/>
        <v>0</v>
      </c>
      <c r="AZ47" s="320">
        <f t="shared" si="58"/>
        <v>0</v>
      </c>
      <c r="BA47" s="320">
        <f t="shared" si="62"/>
        <v>0</v>
      </c>
      <c r="BB47" s="321">
        <f t="shared" si="63"/>
        <v>0</v>
      </c>
      <c r="BC47" s="319">
        <f t="shared" si="64"/>
        <v>1</v>
      </c>
      <c r="BD47" s="320">
        <f t="shared" si="65"/>
        <v>0</v>
      </c>
      <c r="BE47" s="320">
        <f t="shared" si="66"/>
        <v>0</v>
      </c>
      <c r="BF47" s="320">
        <f t="shared" si="67"/>
        <v>0</v>
      </c>
      <c r="BG47" s="320">
        <f t="shared" si="68"/>
        <v>0</v>
      </c>
      <c r="BH47" s="321">
        <f t="shared" si="69"/>
        <v>0</v>
      </c>
    </row>
    <row r="48" spans="1:60" x14ac:dyDescent="0.2">
      <c r="A48" s="325">
        <v>2031</v>
      </c>
      <c r="B48" s="797">
        <f t="shared" si="76"/>
        <v>74555.38</v>
      </c>
      <c r="C48" s="798">
        <f t="shared" si="76"/>
        <v>723.73</v>
      </c>
      <c r="D48" s="798">
        <f t="shared" si="76"/>
        <v>5179.2299999999996</v>
      </c>
      <c r="E48" s="798">
        <f t="shared" si="76"/>
        <v>64423.23</v>
      </c>
      <c r="F48" s="798">
        <f t="shared" si="76"/>
        <v>39926.730000000003</v>
      </c>
      <c r="G48" s="799">
        <f t="shared" si="76"/>
        <v>44573.73</v>
      </c>
      <c r="H48" s="949">
        <f t="shared" si="77"/>
        <v>1</v>
      </c>
      <c r="I48" s="950">
        <f t="shared" si="77"/>
        <v>1</v>
      </c>
      <c r="J48" s="950">
        <f t="shared" si="77"/>
        <v>1</v>
      </c>
      <c r="K48" s="950">
        <f t="shared" si="77"/>
        <v>0.77435359760784728</v>
      </c>
      <c r="L48" s="950">
        <f t="shared" si="77"/>
        <v>1</v>
      </c>
      <c r="M48" s="951">
        <f t="shared" si="77"/>
        <v>0.88250026989479891</v>
      </c>
      <c r="N48" s="284">
        <f t="shared" si="29"/>
        <v>4421.1301990682205</v>
      </c>
      <c r="O48" s="285">
        <f t="shared" si="30"/>
        <v>4182.9868475987996</v>
      </c>
      <c r="P48" s="285">
        <f t="shared" si="31"/>
        <v>3152.2242875099291</v>
      </c>
      <c r="Q48" s="285">
        <f t="shared" si="32"/>
        <v>2675.1646160327737</v>
      </c>
      <c r="R48" s="285">
        <f t="shared" si="33"/>
        <v>3340.8775827555182</v>
      </c>
      <c r="S48" s="287">
        <f t="shared" si="34"/>
        <v>2658.9707698360207</v>
      </c>
      <c r="T48" s="284">
        <f t="shared" si="35"/>
        <v>238.14335146942085</v>
      </c>
      <c r="U48" s="285">
        <f t="shared" si="36"/>
        <v>1268.9059115582913</v>
      </c>
      <c r="V48" s="285">
        <f t="shared" si="37"/>
        <v>1745.9655830354468</v>
      </c>
      <c r="W48" s="285">
        <f t="shared" si="38"/>
        <v>1080.2526163127022</v>
      </c>
      <c r="X48" s="287">
        <f t="shared" si="39"/>
        <v>1762.1594292321997</v>
      </c>
      <c r="Y48" s="288">
        <f>IF($D$7=0,86,IF(AND(Y$22=TRUE,INDEX(CDRANGE_CLS2,MATCH($A48,$A$24:$A$67,0),MATCH(Y$20,$B$20:$G$20,0))&lt;$D$6/OPDAYS_Cls2),86,payback(C48,T48,disc_rate/12,85)))</f>
        <v>86</v>
      </c>
      <c r="Z48" s="289">
        <f>IF($D$7=0,86,IF(AND(Z$22=TRUE,INDEX(CDRANGE_CLS2,MATCH($A48,$A$24:$A$67,0),MATCH(Z$20,$B$20:$G$20,0))&lt;$D$6/OPDAYS_Cls2),86,payback(D48,U48,disc_rate/12,85)))</f>
        <v>86</v>
      </c>
      <c r="AA48" s="289">
        <f>IF($D$7=0,86,IF(AND(AA$22=TRUE,INDEX(CDRANGE_CLS2,MATCH($A48,$A$24:$A$67,0),MATCH(AA$20,$B$20:$G$20,0))&lt;$D$6/OPDAYS_Cls2),86,payback(E48,V48,disc_rate/12,85)))</f>
        <v>86</v>
      </c>
      <c r="AB48" s="289">
        <f>IF($D$7=0,86,IF(AND(AB$22=TRUE,INDEX(CDRANGE_CLS2,MATCH($A48,$A$24:$A$67,0),MATCH(AB$20,$B$20:$G$20,0))&lt;$D$6/OPDAYS_Cls2),86,payback(F48,W48,disc_rate/12,85)))</f>
        <v>86</v>
      </c>
      <c r="AC48" s="290">
        <f>IF($D$7=0,86,IF(AND(AC$22=TRUE,INDEX(CDRANGE_CLS2,MATCH($A48,$A$24:$A$67,0),MATCH(AC$20,$B$20:$G$20,0))&lt;$D$6/OPDAYS_Cls2),86,payback(G48,X48,disc_rate/12,85)))</f>
        <v>86</v>
      </c>
      <c r="AD48" s="291">
        <f t="shared" si="40"/>
        <v>0</v>
      </c>
      <c r="AE48" s="292">
        <f t="shared" si="41"/>
        <v>0</v>
      </c>
      <c r="AF48" s="292">
        <f t="shared" si="42"/>
        <v>0</v>
      </c>
      <c r="AG48" s="292">
        <f t="shared" si="43"/>
        <v>0</v>
      </c>
      <c r="AH48" s="293">
        <f t="shared" si="44"/>
        <v>0</v>
      </c>
      <c r="AI48" s="294">
        <f t="shared" si="45"/>
        <v>0.44039853898894116</v>
      </c>
      <c r="AJ48" s="295">
        <f t="shared" si="46"/>
        <v>0.44039853898894116</v>
      </c>
      <c r="AK48" s="295">
        <f t="shared" si="47"/>
        <v>0.29120447112126258</v>
      </c>
      <c r="AL48" s="295">
        <f t="shared" si="48"/>
        <v>4.6207019645102399E-4</v>
      </c>
      <c r="AM48" s="296">
        <f t="shared" si="49"/>
        <v>0.44039853898894116</v>
      </c>
      <c r="AN48" s="294">
        <f t="shared" si="61"/>
        <v>0.99973828064827608</v>
      </c>
      <c r="AO48" s="295">
        <f t="shared" si="72"/>
        <v>0.98668435247551067</v>
      </c>
      <c r="AP48" s="295">
        <f t="shared" si="73"/>
        <v>0.12567258672068926</v>
      </c>
      <c r="AQ48" s="295">
        <f t="shared" si="74"/>
        <v>0.45083719642341658</v>
      </c>
      <c r="AR48" s="296">
        <f t="shared" si="75"/>
        <v>0.37050748273148049</v>
      </c>
      <c r="AS48" s="291">
        <f t="shared" si="51"/>
        <v>0</v>
      </c>
      <c r="AT48" s="292">
        <f t="shared" si="52"/>
        <v>0</v>
      </c>
      <c r="AU48" s="292">
        <f t="shared" si="53"/>
        <v>0</v>
      </c>
      <c r="AV48" s="292">
        <f t="shared" si="54"/>
        <v>0</v>
      </c>
      <c r="AW48" s="293">
        <f t="shared" si="55"/>
        <v>0</v>
      </c>
      <c r="AX48" s="291">
        <f t="shared" si="56"/>
        <v>0</v>
      </c>
      <c r="AY48" s="292">
        <f t="shared" si="57"/>
        <v>0</v>
      </c>
      <c r="AZ48" s="292">
        <f t="shared" si="58"/>
        <v>0</v>
      </c>
      <c r="BA48" s="292">
        <f t="shared" si="62"/>
        <v>0</v>
      </c>
      <c r="BB48" s="293">
        <f t="shared" si="63"/>
        <v>0</v>
      </c>
      <c r="BC48" s="291">
        <f t="shared" si="64"/>
        <v>1</v>
      </c>
      <c r="BD48" s="292">
        <f t="shared" si="65"/>
        <v>0</v>
      </c>
      <c r="BE48" s="292">
        <f t="shared" si="66"/>
        <v>0</v>
      </c>
      <c r="BF48" s="292">
        <f t="shared" si="67"/>
        <v>0</v>
      </c>
      <c r="BG48" s="292">
        <f t="shared" si="68"/>
        <v>0</v>
      </c>
      <c r="BH48" s="293">
        <f t="shared" si="69"/>
        <v>0</v>
      </c>
    </row>
    <row r="49" spans="1:60" x14ac:dyDescent="0.2">
      <c r="A49" s="326">
        <v>2032</v>
      </c>
      <c r="B49" s="800">
        <f t="shared" si="76"/>
        <v>74576.94</v>
      </c>
      <c r="C49" s="801">
        <f t="shared" si="76"/>
        <v>751.15</v>
      </c>
      <c r="D49" s="801">
        <f t="shared" si="76"/>
        <v>4740.46</v>
      </c>
      <c r="E49" s="801">
        <f t="shared" si="76"/>
        <v>58979.42</v>
      </c>
      <c r="F49" s="801">
        <f t="shared" si="76"/>
        <v>38854.79</v>
      </c>
      <c r="G49" s="802">
        <f t="shared" si="76"/>
        <v>41531.800000000003</v>
      </c>
      <c r="H49" s="952">
        <f t="shared" si="77"/>
        <v>1</v>
      </c>
      <c r="I49" s="953">
        <f t="shared" si="77"/>
        <v>1</v>
      </c>
      <c r="J49" s="953">
        <f t="shared" si="77"/>
        <v>1</v>
      </c>
      <c r="K49" s="953">
        <f t="shared" si="77"/>
        <v>0.77248952529924897</v>
      </c>
      <c r="L49" s="953">
        <f t="shared" si="77"/>
        <v>1</v>
      </c>
      <c r="M49" s="954">
        <f t="shared" si="77"/>
        <v>0.88225162792017697</v>
      </c>
      <c r="N49" s="298">
        <f t="shared" si="29"/>
        <v>4443.9198682376154</v>
      </c>
      <c r="O49" s="299">
        <f t="shared" si="30"/>
        <v>4099.414293647018</v>
      </c>
      <c r="P49" s="299">
        <f t="shared" si="31"/>
        <v>3089.5077389271919</v>
      </c>
      <c r="Q49" s="299">
        <f t="shared" si="32"/>
        <v>2629.2638463681114</v>
      </c>
      <c r="R49" s="299">
        <f t="shared" si="33"/>
        <v>3229.0900663056468</v>
      </c>
      <c r="S49" s="301">
        <f t="shared" si="34"/>
        <v>2629.1960419990583</v>
      </c>
      <c r="T49" s="298">
        <f t="shared" si="35"/>
        <v>344.50557459059746</v>
      </c>
      <c r="U49" s="299">
        <f t="shared" si="36"/>
        <v>1354.4121293104236</v>
      </c>
      <c r="V49" s="299">
        <f t="shared" si="37"/>
        <v>1814.656021869504</v>
      </c>
      <c r="W49" s="299">
        <f t="shared" si="38"/>
        <v>1214.8298019319686</v>
      </c>
      <c r="X49" s="301">
        <f t="shared" si="39"/>
        <v>1814.7238262385572</v>
      </c>
      <c r="Y49" s="288">
        <f>IF($D$7=0,86,IF(AND(Y$22=TRUE,INDEX(CDRANGE_CLS2,MATCH($A49,$A$24:$A$67,0),MATCH(Y$20,$B$20:$G$20,0))&lt;$D$6/OPDAYS_Cls2),86,payback(C49,T49,disc_rate/12,85)))</f>
        <v>86</v>
      </c>
      <c r="Z49" s="289">
        <f>IF($D$7=0,86,IF(AND(Z$22=TRUE,INDEX(CDRANGE_CLS2,MATCH($A49,$A$24:$A$67,0),MATCH(Z$20,$B$20:$G$20,0))&lt;$D$6/OPDAYS_Cls2),86,payback(D49,U49,disc_rate/12,85)))</f>
        <v>86</v>
      </c>
      <c r="AA49" s="289">
        <f>IF($D$7=0,86,IF(AND(AA$22=TRUE,INDEX(CDRANGE_CLS2,MATCH($A49,$A$24:$A$67,0),MATCH(AA$20,$B$20:$G$20,0))&lt;$D$6/OPDAYS_Cls2),86,payback(E49,V49,disc_rate/12,85)))</f>
        <v>86</v>
      </c>
      <c r="AB49" s="289">
        <f>IF($D$7=0,86,IF(AND(AB$22=TRUE,INDEX(CDRANGE_CLS2,MATCH($A49,$A$24:$A$67,0),MATCH(AB$20,$B$20:$G$20,0))&lt;$D$6/OPDAYS_Cls2),86,payback(F49,W49,disc_rate/12,85)))</f>
        <v>86</v>
      </c>
      <c r="AC49" s="290">
        <f>IF($D$7=0,86,IF(AND(AC$22=TRUE,INDEX(CDRANGE_CLS2,MATCH($A49,$A$24:$A$67,0),MATCH(AC$20,$B$20:$G$20,0))&lt;$D$6/OPDAYS_Cls2),86,payback(G49,X49,disc_rate/12,85)))</f>
        <v>86</v>
      </c>
      <c r="AD49" s="305">
        <f t="shared" si="40"/>
        <v>0</v>
      </c>
      <c r="AE49" s="306">
        <f t="shared" si="41"/>
        <v>0</v>
      </c>
      <c r="AF49" s="306">
        <f t="shared" si="42"/>
        <v>0</v>
      </c>
      <c r="AG49" s="306">
        <f t="shared" si="43"/>
        <v>0</v>
      </c>
      <c r="AH49" s="307">
        <f t="shared" si="44"/>
        <v>0</v>
      </c>
      <c r="AI49" s="308">
        <f t="shared" si="45"/>
        <v>0.47628706341121668</v>
      </c>
      <c r="AJ49" s="309">
        <f t="shared" si="46"/>
        <v>0.47628706341121668</v>
      </c>
      <c r="AK49" s="309">
        <f t="shared" si="47"/>
        <v>0.35410261358018091</v>
      </c>
      <c r="AL49" s="309">
        <f t="shared" si="48"/>
        <v>1.1144252096795581E-3</v>
      </c>
      <c r="AM49" s="310">
        <f t="shared" si="49"/>
        <v>0.47628706341121668</v>
      </c>
      <c r="AN49" s="308">
        <f t="shared" si="61"/>
        <v>0.99971823922555703</v>
      </c>
      <c r="AO49" s="309">
        <f t="shared" si="72"/>
        <v>0.98883922188336604</v>
      </c>
      <c r="AP49" s="309">
        <f t="shared" si="73"/>
        <v>0.17598469896719038</v>
      </c>
      <c r="AQ49" s="309">
        <f t="shared" si="74"/>
        <v>0.47047582375135411</v>
      </c>
      <c r="AR49" s="310">
        <f t="shared" si="75"/>
        <v>0.42253233598809681</v>
      </c>
      <c r="AS49" s="291">
        <f t="shared" si="51"/>
        <v>0</v>
      </c>
      <c r="AT49" s="292">
        <f t="shared" si="52"/>
        <v>0</v>
      </c>
      <c r="AU49" s="292">
        <f t="shared" si="53"/>
        <v>0</v>
      </c>
      <c r="AV49" s="292">
        <f t="shared" si="54"/>
        <v>0</v>
      </c>
      <c r="AW49" s="293">
        <f t="shared" si="55"/>
        <v>0</v>
      </c>
      <c r="AX49" s="305">
        <f t="shared" si="56"/>
        <v>0</v>
      </c>
      <c r="AY49" s="306">
        <f t="shared" si="57"/>
        <v>0</v>
      </c>
      <c r="AZ49" s="306">
        <f t="shared" si="58"/>
        <v>0</v>
      </c>
      <c r="BA49" s="292">
        <f t="shared" si="62"/>
        <v>0</v>
      </c>
      <c r="BB49" s="293">
        <f t="shared" si="63"/>
        <v>0</v>
      </c>
      <c r="BC49" s="291">
        <f t="shared" si="64"/>
        <v>1</v>
      </c>
      <c r="BD49" s="292">
        <f t="shared" si="65"/>
        <v>0</v>
      </c>
      <c r="BE49" s="292">
        <f t="shared" si="66"/>
        <v>0</v>
      </c>
      <c r="BF49" s="292">
        <f t="shared" si="67"/>
        <v>0</v>
      </c>
      <c r="BG49" s="292">
        <f t="shared" si="68"/>
        <v>0</v>
      </c>
      <c r="BH49" s="293">
        <f t="shared" si="69"/>
        <v>0</v>
      </c>
    </row>
    <row r="50" spans="1:60" x14ac:dyDescent="0.2">
      <c r="A50" s="326">
        <v>2033</v>
      </c>
      <c r="B50" s="800">
        <f t="shared" si="76"/>
        <v>74598.509999999995</v>
      </c>
      <c r="C50" s="801">
        <f t="shared" si="76"/>
        <v>774.43</v>
      </c>
      <c r="D50" s="801">
        <f t="shared" si="76"/>
        <v>4368.01</v>
      </c>
      <c r="E50" s="801">
        <f t="shared" si="76"/>
        <v>54358.42</v>
      </c>
      <c r="F50" s="801">
        <f t="shared" si="76"/>
        <v>37944.870000000003</v>
      </c>
      <c r="G50" s="802">
        <f t="shared" si="76"/>
        <v>38949.64</v>
      </c>
      <c r="H50" s="952">
        <f t="shared" si="77"/>
        <v>1</v>
      </c>
      <c r="I50" s="953">
        <f t="shared" si="77"/>
        <v>1</v>
      </c>
      <c r="J50" s="953">
        <f t="shared" si="77"/>
        <v>1</v>
      </c>
      <c r="K50" s="953">
        <f t="shared" si="77"/>
        <v>0.77090719758509063</v>
      </c>
      <c r="L50" s="953">
        <f t="shared" si="77"/>
        <v>1</v>
      </c>
      <c r="M50" s="954">
        <f t="shared" si="77"/>
        <v>0.88204056685482424</v>
      </c>
      <c r="N50" s="298">
        <f t="shared" si="29"/>
        <v>4506.0285898605371</v>
      </c>
      <c r="O50" s="299">
        <f t="shared" si="30"/>
        <v>4071.9184087118451</v>
      </c>
      <c r="P50" s="299">
        <f t="shared" si="31"/>
        <v>3068.9959079819082</v>
      </c>
      <c r="Q50" s="299">
        <f t="shared" si="32"/>
        <v>2606.6119907962184</v>
      </c>
      <c r="R50" s="299">
        <f t="shared" si="33"/>
        <v>3127.3431435345628</v>
      </c>
      <c r="S50" s="301">
        <f t="shared" si="34"/>
        <v>2628.9754013458696</v>
      </c>
      <c r="T50" s="298">
        <f t="shared" si="35"/>
        <v>434.11018114869194</v>
      </c>
      <c r="U50" s="299">
        <f t="shared" si="36"/>
        <v>1437.0326818786289</v>
      </c>
      <c r="V50" s="299">
        <f t="shared" si="37"/>
        <v>1899.4165990643187</v>
      </c>
      <c r="W50" s="299">
        <f t="shared" si="38"/>
        <v>1378.6854463259742</v>
      </c>
      <c r="X50" s="301">
        <f t="shared" si="39"/>
        <v>1877.0531885146675</v>
      </c>
      <c r="Y50" s="288">
        <f>IF($D$7=0,86,IF(AND(Y$22=TRUE,INDEX(CDRANGE_CLS2,MATCH($A50,$A$24:$A$67,0),MATCH(Y$20,$B$20:$G$20,0))&lt;$D$6/OPDAYS_Cls2),86,payback(C50,T50,disc_rate/12,85)))</f>
        <v>86</v>
      </c>
      <c r="Z50" s="289">
        <f>IF($D$7=0,86,IF(AND(Z$22=TRUE,INDEX(CDRANGE_CLS2,MATCH($A50,$A$24:$A$67,0),MATCH(Z$20,$B$20:$G$20,0))&lt;$D$6/OPDAYS_Cls2),86,payback(D50,U50,disc_rate/12,85)))</f>
        <v>86</v>
      </c>
      <c r="AA50" s="289">
        <f>IF($D$7=0,86,IF(AND(AA$22=TRUE,INDEX(CDRANGE_CLS2,MATCH($A50,$A$24:$A$67,0),MATCH(AA$20,$B$20:$G$20,0))&lt;$D$6/OPDAYS_Cls2),86,payback(E50,V50,disc_rate/12,85)))</f>
        <v>86</v>
      </c>
      <c r="AB50" s="289">
        <f>IF($D$7=0,86,IF(AND(AB$22=TRUE,INDEX(CDRANGE_CLS2,MATCH($A50,$A$24:$A$67,0),MATCH(AB$20,$B$20:$G$20,0))&lt;$D$6/OPDAYS_Cls2),86,payback(F50,W50,disc_rate/12,85)))</f>
        <v>86</v>
      </c>
      <c r="AC50" s="290">
        <f>IF($D$7=0,86,IF(AND(AC$22=TRUE,INDEX(CDRANGE_CLS2,MATCH($A50,$A$24:$A$67,0),MATCH(AC$20,$B$20:$G$20,0))&lt;$D$6/OPDAYS_Cls2),86,payback(G50,X50,disc_rate/12,85)))</f>
        <v>86</v>
      </c>
      <c r="AD50" s="305">
        <f t="shared" si="40"/>
        <v>0</v>
      </c>
      <c r="AE50" s="306">
        <f t="shared" si="41"/>
        <v>0</v>
      </c>
      <c r="AF50" s="306">
        <f t="shared" si="42"/>
        <v>0</v>
      </c>
      <c r="AG50" s="306">
        <f t="shared" si="43"/>
        <v>0</v>
      </c>
      <c r="AH50" s="307">
        <f t="shared" si="44"/>
        <v>0</v>
      </c>
      <c r="AI50" s="308">
        <f t="shared" si="45"/>
        <v>0.49100689501895423</v>
      </c>
      <c r="AJ50" s="309">
        <f t="shared" si="46"/>
        <v>0.49100689501895423</v>
      </c>
      <c r="AK50" s="309">
        <f t="shared" si="47"/>
        <v>0.40031227759736954</v>
      </c>
      <c r="AL50" s="309">
        <f t="shared" si="48"/>
        <v>1.6263436352529886E-3</v>
      </c>
      <c r="AM50" s="310">
        <f t="shared" si="49"/>
        <v>0.49100689501895423</v>
      </c>
      <c r="AN50" s="308">
        <f t="shared" si="61"/>
        <v>0.99970067945658325</v>
      </c>
      <c r="AO50" s="309">
        <f t="shared" si="72"/>
        <v>0.99052153429633316</v>
      </c>
      <c r="AP50" s="309">
        <f t="shared" si="73"/>
        <v>0.22879518229600337</v>
      </c>
      <c r="AQ50" s="309">
        <f t="shared" si="74"/>
        <v>0.48738892436462833</v>
      </c>
      <c r="AR50" s="310">
        <f t="shared" si="75"/>
        <v>0.46895034914635303</v>
      </c>
      <c r="AS50" s="291">
        <f t="shared" si="51"/>
        <v>0</v>
      </c>
      <c r="AT50" s="292">
        <f t="shared" si="52"/>
        <v>0</v>
      </c>
      <c r="AU50" s="292">
        <f t="shared" si="53"/>
        <v>0</v>
      </c>
      <c r="AV50" s="292">
        <f t="shared" si="54"/>
        <v>0</v>
      </c>
      <c r="AW50" s="293">
        <f t="shared" si="55"/>
        <v>0</v>
      </c>
      <c r="AX50" s="305">
        <f t="shared" si="56"/>
        <v>0</v>
      </c>
      <c r="AY50" s="306">
        <f t="shared" si="57"/>
        <v>0</v>
      </c>
      <c r="AZ50" s="306">
        <f t="shared" si="58"/>
        <v>0</v>
      </c>
      <c r="BA50" s="292">
        <f t="shared" si="62"/>
        <v>0</v>
      </c>
      <c r="BB50" s="293">
        <f t="shared" si="63"/>
        <v>0</v>
      </c>
      <c r="BC50" s="291">
        <f t="shared" si="64"/>
        <v>1</v>
      </c>
      <c r="BD50" s="292">
        <f t="shared" si="65"/>
        <v>0</v>
      </c>
      <c r="BE50" s="292">
        <f t="shared" si="66"/>
        <v>0</v>
      </c>
      <c r="BF50" s="292">
        <f t="shared" si="67"/>
        <v>0</v>
      </c>
      <c r="BG50" s="292">
        <f t="shared" si="68"/>
        <v>0</v>
      </c>
      <c r="BH50" s="293">
        <f t="shared" si="69"/>
        <v>0</v>
      </c>
    </row>
    <row r="51" spans="1:60" x14ac:dyDescent="0.2">
      <c r="A51" s="326">
        <v>2034</v>
      </c>
      <c r="B51" s="800">
        <f t="shared" si="76"/>
        <v>74620.08</v>
      </c>
      <c r="C51" s="801">
        <f t="shared" si="76"/>
        <v>791.6</v>
      </c>
      <c r="D51" s="801">
        <f t="shared" si="76"/>
        <v>4093.36</v>
      </c>
      <c r="E51" s="801">
        <f t="shared" si="76"/>
        <v>50950.89</v>
      </c>
      <c r="F51" s="801">
        <f t="shared" si="76"/>
        <v>37273.89</v>
      </c>
      <c r="G51" s="802">
        <f t="shared" si="76"/>
        <v>37045.550000000003</v>
      </c>
      <c r="H51" s="952">
        <f t="shared" si="77"/>
        <v>1</v>
      </c>
      <c r="I51" s="953">
        <f t="shared" si="77"/>
        <v>1</v>
      </c>
      <c r="J51" s="953">
        <f t="shared" si="77"/>
        <v>1</v>
      </c>
      <c r="K51" s="953">
        <f t="shared" si="77"/>
        <v>0.76974038741063044</v>
      </c>
      <c r="L51" s="953">
        <f t="shared" si="77"/>
        <v>1</v>
      </c>
      <c r="M51" s="954">
        <f t="shared" si="77"/>
        <v>0.88188493019606995</v>
      </c>
      <c r="N51" s="298">
        <f t="shared" si="29"/>
        <v>4532.9636294456932</v>
      </c>
      <c r="O51" s="299">
        <f t="shared" si="30"/>
        <v>4037.9728661745849</v>
      </c>
      <c r="P51" s="299">
        <f t="shared" si="31"/>
        <v>3043.559156459502</v>
      </c>
      <c r="Q51" s="299">
        <f t="shared" si="32"/>
        <v>2585.5902335554993</v>
      </c>
      <c r="R51" s="299">
        <f t="shared" si="33"/>
        <v>3037.7300049661999</v>
      </c>
      <c r="S51" s="301">
        <f t="shared" si="34"/>
        <v>2620.1461257197948</v>
      </c>
      <c r="T51" s="298">
        <f t="shared" si="35"/>
        <v>494.99076327110834</v>
      </c>
      <c r="U51" s="299">
        <f t="shared" si="36"/>
        <v>1489.4044729861912</v>
      </c>
      <c r="V51" s="299">
        <f t="shared" si="37"/>
        <v>1947.3733958901939</v>
      </c>
      <c r="W51" s="299">
        <f t="shared" si="38"/>
        <v>1495.2336244794933</v>
      </c>
      <c r="X51" s="301">
        <f t="shared" si="39"/>
        <v>1912.8175037258984</v>
      </c>
      <c r="Y51" s="288">
        <f>IF($D$7=0,86,IF(AND(Y$22=TRUE,INDEX(CDRANGE_CLS2,MATCH($A51,$A$24:$A$67,0),MATCH(Y$20,$B$20:$G$20,0))&lt;$D$6/OPDAYS_Cls2),86,payback(C51,T51,disc_rate/12,85)))</f>
        <v>86</v>
      </c>
      <c r="Z51" s="289">
        <f>IF($D$7=0,86,IF(AND(Z$22=TRUE,INDEX(CDRANGE_CLS2,MATCH($A51,$A$24:$A$67,0),MATCH(Z$20,$B$20:$G$20,0))&lt;$D$6/OPDAYS_Cls2),86,payback(D51,U51,disc_rate/12,85)))</f>
        <v>86</v>
      </c>
      <c r="AA51" s="289">
        <f>IF($D$7=0,86,IF(AND(AA$22=TRUE,INDEX(CDRANGE_CLS2,MATCH($A51,$A$24:$A$67,0),MATCH(AA$20,$B$20:$G$20,0))&lt;$D$6/OPDAYS_Cls2),86,payback(E51,V51,disc_rate/12,85)))</f>
        <v>86</v>
      </c>
      <c r="AB51" s="289">
        <f>IF($D$7=0,86,IF(AND(AB$22=TRUE,INDEX(CDRANGE_CLS2,MATCH($A51,$A$24:$A$67,0),MATCH(AB$20,$B$20:$G$20,0))&lt;$D$6/OPDAYS_Cls2),86,payback(F51,W51,disc_rate/12,85)))</f>
        <v>86</v>
      </c>
      <c r="AC51" s="290">
        <f>IF($D$7=0,86,IF(AND(AC$22=TRUE,INDEX(CDRANGE_CLS2,MATCH($A51,$A$24:$A$67,0),MATCH(AC$20,$B$20:$G$20,0))&lt;$D$6/OPDAYS_Cls2),86,payback(G51,X51,disc_rate/12,85)))</f>
        <v>86</v>
      </c>
      <c r="AD51" s="305">
        <f t="shared" si="40"/>
        <v>0</v>
      </c>
      <c r="AE51" s="306">
        <f t="shared" si="41"/>
        <v>0</v>
      </c>
      <c r="AF51" s="306">
        <f t="shared" si="42"/>
        <v>0</v>
      </c>
      <c r="AG51" s="306">
        <f t="shared" si="43"/>
        <v>0</v>
      </c>
      <c r="AH51" s="307">
        <f t="shared" si="44"/>
        <v>0</v>
      </c>
      <c r="AI51" s="308">
        <f t="shared" si="45"/>
        <v>0.49665357453785763</v>
      </c>
      <c r="AJ51" s="309">
        <f t="shared" si="46"/>
        <v>0.49665357453785763</v>
      </c>
      <c r="AK51" s="309">
        <f t="shared" si="47"/>
        <v>0.42519520828502205</v>
      </c>
      <c r="AL51" s="309">
        <f t="shared" si="48"/>
        <v>3.0433483519685662E-3</v>
      </c>
      <c r="AM51" s="310">
        <f t="shared" si="49"/>
        <v>0.49665357453785763</v>
      </c>
      <c r="AN51" s="308">
        <f t="shared" si="61"/>
        <v>0.99968744261130005</v>
      </c>
      <c r="AO51" s="309">
        <f t="shared" si="72"/>
        <v>0.991675998940166</v>
      </c>
      <c r="AP51" s="309">
        <f t="shared" si="73"/>
        <v>0.27388164487866851</v>
      </c>
      <c r="AQ51" s="309">
        <f t="shared" si="74"/>
        <v>0.50002389551027049</v>
      </c>
      <c r="AR51" s="310">
        <f t="shared" si="75"/>
        <v>0.50427499134618903</v>
      </c>
      <c r="AS51" s="291">
        <f t="shared" si="51"/>
        <v>0</v>
      </c>
      <c r="AT51" s="292">
        <f t="shared" si="52"/>
        <v>0</v>
      </c>
      <c r="AU51" s="292">
        <f t="shared" si="53"/>
        <v>0</v>
      </c>
      <c r="AV51" s="292">
        <f t="shared" si="54"/>
        <v>0</v>
      </c>
      <c r="AW51" s="293">
        <f t="shared" si="55"/>
        <v>0</v>
      </c>
      <c r="AX51" s="305">
        <f t="shared" si="56"/>
        <v>0</v>
      </c>
      <c r="AY51" s="306">
        <f t="shared" si="57"/>
        <v>0</v>
      </c>
      <c r="AZ51" s="306">
        <f t="shared" si="58"/>
        <v>0</v>
      </c>
      <c r="BA51" s="292">
        <f t="shared" si="62"/>
        <v>0</v>
      </c>
      <c r="BB51" s="293">
        <f t="shared" si="63"/>
        <v>0</v>
      </c>
      <c r="BC51" s="291">
        <f t="shared" si="64"/>
        <v>1</v>
      </c>
      <c r="BD51" s="292">
        <f t="shared" si="65"/>
        <v>0</v>
      </c>
      <c r="BE51" s="292">
        <f t="shared" si="66"/>
        <v>0</v>
      </c>
      <c r="BF51" s="292">
        <f t="shared" si="67"/>
        <v>0</v>
      </c>
      <c r="BG51" s="292">
        <f t="shared" si="68"/>
        <v>0</v>
      </c>
      <c r="BH51" s="293">
        <f t="shared" si="69"/>
        <v>0</v>
      </c>
    </row>
    <row r="52" spans="1:60" ht="13.5" thickBot="1" x14ac:dyDescent="0.25">
      <c r="A52" s="311">
        <v>2035</v>
      </c>
      <c r="B52" s="803">
        <f t="shared" si="76"/>
        <v>74641.649999999994</v>
      </c>
      <c r="C52" s="804">
        <f t="shared" si="76"/>
        <v>819.64</v>
      </c>
      <c r="D52" s="804">
        <f t="shared" si="76"/>
        <v>3644.64</v>
      </c>
      <c r="E52" s="804">
        <f t="shared" si="76"/>
        <v>45383.64</v>
      </c>
      <c r="F52" s="804">
        <f t="shared" si="76"/>
        <v>36177.64</v>
      </c>
      <c r="G52" s="805">
        <f t="shared" si="76"/>
        <v>33934.639999999999</v>
      </c>
      <c r="H52" s="946">
        <f t="shared" si="77"/>
        <v>1</v>
      </c>
      <c r="I52" s="947">
        <f t="shared" si="77"/>
        <v>1</v>
      </c>
      <c r="J52" s="947">
        <f t="shared" si="77"/>
        <v>1</v>
      </c>
      <c r="K52" s="947">
        <f t="shared" si="77"/>
        <v>0.76783404489720741</v>
      </c>
      <c r="L52" s="947">
        <f t="shared" si="77"/>
        <v>1</v>
      </c>
      <c r="M52" s="948">
        <f t="shared" si="77"/>
        <v>0.88163064994918416</v>
      </c>
      <c r="N52" s="312">
        <f t="shared" si="29"/>
        <v>4564.108000495813</v>
      </c>
      <c r="O52" s="313">
        <f t="shared" si="30"/>
        <v>3968.6292519373555</v>
      </c>
      <c r="P52" s="313">
        <f t="shared" si="31"/>
        <v>2991.5201343493454</v>
      </c>
      <c r="Q52" s="313">
        <f t="shared" si="32"/>
        <v>2519.3945691480612</v>
      </c>
      <c r="R52" s="313">
        <f t="shared" si="33"/>
        <v>2933.1903487009868</v>
      </c>
      <c r="S52" s="315">
        <f t="shared" si="34"/>
        <v>2592.0832120483319</v>
      </c>
      <c r="T52" s="312">
        <f t="shared" si="35"/>
        <v>595.47874855845748</v>
      </c>
      <c r="U52" s="313">
        <f t="shared" si="36"/>
        <v>1572.5878661464676</v>
      </c>
      <c r="V52" s="313">
        <f t="shared" si="37"/>
        <v>2044.7134313477518</v>
      </c>
      <c r="W52" s="313">
        <f t="shared" si="38"/>
        <v>1630.9176517948263</v>
      </c>
      <c r="X52" s="315">
        <f t="shared" si="39"/>
        <v>1972.0247884474811</v>
      </c>
      <c r="Y52" s="288">
        <f>IF($D$7=0,86,IF(AND(Y$22=TRUE,INDEX(CDRANGE_CLS2,MATCH($A52,$A$24:$A$67,0),MATCH(Y$20,$B$20:$G$20,0))&lt;$D$6/OPDAYS_Cls2),86,payback(C52,T52,disc_rate/12,85)))</f>
        <v>86</v>
      </c>
      <c r="Z52" s="289">
        <f>IF($D$7=0,86,IF(AND(Z$22=TRUE,INDEX(CDRANGE_CLS2,MATCH($A52,$A$24:$A$67,0),MATCH(Z$20,$B$20:$G$20,0))&lt;$D$6/OPDAYS_Cls2),86,payback(D52,U52,disc_rate/12,85)))</f>
        <v>86</v>
      </c>
      <c r="AA52" s="289">
        <f>IF($D$7=0,86,IF(AND(AA$22=TRUE,INDEX(CDRANGE_CLS2,MATCH($A52,$A$24:$A$67,0),MATCH(AA$20,$B$20:$G$20,0))&lt;$D$6/OPDAYS_Cls2),86,payback(E52,V52,disc_rate/12,85)))</f>
        <v>86</v>
      </c>
      <c r="AB52" s="289">
        <f>IF($D$7=0,86,IF(AND(AB$22=TRUE,INDEX(CDRANGE_CLS2,MATCH($A52,$A$24:$A$67,0),MATCH(AB$20,$B$20:$G$20,0))&lt;$D$6/OPDAYS_Cls2),86,payback(F52,W52,disc_rate/12,85)))</f>
        <v>86</v>
      </c>
      <c r="AC52" s="290">
        <f>IF($D$7=0,86,IF(AND(AC$22=TRUE,INDEX(CDRANGE_CLS2,MATCH($A52,$A$24:$A$67,0),MATCH(AC$20,$B$20:$G$20,0))&lt;$D$6/OPDAYS_Cls2),86,payback(G52,X52,disc_rate/12,85)))</f>
        <v>86</v>
      </c>
      <c r="AD52" s="319">
        <f t="shared" si="40"/>
        <v>0</v>
      </c>
      <c r="AE52" s="320">
        <f t="shared" si="41"/>
        <v>0</v>
      </c>
      <c r="AF52" s="320">
        <f t="shared" si="42"/>
        <v>0</v>
      </c>
      <c r="AG52" s="320">
        <f t="shared" si="43"/>
        <v>0</v>
      </c>
      <c r="AH52" s="321">
        <f t="shared" si="44"/>
        <v>0</v>
      </c>
      <c r="AI52" s="322">
        <f t="shared" si="45"/>
        <v>0.49876368842168267</v>
      </c>
      <c r="AJ52" s="323">
        <f t="shared" si="46"/>
        <v>0.49876368842168267</v>
      </c>
      <c r="AK52" s="323">
        <f t="shared" si="47"/>
        <v>0.4518683323314226</v>
      </c>
      <c r="AL52" s="323">
        <f t="shared" si="48"/>
        <v>5.2025920982774589E-3</v>
      </c>
      <c r="AM52" s="324">
        <f t="shared" si="49"/>
        <v>0.49876368842168267</v>
      </c>
      <c r="AN52" s="322">
        <f t="shared" si="61"/>
        <v>0.99966510505326223</v>
      </c>
      <c r="AO52" s="323">
        <f t="shared" si="72"/>
        <v>0.99339904193920858</v>
      </c>
      <c r="AP52" s="323">
        <f t="shared" si="73"/>
        <v>0.35811071316789134</v>
      </c>
      <c r="AQ52" s="323">
        <f t="shared" si="74"/>
        <v>0.52071491915711277</v>
      </c>
      <c r="AR52" s="324">
        <f t="shared" si="75"/>
        <v>0.56318623014060776</v>
      </c>
      <c r="AS52" s="810">
        <f t="shared" si="51"/>
        <v>0</v>
      </c>
      <c r="AT52" s="811">
        <f t="shared" si="52"/>
        <v>0</v>
      </c>
      <c r="AU52" s="811">
        <f t="shared" si="53"/>
        <v>0</v>
      </c>
      <c r="AV52" s="811">
        <f t="shared" si="54"/>
        <v>0</v>
      </c>
      <c r="AW52" s="812">
        <f t="shared" si="55"/>
        <v>0</v>
      </c>
      <c r="AX52" s="319">
        <f t="shared" si="56"/>
        <v>0</v>
      </c>
      <c r="AY52" s="320">
        <f t="shared" si="57"/>
        <v>0</v>
      </c>
      <c r="AZ52" s="320">
        <f t="shared" si="58"/>
        <v>0</v>
      </c>
      <c r="BA52" s="320">
        <f t="shared" si="62"/>
        <v>0</v>
      </c>
      <c r="BB52" s="321">
        <f t="shared" si="63"/>
        <v>0</v>
      </c>
      <c r="BC52" s="319">
        <f t="shared" si="64"/>
        <v>1</v>
      </c>
      <c r="BD52" s="320">
        <f t="shared" si="65"/>
        <v>0</v>
      </c>
      <c r="BE52" s="320">
        <f t="shared" si="66"/>
        <v>0</v>
      </c>
      <c r="BF52" s="320">
        <f t="shared" si="67"/>
        <v>0</v>
      </c>
      <c r="BG52" s="320">
        <f t="shared" si="68"/>
        <v>0</v>
      </c>
      <c r="BH52" s="321">
        <f t="shared" si="69"/>
        <v>0</v>
      </c>
    </row>
    <row r="53" spans="1:60" x14ac:dyDescent="0.2">
      <c r="A53" s="325">
        <v>2036</v>
      </c>
      <c r="B53" s="806">
        <f t="shared" si="76"/>
        <v>74641.649999999994</v>
      </c>
      <c r="C53" s="807">
        <f t="shared" si="76"/>
        <v>895.28</v>
      </c>
      <c r="D53" s="807">
        <f t="shared" si="76"/>
        <v>3354.33</v>
      </c>
      <c r="E53" s="807">
        <f t="shared" si="76"/>
        <v>41084.89</v>
      </c>
      <c r="F53" s="807">
        <f t="shared" si="76"/>
        <v>33681.42</v>
      </c>
      <c r="G53" s="808">
        <f t="shared" si="76"/>
        <v>31624.55</v>
      </c>
      <c r="H53" s="949">
        <f t="shared" si="77"/>
        <v>1</v>
      </c>
      <c r="I53" s="950">
        <f t="shared" si="77"/>
        <v>1</v>
      </c>
      <c r="J53" s="950">
        <f t="shared" si="77"/>
        <v>1</v>
      </c>
      <c r="K53" s="950">
        <f t="shared" si="77"/>
        <v>0.76707365636767189</v>
      </c>
      <c r="L53" s="950">
        <f t="shared" si="77"/>
        <v>1</v>
      </c>
      <c r="M53" s="951">
        <f t="shared" si="77"/>
        <v>0.87796326382513012</v>
      </c>
      <c r="N53" s="284">
        <f t="shared" si="29"/>
        <v>4610.4487165036144</v>
      </c>
      <c r="O53" s="285">
        <f t="shared" si="30"/>
        <v>3889.7128809535939</v>
      </c>
      <c r="P53" s="285">
        <f t="shared" si="31"/>
        <v>2931.9154582741653</v>
      </c>
      <c r="Q53" s="285">
        <f t="shared" si="32"/>
        <v>2451.2378087621255</v>
      </c>
      <c r="R53" s="285">
        <f t="shared" si="33"/>
        <v>2797.6108500709001</v>
      </c>
      <c r="S53" s="287">
        <f t="shared" si="34"/>
        <v>2547.5558555118168</v>
      </c>
      <c r="T53" s="284">
        <f t="shared" si="35"/>
        <v>720.73583555002051</v>
      </c>
      <c r="U53" s="285">
        <f t="shared" si="36"/>
        <v>1678.5332582294491</v>
      </c>
      <c r="V53" s="285">
        <f t="shared" si="37"/>
        <v>2159.2109077414889</v>
      </c>
      <c r="W53" s="285">
        <f t="shared" si="38"/>
        <v>1812.8378664327142</v>
      </c>
      <c r="X53" s="287">
        <f t="shared" si="39"/>
        <v>2062.8928609917975</v>
      </c>
      <c r="Y53" s="288">
        <f>IF($D$7=0,86,IF(AND(Y$22=TRUE,INDEX(CDRANGE_CLS2,MATCH($A53,$A$24:$A$67,0),MATCH(Y$20,$B$20:$G$20,0))&lt;$D$6/OPDAYS_Cls2),86,payback(C53,T53,disc_rate/12,85)))</f>
        <v>86</v>
      </c>
      <c r="Z53" s="289">
        <f>IF($D$7=0,86,IF(AND(Z$22=TRUE,INDEX(CDRANGE_CLS2,MATCH($A53,$A$24:$A$67,0),MATCH(Z$20,$B$20:$G$20,0))&lt;$D$6/OPDAYS_Cls2),86,payback(D53,U53,disc_rate/12,85)))</f>
        <v>86</v>
      </c>
      <c r="AA53" s="289">
        <f>IF($D$7=0,86,IF(AND(AA$22=TRUE,INDEX(CDRANGE_CLS2,MATCH($A53,$A$24:$A$67,0),MATCH(AA$20,$B$20:$G$20,0))&lt;$D$6/OPDAYS_Cls2),86,payback(E53,V53,disc_rate/12,85)))</f>
        <v>86</v>
      </c>
      <c r="AB53" s="289">
        <f>IF($D$7=0,86,IF(AND(AB$22=TRUE,INDEX(CDRANGE_CLS2,MATCH($A53,$A$24:$A$67,0),MATCH(AB$20,$B$20:$G$20,0))&lt;$D$6/OPDAYS_Cls2),86,payback(F53,W53,disc_rate/12,85)))</f>
        <v>86</v>
      </c>
      <c r="AC53" s="290">
        <f>IF($D$7=0,86,IF(AND(AC$22=TRUE,INDEX(CDRANGE_CLS2,MATCH($A53,$A$24:$A$67,0),MATCH(AC$20,$B$20:$G$20,0))&lt;$D$6/OPDAYS_Cls2),86,payback(G53,X53,disc_rate/12,85)))</f>
        <v>86</v>
      </c>
      <c r="AD53" s="291">
        <f t="shared" si="40"/>
        <v>0</v>
      </c>
      <c r="AE53" s="292">
        <f t="shared" si="41"/>
        <v>0</v>
      </c>
      <c r="AF53" s="292">
        <f t="shared" si="42"/>
        <v>0</v>
      </c>
      <c r="AG53" s="292">
        <f t="shared" si="43"/>
        <v>0</v>
      </c>
      <c r="AH53" s="293">
        <f t="shared" si="44"/>
        <v>0</v>
      </c>
      <c r="AI53" s="294">
        <f t="shared" si="45"/>
        <v>0.4995444744027997</v>
      </c>
      <c r="AJ53" s="295">
        <f t="shared" si="46"/>
        <v>0.4995444744027997</v>
      </c>
      <c r="AK53" s="295">
        <f t="shared" si="47"/>
        <v>0.47082439146539745</v>
      </c>
      <c r="AL53" s="295">
        <f t="shared" si="48"/>
        <v>6.6311864987737218E-3</v>
      </c>
      <c r="AM53" s="296">
        <f t="shared" si="49"/>
        <v>0.4995444744027997</v>
      </c>
      <c r="AN53" s="294">
        <f t="shared" si="61"/>
        <v>0.99960045469867775</v>
      </c>
      <c r="AO53" s="295">
        <f t="shared" si="72"/>
        <v>0.99440591541687928</v>
      </c>
      <c r="AP53" s="295">
        <f t="shared" si="73"/>
        <v>0.43102571198272988</v>
      </c>
      <c r="AQ53" s="295">
        <f t="shared" si="74"/>
        <v>0.56801448225101925</v>
      </c>
      <c r="AR53" s="296">
        <f t="shared" si="75"/>
        <v>0.60735845131789268</v>
      </c>
      <c r="AS53" s="606">
        <f t="shared" si="51"/>
        <v>0</v>
      </c>
      <c r="AT53" s="607">
        <f t="shared" si="52"/>
        <v>0</v>
      </c>
      <c r="AU53" s="607">
        <f t="shared" si="53"/>
        <v>0</v>
      </c>
      <c r="AV53" s="607">
        <f t="shared" si="54"/>
        <v>0</v>
      </c>
      <c r="AW53" s="608">
        <f t="shared" si="55"/>
        <v>0</v>
      </c>
      <c r="AX53" s="291">
        <f t="shared" si="56"/>
        <v>0</v>
      </c>
      <c r="AY53" s="292">
        <f t="shared" si="57"/>
        <v>0</v>
      </c>
      <c r="AZ53" s="292">
        <f t="shared" si="58"/>
        <v>0</v>
      </c>
      <c r="BA53" s="292">
        <f t="shared" si="62"/>
        <v>0</v>
      </c>
      <c r="BB53" s="293">
        <f t="shared" si="63"/>
        <v>0</v>
      </c>
      <c r="BC53" s="291">
        <f t="shared" si="64"/>
        <v>1</v>
      </c>
      <c r="BD53" s="292">
        <f t="shared" si="65"/>
        <v>0</v>
      </c>
      <c r="BE53" s="292">
        <f t="shared" si="66"/>
        <v>0</v>
      </c>
      <c r="BF53" s="292">
        <f t="shared" si="67"/>
        <v>0</v>
      </c>
      <c r="BG53" s="292">
        <f t="shared" si="68"/>
        <v>0</v>
      </c>
      <c r="BH53" s="293">
        <f t="shared" si="69"/>
        <v>0</v>
      </c>
    </row>
    <row r="54" spans="1:60" x14ac:dyDescent="0.2">
      <c r="A54" s="326">
        <v>2037</v>
      </c>
      <c r="B54" s="800">
        <f t="shared" ref="B54:G67" si="78">ROUND(INDEX(COST_Cls2,$A54-($A$24-1),MATCH(B$20,TECHOPTS_Cls2,0)),2)</f>
        <v>74641.649999999994</v>
      </c>
      <c r="C54" s="801">
        <f t="shared" si="78"/>
        <v>928.17</v>
      </c>
      <c r="D54" s="801">
        <f t="shared" si="78"/>
        <v>3228.11</v>
      </c>
      <c r="E54" s="801">
        <f t="shared" si="78"/>
        <v>39215.89</v>
      </c>
      <c r="F54" s="801">
        <f t="shared" si="78"/>
        <v>32596.12</v>
      </c>
      <c r="G54" s="802">
        <f t="shared" si="78"/>
        <v>30620.18</v>
      </c>
      <c r="H54" s="952">
        <f t="shared" ref="H54:M67" si="79">MAX(1-INDEX(CDRANGE_CLS2,$A54-($A$24-1),MATCH(H$20,TECHOPTS_Cls2,0))*OPDAYS_Cls2/$D$6,0)</f>
        <v>1</v>
      </c>
      <c r="I54" s="953">
        <f t="shared" si="79"/>
        <v>1</v>
      </c>
      <c r="J54" s="953">
        <f t="shared" si="79"/>
        <v>1</v>
      </c>
      <c r="K54" s="953">
        <f t="shared" si="79"/>
        <v>0.76674305626620698</v>
      </c>
      <c r="L54" s="953">
        <f t="shared" si="79"/>
        <v>1</v>
      </c>
      <c r="M54" s="954">
        <f t="shared" si="79"/>
        <v>0.87636876551587251</v>
      </c>
      <c r="N54" s="298">
        <f t="shared" si="29"/>
        <v>4641.7768462891981</v>
      </c>
      <c r="O54" s="299">
        <f t="shared" si="30"/>
        <v>3866.159047211409</v>
      </c>
      <c r="P54" s="299">
        <f t="shared" si="31"/>
        <v>2914.1125771141524</v>
      </c>
      <c r="Q54" s="299">
        <f t="shared" si="32"/>
        <v>2416.8503449212444</v>
      </c>
      <c r="R54" s="299">
        <f t="shared" si="33"/>
        <v>2707.8115570693481</v>
      </c>
      <c r="S54" s="301">
        <f t="shared" si="34"/>
        <v>2533.0899570136885</v>
      </c>
      <c r="T54" s="298">
        <f t="shared" si="35"/>
        <v>775.61779907778919</v>
      </c>
      <c r="U54" s="299">
        <f t="shared" si="36"/>
        <v>1727.6642691750458</v>
      </c>
      <c r="V54" s="299">
        <f t="shared" si="37"/>
        <v>2224.9265013679537</v>
      </c>
      <c r="W54" s="299">
        <f t="shared" si="38"/>
        <v>1933.9652892198501</v>
      </c>
      <c r="X54" s="301">
        <f t="shared" si="39"/>
        <v>2108.6868892755097</v>
      </c>
      <c r="Y54" s="288">
        <f>IF($D$7=0,86,IF(AND(Y$22=TRUE,INDEX(CDRANGE_CLS2,MATCH($A54,$A$24:$A$67,0),MATCH(Y$20,$B$20:$G$20,0))&lt;$D$6/OPDAYS_Cls2),86,payback(C54,T54,disc_rate/12,85)))</f>
        <v>86</v>
      </c>
      <c r="Z54" s="289">
        <f>IF($D$7=0,86,IF(AND(Z$22=TRUE,INDEX(CDRANGE_CLS2,MATCH($A54,$A$24:$A$67,0),MATCH(Z$20,$B$20:$G$20,0))&lt;$D$6/OPDAYS_Cls2),86,payback(D54,U54,disc_rate/12,85)))</f>
        <v>86</v>
      </c>
      <c r="AA54" s="289">
        <f>IF($D$7=0,86,IF(AND(AA$22=TRUE,INDEX(CDRANGE_CLS2,MATCH($A54,$A$24:$A$67,0),MATCH(AA$20,$B$20:$G$20,0))&lt;$D$6/OPDAYS_Cls2),86,payback(E54,V54,disc_rate/12,85)))</f>
        <v>86</v>
      </c>
      <c r="AB54" s="289">
        <f>IF($D$7=0,86,IF(AND(AB$22=TRUE,INDEX(CDRANGE_CLS2,MATCH($A54,$A$24:$A$67,0),MATCH(AB$20,$B$20:$G$20,0))&lt;$D$6/OPDAYS_Cls2),86,payback(F54,W54,disc_rate/12,85)))</f>
        <v>86</v>
      </c>
      <c r="AC54" s="290">
        <f>IF($D$7=0,86,IF(AND(AC$22=TRUE,INDEX(CDRANGE_CLS2,MATCH($A54,$A$24:$A$67,0),MATCH(AC$20,$B$20:$G$20,0))&lt;$D$6/OPDAYS_Cls2),86,payback(G54,X54,disc_rate/12,85)))</f>
        <v>86</v>
      </c>
      <c r="AD54" s="305">
        <f t="shared" si="40"/>
        <v>0</v>
      </c>
      <c r="AE54" s="306">
        <f t="shared" si="41"/>
        <v>0</v>
      </c>
      <c r="AF54" s="306">
        <f t="shared" si="42"/>
        <v>0</v>
      </c>
      <c r="AG54" s="306">
        <f t="shared" si="43"/>
        <v>0</v>
      </c>
      <c r="AH54" s="307">
        <f t="shared" si="44"/>
        <v>0</v>
      </c>
      <c r="AI54" s="308">
        <f t="shared" si="45"/>
        <v>0.49983232493476681</v>
      </c>
      <c r="AJ54" s="309">
        <f t="shared" si="46"/>
        <v>0.49983232493476681</v>
      </c>
      <c r="AK54" s="309">
        <f t="shared" si="47"/>
        <v>0.48349826438266752</v>
      </c>
      <c r="AL54" s="309">
        <f t="shared" si="48"/>
        <v>1.0314276698510091E-2</v>
      </c>
      <c r="AM54" s="310">
        <f t="shared" si="49"/>
        <v>0.49983232493476681</v>
      </c>
      <c r="AN54" s="308">
        <f t="shared" si="61"/>
        <v>0.99957056560669644</v>
      </c>
      <c r="AO54" s="309">
        <f t="shared" si="72"/>
        <v>0.99481792163892813</v>
      </c>
      <c r="AP54" s="309">
        <f t="shared" si="73"/>
        <v>0.46451587712285169</v>
      </c>
      <c r="AQ54" s="309">
        <f t="shared" si="74"/>
        <v>0.58875509281977734</v>
      </c>
      <c r="AR54" s="310">
        <f t="shared" si="75"/>
        <v>0.62658770418751109</v>
      </c>
      <c r="AS54" s="291">
        <f t="shared" si="51"/>
        <v>0</v>
      </c>
      <c r="AT54" s="292">
        <f t="shared" si="52"/>
        <v>0</v>
      </c>
      <c r="AU54" s="292">
        <f t="shared" si="53"/>
        <v>0</v>
      </c>
      <c r="AV54" s="292">
        <f t="shared" si="54"/>
        <v>0</v>
      </c>
      <c r="AW54" s="293">
        <f t="shared" si="55"/>
        <v>0</v>
      </c>
      <c r="AX54" s="305">
        <f t="shared" si="56"/>
        <v>0</v>
      </c>
      <c r="AY54" s="306">
        <f t="shared" si="57"/>
        <v>0</v>
      </c>
      <c r="AZ54" s="306">
        <f t="shared" si="58"/>
        <v>0</v>
      </c>
      <c r="BA54" s="292">
        <f t="shared" si="62"/>
        <v>0</v>
      </c>
      <c r="BB54" s="293">
        <f t="shared" si="63"/>
        <v>0</v>
      </c>
      <c r="BC54" s="291">
        <f t="shared" si="64"/>
        <v>1</v>
      </c>
      <c r="BD54" s="292">
        <f t="shared" si="65"/>
        <v>0</v>
      </c>
      <c r="BE54" s="292">
        <f t="shared" si="66"/>
        <v>0</v>
      </c>
      <c r="BF54" s="292">
        <f t="shared" si="67"/>
        <v>0</v>
      </c>
      <c r="BG54" s="292">
        <f t="shared" si="68"/>
        <v>0</v>
      </c>
      <c r="BH54" s="293">
        <f t="shared" si="69"/>
        <v>0</v>
      </c>
    </row>
    <row r="55" spans="1:60" x14ac:dyDescent="0.2">
      <c r="A55" s="326">
        <v>2038</v>
      </c>
      <c r="B55" s="800">
        <f t="shared" si="78"/>
        <v>74641.649999999994</v>
      </c>
      <c r="C55" s="801">
        <f t="shared" si="78"/>
        <v>971.77</v>
      </c>
      <c r="D55" s="801">
        <f t="shared" si="78"/>
        <v>3060.75</v>
      </c>
      <c r="E55" s="801">
        <f t="shared" si="78"/>
        <v>36737.78</v>
      </c>
      <c r="F55" s="801">
        <f t="shared" si="78"/>
        <v>31157.119999999999</v>
      </c>
      <c r="G55" s="802">
        <f t="shared" si="78"/>
        <v>29288.48</v>
      </c>
      <c r="H55" s="952">
        <f t="shared" si="79"/>
        <v>1</v>
      </c>
      <c r="I55" s="953">
        <f t="shared" si="79"/>
        <v>1</v>
      </c>
      <c r="J55" s="953">
        <f t="shared" si="79"/>
        <v>1</v>
      </c>
      <c r="K55" s="953">
        <f t="shared" si="79"/>
        <v>0.76630471469947803</v>
      </c>
      <c r="L55" s="953">
        <f t="shared" si="79"/>
        <v>1</v>
      </c>
      <c r="M55" s="954">
        <f t="shared" si="79"/>
        <v>0.87425462555061018</v>
      </c>
      <c r="N55" s="298">
        <f t="shared" si="29"/>
        <v>4681.0048332023161</v>
      </c>
      <c r="O55" s="299">
        <f t="shared" si="30"/>
        <v>3833.9489055271911</v>
      </c>
      <c r="P55" s="299">
        <f t="shared" si="31"/>
        <v>2889.771792959511</v>
      </c>
      <c r="Q55" s="299">
        <f t="shared" si="32"/>
        <v>2370.6374088288212</v>
      </c>
      <c r="R55" s="299">
        <f t="shared" si="33"/>
        <v>2610.5726784984663</v>
      </c>
      <c r="S55" s="301">
        <f t="shared" si="34"/>
        <v>2512.9581613107785</v>
      </c>
      <c r="T55" s="298">
        <f t="shared" si="35"/>
        <v>847.05592767512508</v>
      </c>
      <c r="U55" s="299">
        <f t="shared" si="36"/>
        <v>1791.2330402428051</v>
      </c>
      <c r="V55" s="299">
        <f t="shared" si="37"/>
        <v>2310.3674243734949</v>
      </c>
      <c r="W55" s="299">
        <f t="shared" si="38"/>
        <v>2070.4321547038498</v>
      </c>
      <c r="X55" s="301">
        <f t="shared" si="39"/>
        <v>2168.0466718915377</v>
      </c>
      <c r="Y55" s="288">
        <f>IF($D$7=0,86,IF(AND(Y$22=TRUE,INDEX(CDRANGE_CLS2,MATCH($A55,$A$24:$A$67,0),MATCH(Y$20,$B$20:$G$20,0))&lt;$D$6/OPDAYS_Cls2),86,payback(C55,T55,disc_rate/12,85)))</f>
        <v>86</v>
      </c>
      <c r="Z55" s="289">
        <f>IF($D$7=0,86,IF(AND(Z$22=TRUE,INDEX(CDRANGE_CLS2,MATCH($A55,$A$24:$A$67,0),MATCH(Z$20,$B$20:$G$20,0))&lt;$D$6/OPDAYS_Cls2),86,payback(D55,U55,disc_rate/12,85)))</f>
        <v>86</v>
      </c>
      <c r="AA55" s="289">
        <f>IF($D$7=0,86,IF(AND(AA$22=TRUE,INDEX(CDRANGE_CLS2,MATCH($A55,$A$24:$A$67,0),MATCH(AA$20,$B$20:$G$20,0))&lt;$D$6/OPDAYS_Cls2),86,payback(E55,V55,disc_rate/12,85)))</f>
        <v>86</v>
      </c>
      <c r="AB55" s="289">
        <f>IF($D$7=0,86,IF(AND(AB$22=TRUE,INDEX(CDRANGE_CLS2,MATCH($A55,$A$24:$A$67,0),MATCH(AB$20,$B$20:$G$20,0))&lt;$D$6/OPDAYS_Cls2),86,payback(F55,W55,disc_rate/12,85)))</f>
        <v>86</v>
      </c>
      <c r="AC55" s="290">
        <f>IF($D$7=0,86,IF(AND(AC$22=TRUE,INDEX(CDRANGE_CLS2,MATCH($A55,$A$24:$A$67,0),MATCH(AC$20,$B$20:$G$20,0))&lt;$D$6/OPDAYS_Cls2),86,payback(G55,X55,disc_rate/12,85)))</f>
        <v>86</v>
      </c>
      <c r="AD55" s="305">
        <f t="shared" si="40"/>
        <v>0</v>
      </c>
      <c r="AE55" s="306">
        <f t="shared" si="41"/>
        <v>0</v>
      </c>
      <c r="AF55" s="306">
        <f t="shared" si="42"/>
        <v>0</v>
      </c>
      <c r="AG55" s="306">
        <f t="shared" si="43"/>
        <v>0</v>
      </c>
      <c r="AH55" s="307">
        <f t="shared" si="44"/>
        <v>0</v>
      </c>
      <c r="AI55" s="308">
        <f t="shared" si="45"/>
        <v>0.49993830271200684</v>
      </c>
      <c r="AJ55" s="309">
        <f t="shared" si="46"/>
        <v>0.49993830271200684</v>
      </c>
      <c r="AK55" s="309">
        <f t="shared" si="47"/>
        <v>0.49136531980195808</v>
      </c>
      <c r="AL55" s="309">
        <f t="shared" si="48"/>
        <v>1.53170148083135E-2</v>
      </c>
      <c r="AM55" s="310">
        <f t="shared" si="49"/>
        <v>0.49993830271200684</v>
      </c>
      <c r="AN55" s="308">
        <f t="shared" si="61"/>
        <v>0.99952928311493905</v>
      </c>
      <c r="AO55" s="309">
        <f t="shared" si="72"/>
        <v>0.99534009677175739</v>
      </c>
      <c r="AP55" s="309">
        <f t="shared" si="73"/>
        <v>0.51021860871980385</v>
      </c>
      <c r="AQ55" s="309">
        <f t="shared" si="74"/>
        <v>0.61631025591473065</v>
      </c>
      <c r="AR55" s="310">
        <f t="shared" si="75"/>
        <v>0.6520137594932538</v>
      </c>
      <c r="AS55" s="291">
        <f t="shared" si="51"/>
        <v>0</v>
      </c>
      <c r="AT55" s="292">
        <f t="shared" si="52"/>
        <v>0</v>
      </c>
      <c r="AU55" s="292">
        <f t="shared" si="53"/>
        <v>0</v>
      </c>
      <c r="AV55" s="292">
        <f t="shared" si="54"/>
        <v>0</v>
      </c>
      <c r="AW55" s="293">
        <f t="shared" si="55"/>
        <v>0</v>
      </c>
      <c r="AX55" s="305">
        <f t="shared" si="56"/>
        <v>0</v>
      </c>
      <c r="AY55" s="306">
        <f t="shared" si="57"/>
        <v>0</v>
      </c>
      <c r="AZ55" s="306">
        <f t="shared" si="58"/>
        <v>0</v>
      </c>
      <c r="BA55" s="292">
        <f t="shared" si="62"/>
        <v>0</v>
      </c>
      <c r="BB55" s="293">
        <f t="shared" si="63"/>
        <v>0</v>
      </c>
      <c r="BC55" s="291">
        <f t="shared" si="64"/>
        <v>1</v>
      </c>
      <c r="BD55" s="292">
        <f t="shared" si="65"/>
        <v>0</v>
      </c>
      <c r="BE55" s="292">
        <f t="shared" si="66"/>
        <v>0</v>
      </c>
      <c r="BF55" s="292">
        <f t="shared" si="67"/>
        <v>0</v>
      </c>
      <c r="BG55" s="292">
        <f t="shared" si="68"/>
        <v>0</v>
      </c>
      <c r="BH55" s="293">
        <f t="shared" si="69"/>
        <v>0</v>
      </c>
    </row>
    <row r="56" spans="1:60" x14ac:dyDescent="0.2">
      <c r="A56" s="326">
        <v>2039</v>
      </c>
      <c r="B56" s="800">
        <f t="shared" si="78"/>
        <v>74641.649999999994</v>
      </c>
      <c r="C56" s="801">
        <f t="shared" si="78"/>
        <v>1026.5899999999999</v>
      </c>
      <c r="D56" s="801">
        <f t="shared" si="78"/>
        <v>2850.37</v>
      </c>
      <c r="E56" s="801">
        <f t="shared" si="78"/>
        <v>33622.61</v>
      </c>
      <c r="F56" s="801">
        <f t="shared" si="78"/>
        <v>29348.18</v>
      </c>
      <c r="G56" s="802">
        <f t="shared" si="78"/>
        <v>27614.43</v>
      </c>
      <c r="H56" s="952">
        <f t="shared" si="79"/>
        <v>1</v>
      </c>
      <c r="I56" s="953">
        <f t="shared" si="79"/>
        <v>1</v>
      </c>
      <c r="J56" s="953">
        <f t="shared" si="79"/>
        <v>1</v>
      </c>
      <c r="K56" s="953">
        <f t="shared" si="79"/>
        <v>0.76575368523691612</v>
      </c>
      <c r="L56" s="953">
        <f t="shared" si="79"/>
        <v>1</v>
      </c>
      <c r="M56" s="954">
        <f t="shared" si="79"/>
        <v>0.87159698708494404</v>
      </c>
      <c r="N56" s="298">
        <f t="shared" si="29"/>
        <v>4721.2205283386484</v>
      </c>
      <c r="O56" s="299">
        <f t="shared" si="30"/>
        <v>3787.6498673288488</v>
      </c>
      <c r="P56" s="299">
        <f t="shared" si="31"/>
        <v>2854.8000289608567</v>
      </c>
      <c r="Q56" s="299">
        <f t="shared" si="32"/>
        <v>2294.6467267221979</v>
      </c>
      <c r="R56" s="299">
        <f t="shared" si="33"/>
        <v>2506.8395444365542</v>
      </c>
      <c r="S56" s="301">
        <f t="shared" si="34"/>
        <v>2480.9266370008254</v>
      </c>
      <c r="T56" s="298">
        <f t="shared" si="35"/>
        <v>933.57066100979955</v>
      </c>
      <c r="U56" s="299">
        <f t="shared" si="36"/>
        <v>1866.4204993777917</v>
      </c>
      <c r="V56" s="299">
        <f t="shared" si="37"/>
        <v>2426.5738016164505</v>
      </c>
      <c r="W56" s="299">
        <f t="shared" si="38"/>
        <v>2214.3809839020942</v>
      </c>
      <c r="X56" s="301">
        <f t="shared" si="39"/>
        <v>2240.293891337823</v>
      </c>
      <c r="Y56" s="288">
        <f>IF($D$7=0,86,IF(AND(Y$22=TRUE,INDEX(CDRANGE_CLS2,MATCH($A56,$A$24:$A$67,0),MATCH(Y$20,$B$20:$G$20,0))&lt;$D$6/OPDAYS_Cls2),86,payback(C56,T56,disc_rate/12,85)))</f>
        <v>86</v>
      </c>
      <c r="Z56" s="289">
        <f>IF($D$7=0,86,IF(AND(Z$22=TRUE,INDEX(CDRANGE_CLS2,MATCH($A56,$A$24:$A$67,0),MATCH(Z$20,$B$20:$G$20,0))&lt;$D$6/OPDAYS_Cls2),86,payback(D56,U56,disc_rate/12,85)))</f>
        <v>86</v>
      </c>
      <c r="AA56" s="289">
        <f>IF($D$7=0,86,IF(AND(AA$22=TRUE,INDEX(CDRANGE_CLS2,MATCH($A56,$A$24:$A$67,0),MATCH(AA$20,$B$20:$G$20,0))&lt;$D$6/OPDAYS_Cls2),86,payback(E56,V56,disc_rate/12,85)))</f>
        <v>86</v>
      </c>
      <c r="AB56" s="289">
        <f>IF($D$7=0,86,IF(AND(AB$22=TRUE,INDEX(CDRANGE_CLS2,MATCH($A56,$A$24:$A$67,0),MATCH(AB$20,$B$20:$G$20,0))&lt;$D$6/OPDAYS_Cls2),86,payback(F56,W56,disc_rate/12,85)))</f>
        <v>86</v>
      </c>
      <c r="AC56" s="290">
        <f>IF($D$7=0,86,IF(AND(AC$22=TRUE,INDEX(CDRANGE_CLS2,MATCH($A56,$A$24:$A$67,0),MATCH(AC$20,$B$20:$G$20,0))&lt;$D$6/OPDAYS_Cls2),86,payback(G56,X56,disc_rate/12,85)))</f>
        <v>86</v>
      </c>
      <c r="AD56" s="305">
        <f t="shared" si="40"/>
        <v>0</v>
      </c>
      <c r="AE56" s="306">
        <f t="shared" si="41"/>
        <v>0</v>
      </c>
      <c r="AF56" s="306">
        <f t="shared" si="42"/>
        <v>0</v>
      </c>
      <c r="AG56" s="306">
        <f t="shared" si="43"/>
        <v>0</v>
      </c>
      <c r="AH56" s="307">
        <f t="shared" si="44"/>
        <v>0</v>
      </c>
      <c r="AI56" s="308">
        <f t="shared" si="45"/>
        <v>0.4999773010656488</v>
      </c>
      <c r="AJ56" s="309">
        <f t="shared" si="46"/>
        <v>0.4999773010656488</v>
      </c>
      <c r="AK56" s="309">
        <f t="shared" si="47"/>
        <v>0.49585376716113705</v>
      </c>
      <c r="AL56" s="309">
        <f t="shared" si="48"/>
        <v>2.5848726380139672E-2</v>
      </c>
      <c r="AM56" s="310">
        <f t="shared" si="49"/>
        <v>0.4999773010656488</v>
      </c>
      <c r="AN56" s="308">
        <f t="shared" si="61"/>
        <v>0.9994746908066271</v>
      </c>
      <c r="AO56" s="309">
        <f t="shared" si="72"/>
        <v>0.99595742396351039</v>
      </c>
      <c r="AP56" s="309">
        <f t="shared" si="73"/>
        <v>0.56913654022212867</v>
      </c>
      <c r="AQ56" s="309">
        <f t="shared" si="74"/>
        <v>0.65087677009836875</v>
      </c>
      <c r="AR56" s="310">
        <f t="shared" si="75"/>
        <v>0.68372758909004427</v>
      </c>
      <c r="AS56" s="291">
        <f t="shared" si="51"/>
        <v>0</v>
      </c>
      <c r="AT56" s="292">
        <f t="shared" si="52"/>
        <v>0</v>
      </c>
      <c r="AU56" s="292">
        <f t="shared" si="53"/>
        <v>0</v>
      </c>
      <c r="AV56" s="292">
        <f t="shared" si="54"/>
        <v>0</v>
      </c>
      <c r="AW56" s="293">
        <f t="shared" si="55"/>
        <v>0</v>
      </c>
      <c r="AX56" s="305">
        <f t="shared" si="56"/>
        <v>0</v>
      </c>
      <c r="AY56" s="306">
        <f t="shared" si="57"/>
        <v>0</v>
      </c>
      <c r="AZ56" s="306">
        <f t="shared" si="58"/>
        <v>0</v>
      </c>
      <c r="BA56" s="292">
        <f t="shared" si="62"/>
        <v>0</v>
      </c>
      <c r="BB56" s="293">
        <f t="shared" si="63"/>
        <v>0</v>
      </c>
      <c r="BC56" s="291">
        <f t="shared" si="64"/>
        <v>1</v>
      </c>
      <c r="BD56" s="292">
        <f t="shared" si="65"/>
        <v>0</v>
      </c>
      <c r="BE56" s="292">
        <f t="shared" si="66"/>
        <v>0</v>
      </c>
      <c r="BF56" s="292">
        <f t="shared" si="67"/>
        <v>0</v>
      </c>
      <c r="BG56" s="292">
        <f t="shared" si="68"/>
        <v>0</v>
      </c>
      <c r="BH56" s="293">
        <f t="shared" si="69"/>
        <v>0</v>
      </c>
    </row>
    <row r="57" spans="1:60" ht="13.5" thickBot="1" x14ac:dyDescent="0.25">
      <c r="A57" s="311">
        <v>2040</v>
      </c>
      <c r="B57" s="794">
        <f t="shared" si="78"/>
        <v>74641.649999999994</v>
      </c>
      <c r="C57" s="795">
        <f t="shared" si="78"/>
        <v>1091.06</v>
      </c>
      <c r="D57" s="795">
        <f t="shared" si="78"/>
        <v>2602.9299999999998</v>
      </c>
      <c r="E57" s="795">
        <f t="shared" si="78"/>
        <v>29958.74</v>
      </c>
      <c r="F57" s="795">
        <f t="shared" si="78"/>
        <v>27220.63</v>
      </c>
      <c r="G57" s="796">
        <f t="shared" si="78"/>
        <v>25645.52</v>
      </c>
      <c r="H57" s="946">
        <f t="shared" si="79"/>
        <v>1</v>
      </c>
      <c r="I57" s="947">
        <f t="shared" si="79"/>
        <v>1</v>
      </c>
      <c r="J57" s="947">
        <f t="shared" si="79"/>
        <v>1</v>
      </c>
      <c r="K57" s="947">
        <f t="shared" si="79"/>
        <v>0.76510559886284391</v>
      </c>
      <c r="L57" s="947">
        <f t="shared" si="79"/>
        <v>1</v>
      </c>
      <c r="M57" s="948">
        <f t="shared" si="79"/>
        <v>0.86847123901913237</v>
      </c>
      <c r="N57" s="312">
        <f t="shared" si="29"/>
        <v>4721.4303326856425</v>
      </c>
      <c r="O57" s="313">
        <f t="shared" si="30"/>
        <v>3698.6779799098808</v>
      </c>
      <c r="P57" s="313">
        <f t="shared" si="31"/>
        <v>2787.6587558351462</v>
      </c>
      <c r="Q57" s="313">
        <f t="shared" si="32"/>
        <v>2183.8725835151668</v>
      </c>
      <c r="R57" s="313">
        <f t="shared" si="33"/>
        <v>2399.2866899195978</v>
      </c>
      <c r="S57" s="315">
        <f t="shared" si="34"/>
        <v>2419.65404549598</v>
      </c>
      <c r="T57" s="312">
        <f t="shared" si="35"/>
        <v>1022.7523527757617</v>
      </c>
      <c r="U57" s="313">
        <f t="shared" si="36"/>
        <v>1933.7715768504963</v>
      </c>
      <c r="V57" s="313">
        <f t="shared" si="37"/>
        <v>2537.5577491704757</v>
      </c>
      <c r="W57" s="313">
        <f t="shared" si="38"/>
        <v>2322.1436427660446</v>
      </c>
      <c r="X57" s="315">
        <f t="shared" si="39"/>
        <v>2301.7762871896625</v>
      </c>
      <c r="Y57" s="288">
        <f>IF($D$7=0,86,IF(AND(Y$22=TRUE,INDEX(CDRANGE_CLS2,MATCH($A57,$A$24:$A$67,0),MATCH(Y$20,$B$20:$G$20,0))&lt;$D$6/OPDAYS_Cls2),86,payback(C57,T57,disc_rate/12,85)))</f>
        <v>86</v>
      </c>
      <c r="Z57" s="289">
        <f>IF($D$7=0,86,IF(AND(Z$22=TRUE,INDEX(CDRANGE_CLS2,MATCH($A57,$A$24:$A$67,0),MATCH(Z$20,$B$20:$G$20,0))&lt;$D$6/OPDAYS_Cls2),86,payback(D57,U57,disc_rate/12,85)))</f>
        <v>86</v>
      </c>
      <c r="AA57" s="289">
        <f>IF($D$7=0,86,IF(AND(AA$22=TRUE,INDEX(CDRANGE_CLS2,MATCH($A57,$A$24:$A$67,0),MATCH(AA$20,$B$20:$G$20,0))&lt;$D$6/OPDAYS_Cls2),86,payback(E57,V57,disc_rate/12,85)))</f>
        <v>86</v>
      </c>
      <c r="AB57" s="289">
        <f>IF($D$7=0,86,IF(AND(AB$22=TRUE,INDEX(CDRANGE_CLS2,MATCH($A57,$A$24:$A$67,0),MATCH(AB$20,$B$20:$G$20,0))&lt;$D$6/OPDAYS_Cls2),86,payback(F57,W57,disc_rate/12,85)))</f>
        <v>86</v>
      </c>
      <c r="AC57" s="290">
        <f>IF($D$7=0,86,IF(AND(AC$22=TRUE,INDEX(CDRANGE_CLS2,MATCH($A57,$A$24:$A$67,0),MATCH(AC$20,$B$20:$G$20,0))&lt;$D$6/OPDAYS_Cls2),86,payback(G57,X57,disc_rate/12,85)))</f>
        <v>86</v>
      </c>
      <c r="AD57" s="319">
        <f t="shared" si="40"/>
        <v>0</v>
      </c>
      <c r="AE57" s="320">
        <f t="shared" si="41"/>
        <v>0</v>
      </c>
      <c r="AF57" s="320">
        <f t="shared" si="42"/>
        <v>0</v>
      </c>
      <c r="AG57" s="320">
        <f t="shared" si="43"/>
        <v>0</v>
      </c>
      <c r="AH57" s="321">
        <f t="shared" si="44"/>
        <v>0</v>
      </c>
      <c r="AI57" s="322">
        <f t="shared" si="45"/>
        <v>0.49999164928907602</v>
      </c>
      <c r="AJ57" s="323">
        <f t="shared" si="46"/>
        <v>0.49999164928907602</v>
      </c>
      <c r="AK57" s="323">
        <f t="shared" si="47"/>
        <v>0.49818747173928174</v>
      </c>
      <c r="AL57" s="323">
        <f t="shared" si="48"/>
        <v>3.5252984282827707E-2</v>
      </c>
      <c r="AM57" s="324">
        <f t="shared" si="49"/>
        <v>0.49999164928907602</v>
      </c>
      <c r="AN57" s="322">
        <f t="shared" si="61"/>
        <v>0.99940666026792058</v>
      </c>
      <c r="AO57" s="323">
        <f t="shared" si="72"/>
        <v>0.99662769615970237</v>
      </c>
      <c r="AP57" s="323">
        <f t="shared" si="73"/>
        <v>0.63923140546029455</v>
      </c>
      <c r="AQ57" s="323">
        <f t="shared" si="74"/>
        <v>0.69112861901083444</v>
      </c>
      <c r="AR57" s="324">
        <f t="shared" si="75"/>
        <v>0.72042600882514896</v>
      </c>
      <c r="AS57" s="328">
        <f t="shared" si="51"/>
        <v>0</v>
      </c>
      <c r="AT57" s="329">
        <f t="shared" si="52"/>
        <v>0</v>
      </c>
      <c r="AU57" s="329">
        <f t="shared" si="53"/>
        <v>0</v>
      </c>
      <c r="AV57" s="329">
        <f t="shared" si="54"/>
        <v>0</v>
      </c>
      <c r="AW57" s="330">
        <f t="shared" si="55"/>
        <v>0</v>
      </c>
      <c r="AX57" s="319">
        <f t="shared" si="56"/>
        <v>0</v>
      </c>
      <c r="AY57" s="320">
        <f t="shared" si="57"/>
        <v>0</v>
      </c>
      <c r="AZ57" s="320">
        <f t="shared" si="58"/>
        <v>0</v>
      </c>
      <c r="BA57" s="320">
        <f t="shared" si="62"/>
        <v>0</v>
      </c>
      <c r="BB57" s="321">
        <f t="shared" si="63"/>
        <v>0</v>
      </c>
      <c r="BC57" s="319">
        <f t="shared" si="64"/>
        <v>1</v>
      </c>
      <c r="BD57" s="320">
        <f t="shared" si="65"/>
        <v>0</v>
      </c>
      <c r="BE57" s="320">
        <f t="shared" si="66"/>
        <v>0</v>
      </c>
      <c r="BF57" s="320">
        <f t="shared" si="67"/>
        <v>0</v>
      </c>
      <c r="BG57" s="320">
        <f t="shared" si="68"/>
        <v>0</v>
      </c>
      <c r="BH57" s="321">
        <f t="shared" si="69"/>
        <v>0</v>
      </c>
    </row>
    <row r="58" spans="1:60" x14ac:dyDescent="0.2">
      <c r="A58" s="325">
        <v>2041</v>
      </c>
      <c r="B58" s="797">
        <f t="shared" si="78"/>
        <v>74641.649999999994</v>
      </c>
      <c r="C58" s="798">
        <f t="shared" si="78"/>
        <v>1161.2</v>
      </c>
      <c r="D58" s="798">
        <f t="shared" si="78"/>
        <v>2333.6999999999998</v>
      </c>
      <c r="E58" s="798">
        <f t="shared" si="78"/>
        <v>25972.2</v>
      </c>
      <c r="F58" s="798">
        <f t="shared" si="78"/>
        <v>24905.7</v>
      </c>
      <c r="G58" s="799">
        <f t="shared" si="78"/>
        <v>23503.200000000001</v>
      </c>
      <c r="H58" s="949">
        <f t="shared" si="79"/>
        <v>1</v>
      </c>
      <c r="I58" s="950">
        <f t="shared" si="79"/>
        <v>1</v>
      </c>
      <c r="J58" s="950">
        <f t="shared" si="79"/>
        <v>1</v>
      </c>
      <c r="K58" s="950">
        <f t="shared" si="79"/>
        <v>0.76440043635570354</v>
      </c>
      <c r="L58" s="950">
        <f t="shared" si="79"/>
        <v>1</v>
      </c>
      <c r="M58" s="951">
        <f t="shared" si="79"/>
        <v>0.86507021034308251</v>
      </c>
      <c r="N58" s="284">
        <f t="shared" si="29"/>
        <v>4751.6182843648112</v>
      </c>
      <c r="O58" s="285">
        <f t="shared" si="30"/>
        <v>3629.3926106811941</v>
      </c>
      <c r="P58" s="285">
        <f t="shared" si="31"/>
        <v>2735.3556482111212</v>
      </c>
      <c r="Q58" s="285">
        <f t="shared" si="32"/>
        <v>2035.9814972365502</v>
      </c>
      <c r="R58" s="285">
        <f t="shared" si="33"/>
        <v>2292.0040729019647</v>
      </c>
      <c r="S58" s="287">
        <f t="shared" si="34"/>
        <v>2362.1152611305215</v>
      </c>
      <c r="T58" s="284">
        <f t="shared" si="35"/>
        <v>1122.2256736836171</v>
      </c>
      <c r="U58" s="285">
        <f t="shared" si="36"/>
        <v>2016.26263615369</v>
      </c>
      <c r="V58" s="285">
        <f t="shared" si="37"/>
        <v>2715.6367871282609</v>
      </c>
      <c r="W58" s="285">
        <f t="shared" si="38"/>
        <v>2459.6142114628465</v>
      </c>
      <c r="X58" s="287">
        <f t="shared" si="39"/>
        <v>2389.5030232342897</v>
      </c>
      <c r="Y58" s="288">
        <f>IF($D$7=0,86,IF(AND(Y$22=TRUE,INDEX(CDRANGE_CLS2,MATCH($A58,$A$24:$A$67,0),MATCH(Y$20,$B$20:$G$20,0))&lt;$D$6/OPDAYS_Cls2),86,payback(C58,T58,disc_rate/12,85)))</f>
        <v>86</v>
      </c>
      <c r="Z58" s="289">
        <f>IF($D$7=0,86,IF(AND(Z$22=TRUE,INDEX(CDRANGE_CLS2,MATCH($A58,$A$24:$A$67,0),MATCH(Z$20,$B$20:$G$20,0))&lt;$D$6/OPDAYS_Cls2),86,payback(D58,U58,disc_rate/12,85)))</f>
        <v>86</v>
      </c>
      <c r="AA58" s="289">
        <f>IF($D$7=0,86,IF(AND(AA$22=TRUE,INDEX(CDRANGE_CLS2,MATCH($A58,$A$24:$A$67,0),MATCH(AA$20,$B$20:$G$20,0))&lt;$D$6/OPDAYS_Cls2),86,payback(E58,V58,disc_rate/12,85)))</f>
        <v>86</v>
      </c>
      <c r="AB58" s="289">
        <f>IF($D$7=0,86,IF(AND(AB$22=TRUE,INDEX(CDRANGE_CLS2,MATCH($A58,$A$24:$A$67,0),MATCH(AB$20,$B$20:$G$20,0))&lt;$D$6/OPDAYS_Cls2),86,payback(F58,W58,disc_rate/12,85)))</f>
        <v>86</v>
      </c>
      <c r="AC58" s="290">
        <f>IF($D$7=0,86,IF(AND(AC$22=TRUE,INDEX(CDRANGE_CLS2,MATCH($A58,$A$24:$A$67,0),MATCH(AC$20,$B$20:$G$20,0))&lt;$D$6/OPDAYS_Cls2),86,payback(G58,X58,disc_rate/12,85)))</f>
        <v>86</v>
      </c>
      <c r="AD58" s="291">
        <f t="shared" si="40"/>
        <v>0</v>
      </c>
      <c r="AE58" s="292">
        <f t="shared" si="41"/>
        <v>0</v>
      </c>
      <c r="AF58" s="292">
        <f t="shared" si="42"/>
        <v>0</v>
      </c>
      <c r="AG58" s="292">
        <f t="shared" si="43"/>
        <v>0</v>
      </c>
      <c r="AH58" s="293">
        <f t="shared" si="44"/>
        <v>0</v>
      </c>
      <c r="AI58" s="294">
        <f t="shared" si="45"/>
        <v>0.4999969279126989</v>
      </c>
      <c r="AJ58" s="295">
        <f t="shared" si="46"/>
        <v>0.4999969279126989</v>
      </c>
      <c r="AK58" s="295">
        <f t="shared" si="47"/>
        <v>0.49928444407125472</v>
      </c>
      <c r="AL58" s="295">
        <f t="shared" si="48"/>
        <v>4.6831612213474025E-2</v>
      </c>
      <c r="AM58" s="296">
        <f t="shared" si="49"/>
        <v>0.4999969279126989</v>
      </c>
      <c r="AN58" s="294">
        <f t="shared" si="61"/>
        <v>0.99932794763156341</v>
      </c>
      <c r="AO58" s="295">
        <f t="shared" si="72"/>
        <v>0.99728833776422798</v>
      </c>
      <c r="AP58" s="295">
        <f t="shared" si="73"/>
        <v>0.71439456284871872</v>
      </c>
      <c r="AQ58" s="295">
        <f t="shared" si="74"/>
        <v>0.7339853133337122</v>
      </c>
      <c r="AR58" s="296">
        <f t="shared" si="75"/>
        <v>0.75925627302205756</v>
      </c>
      <c r="AS58" s="291">
        <f t="shared" si="51"/>
        <v>0</v>
      </c>
      <c r="AT58" s="292">
        <f t="shared" si="52"/>
        <v>0</v>
      </c>
      <c r="AU58" s="292">
        <f t="shared" si="53"/>
        <v>0</v>
      </c>
      <c r="AV58" s="292">
        <f t="shared" si="54"/>
        <v>0</v>
      </c>
      <c r="AW58" s="293">
        <f t="shared" si="55"/>
        <v>0</v>
      </c>
      <c r="AX58" s="291">
        <f t="shared" si="56"/>
        <v>0</v>
      </c>
      <c r="AY58" s="292">
        <f t="shared" si="57"/>
        <v>0</v>
      </c>
      <c r="AZ58" s="292">
        <f t="shared" si="58"/>
        <v>0</v>
      </c>
      <c r="BA58" s="292">
        <f t="shared" si="62"/>
        <v>0</v>
      </c>
      <c r="BB58" s="293">
        <f t="shared" si="63"/>
        <v>0</v>
      </c>
      <c r="BC58" s="291">
        <f t="shared" si="64"/>
        <v>1</v>
      </c>
      <c r="BD58" s="292">
        <f t="shared" si="65"/>
        <v>0</v>
      </c>
      <c r="BE58" s="292">
        <f t="shared" si="66"/>
        <v>0</v>
      </c>
      <c r="BF58" s="292">
        <f t="shared" si="67"/>
        <v>0</v>
      </c>
      <c r="BG58" s="292">
        <f t="shared" si="68"/>
        <v>0</v>
      </c>
      <c r="BH58" s="293">
        <f t="shared" si="69"/>
        <v>0</v>
      </c>
    </row>
    <row r="59" spans="1:60" x14ac:dyDescent="0.2">
      <c r="A59" s="326">
        <v>2042</v>
      </c>
      <c r="B59" s="800">
        <f t="shared" si="78"/>
        <v>74641.649999999994</v>
      </c>
      <c r="C59" s="801">
        <f t="shared" si="78"/>
        <v>1231.3499999999999</v>
      </c>
      <c r="D59" s="801">
        <f t="shared" si="78"/>
        <v>2064.48</v>
      </c>
      <c r="E59" s="801">
        <f t="shared" si="78"/>
        <v>21985.66</v>
      </c>
      <c r="F59" s="801">
        <f t="shared" si="78"/>
        <v>22590.78</v>
      </c>
      <c r="G59" s="802">
        <f t="shared" si="78"/>
        <v>21360.89</v>
      </c>
      <c r="H59" s="952">
        <f t="shared" si="79"/>
        <v>1</v>
      </c>
      <c r="I59" s="953">
        <f t="shared" si="79"/>
        <v>1</v>
      </c>
      <c r="J59" s="953">
        <f t="shared" si="79"/>
        <v>1</v>
      </c>
      <c r="K59" s="953">
        <f t="shared" si="79"/>
        <v>0.76369527384856328</v>
      </c>
      <c r="L59" s="953">
        <f t="shared" si="79"/>
        <v>1</v>
      </c>
      <c r="M59" s="954">
        <f t="shared" si="79"/>
        <v>0.86166918166703255</v>
      </c>
      <c r="N59" s="298">
        <f t="shared" si="29"/>
        <v>4821.1302627055948</v>
      </c>
      <c r="O59" s="299">
        <f t="shared" si="30"/>
        <v>3592.7875445274126</v>
      </c>
      <c r="P59" s="299">
        <f t="shared" si="31"/>
        <v>2707.6890846459833</v>
      </c>
      <c r="Q59" s="299">
        <f t="shared" si="32"/>
        <v>1852.7326117562468</v>
      </c>
      <c r="R59" s="299">
        <f t="shared" si="33"/>
        <v>2189.3707944791204</v>
      </c>
      <c r="S59" s="301">
        <f t="shared" si="34"/>
        <v>2314.5839882882401</v>
      </c>
      <c r="T59" s="298">
        <f t="shared" si="35"/>
        <v>1228.3427181781822</v>
      </c>
      <c r="U59" s="299">
        <f t="shared" si="36"/>
        <v>2113.4411780596115</v>
      </c>
      <c r="V59" s="299">
        <f t="shared" si="37"/>
        <v>2968.3976509493477</v>
      </c>
      <c r="W59" s="299">
        <f t="shared" si="38"/>
        <v>2631.7594682264744</v>
      </c>
      <c r="X59" s="301">
        <f t="shared" si="39"/>
        <v>2506.5462744173547</v>
      </c>
      <c r="Y59" s="288">
        <f>IF($D$7=0,86,IF(AND(Y$22=TRUE,INDEX(CDRANGE_CLS2,MATCH($A59,$A$24:$A$67,0),MATCH(Y$20,$B$20:$G$20,0))&lt;$D$6/OPDAYS_Cls2),86,payback(C59,T59,disc_rate/12,85)))</f>
        <v>86</v>
      </c>
      <c r="Z59" s="289">
        <f>IF($D$7=0,86,IF(AND(Z$22=TRUE,INDEX(CDRANGE_CLS2,MATCH($A59,$A$24:$A$67,0),MATCH(Z$20,$B$20:$G$20,0))&lt;$D$6/OPDAYS_Cls2),86,payback(D59,U59,disc_rate/12,85)))</f>
        <v>86</v>
      </c>
      <c r="AA59" s="289">
        <f>IF($D$7=0,86,IF(AND(AA$22=TRUE,INDEX(CDRANGE_CLS2,MATCH($A59,$A$24:$A$67,0),MATCH(AA$20,$B$20:$G$20,0))&lt;$D$6/OPDAYS_Cls2),86,payback(E59,V59,disc_rate/12,85)))</f>
        <v>86</v>
      </c>
      <c r="AB59" s="289">
        <f>IF($D$7=0,86,IF(AND(AB$22=TRUE,INDEX(CDRANGE_CLS2,MATCH($A59,$A$24:$A$67,0),MATCH(AB$20,$B$20:$G$20,0))&lt;$D$6/OPDAYS_Cls2),86,payback(F59,W59,disc_rate/12,85)))</f>
        <v>86</v>
      </c>
      <c r="AC59" s="290">
        <f>IF($D$7=0,86,IF(AND(AC$22=TRUE,INDEX(CDRANGE_CLS2,MATCH($A59,$A$24:$A$67,0),MATCH(AC$20,$B$20:$G$20,0))&lt;$D$6/OPDAYS_Cls2),86,payback(G59,X59,disc_rate/12,85)))</f>
        <v>86</v>
      </c>
      <c r="AD59" s="305">
        <f t="shared" si="40"/>
        <v>0</v>
      </c>
      <c r="AE59" s="306">
        <f t="shared" si="41"/>
        <v>0</v>
      </c>
      <c r="AF59" s="306">
        <f t="shared" si="42"/>
        <v>0</v>
      </c>
      <c r="AG59" s="306">
        <f t="shared" si="43"/>
        <v>0</v>
      </c>
      <c r="AH59" s="307">
        <f t="shared" si="44"/>
        <v>0</v>
      </c>
      <c r="AI59" s="308">
        <f t="shared" si="45"/>
        <v>0.49999886983785102</v>
      </c>
      <c r="AJ59" s="309">
        <f t="shared" si="46"/>
        <v>0.49999886983785102</v>
      </c>
      <c r="AK59" s="309">
        <f t="shared" si="47"/>
        <v>0.49982532788782108</v>
      </c>
      <c r="AL59" s="309">
        <f t="shared" si="48"/>
        <v>6.0776492950140142E-2</v>
      </c>
      <c r="AM59" s="310">
        <f t="shared" si="49"/>
        <v>0.49999886983785102</v>
      </c>
      <c r="AN59" s="308">
        <f t="shared" si="61"/>
        <v>0.99924432697038668</v>
      </c>
      <c r="AO59" s="309">
        <f t="shared" si="72"/>
        <v>0.99787726860453019</v>
      </c>
      <c r="AP59" s="309">
        <f t="shared" si="73"/>
        <v>0.78584293060108867</v>
      </c>
      <c r="AQ59" s="309">
        <f t="shared" si="74"/>
        <v>0.77534507511088258</v>
      </c>
      <c r="AR59" s="310">
        <f t="shared" si="75"/>
        <v>0.79652562468704291</v>
      </c>
      <c r="AS59" s="291">
        <f t="shared" si="51"/>
        <v>0</v>
      </c>
      <c r="AT59" s="292">
        <f t="shared" si="52"/>
        <v>0</v>
      </c>
      <c r="AU59" s="292">
        <f t="shared" si="53"/>
        <v>0</v>
      </c>
      <c r="AV59" s="292">
        <f t="shared" si="54"/>
        <v>0</v>
      </c>
      <c r="AW59" s="293">
        <f t="shared" si="55"/>
        <v>0</v>
      </c>
      <c r="AX59" s="305">
        <f t="shared" si="56"/>
        <v>0</v>
      </c>
      <c r="AY59" s="306">
        <f t="shared" si="57"/>
        <v>0</v>
      </c>
      <c r="AZ59" s="306">
        <f t="shared" si="58"/>
        <v>0</v>
      </c>
      <c r="BA59" s="292">
        <f t="shared" si="62"/>
        <v>0</v>
      </c>
      <c r="BB59" s="293">
        <f t="shared" si="63"/>
        <v>0</v>
      </c>
      <c r="BC59" s="291">
        <f t="shared" si="64"/>
        <v>1</v>
      </c>
      <c r="BD59" s="292">
        <f t="shared" si="65"/>
        <v>0</v>
      </c>
      <c r="BE59" s="292">
        <f t="shared" si="66"/>
        <v>0</v>
      </c>
      <c r="BF59" s="292">
        <f t="shared" si="67"/>
        <v>0</v>
      </c>
      <c r="BG59" s="292">
        <f t="shared" si="68"/>
        <v>0</v>
      </c>
      <c r="BH59" s="293">
        <f t="shared" si="69"/>
        <v>0</v>
      </c>
    </row>
    <row r="60" spans="1:60" x14ac:dyDescent="0.2">
      <c r="A60" s="326">
        <v>2043</v>
      </c>
      <c r="B60" s="800">
        <f t="shared" si="78"/>
        <v>74641.649999999994</v>
      </c>
      <c r="C60" s="801">
        <f t="shared" si="78"/>
        <v>1295.82</v>
      </c>
      <c r="D60" s="801">
        <f t="shared" si="78"/>
        <v>1817.04</v>
      </c>
      <c r="E60" s="801">
        <f t="shared" si="78"/>
        <v>18321.8</v>
      </c>
      <c r="F60" s="801">
        <f t="shared" si="78"/>
        <v>20463.22</v>
      </c>
      <c r="G60" s="802">
        <f t="shared" si="78"/>
        <v>19391.98</v>
      </c>
      <c r="H60" s="952">
        <f t="shared" si="79"/>
        <v>1</v>
      </c>
      <c r="I60" s="953">
        <f t="shared" si="79"/>
        <v>1</v>
      </c>
      <c r="J60" s="953">
        <f t="shared" si="79"/>
        <v>1</v>
      </c>
      <c r="K60" s="953">
        <f t="shared" si="79"/>
        <v>0.76304718747449107</v>
      </c>
      <c r="L60" s="953">
        <f t="shared" si="79"/>
        <v>1</v>
      </c>
      <c r="M60" s="954">
        <f t="shared" si="79"/>
        <v>0.85854343360122087</v>
      </c>
      <c r="N60" s="298">
        <f t="shared" si="29"/>
        <v>4850.3702966411529</v>
      </c>
      <c r="O60" s="299">
        <f t="shared" si="30"/>
        <v>3535.4303343340662</v>
      </c>
      <c r="P60" s="299">
        <f t="shared" si="31"/>
        <v>2664.3943124859902</v>
      </c>
      <c r="Q60" s="299">
        <f t="shared" si="32"/>
        <v>1641.2840091985729</v>
      </c>
      <c r="R60" s="299">
        <f t="shared" si="33"/>
        <v>2094.6869185091241</v>
      </c>
      <c r="S60" s="301">
        <f t="shared" si="34"/>
        <v>2248.1603624897125</v>
      </c>
      <c r="T60" s="298">
        <f t="shared" si="35"/>
        <v>1314.9399623070867</v>
      </c>
      <c r="U60" s="299">
        <f t="shared" si="36"/>
        <v>2185.9759841551627</v>
      </c>
      <c r="V60" s="299">
        <f t="shared" si="37"/>
        <v>3209.0862874425802</v>
      </c>
      <c r="W60" s="299">
        <f t="shared" si="38"/>
        <v>2755.6833781320288</v>
      </c>
      <c r="X60" s="301">
        <f t="shared" si="39"/>
        <v>2602.2099341514404</v>
      </c>
      <c r="Y60" s="288">
        <f>IF($D$7=0,86,IF(AND(Y$22=TRUE,INDEX(CDRANGE_CLS2,MATCH($A60,$A$24:$A$67,0),MATCH(Y$20,$B$20:$G$20,0))&lt;$D$6/OPDAYS_Cls2),86,payback(C60,T60,disc_rate/12,85)))</f>
        <v>86</v>
      </c>
      <c r="Z60" s="289">
        <f>IF($D$7=0,86,IF(AND(Z$22=TRUE,INDEX(CDRANGE_CLS2,MATCH($A60,$A$24:$A$67,0),MATCH(Z$20,$B$20:$G$20,0))&lt;$D$6/OPDAYS_Cls2),86,payback(D60,U60,disc_rate/12,85)))</f>
        <v>86</v>
      </c>
      <c r="AA60" s="289">
        <f>IF($D$7=0,86,IF(AND(AA$22=TRUE,INDEX(CDRANGE_CLS2,MATCH($A60,$A$24:$A$67,0),MATCH(AA$20,$B$20:$G$20,0))&lt;$D$6/OPDAYS_Cls2),86,payback(E60,V60,disc_rate/12,85)))</f>
        <v>86</v>
      </c>
      <c r="AB60" s="289">
        <f>IF($D$7=0,86,IF(AND(AB$22=TRUE,INDEX(CDRANGE_CLS2,MATCH($A60,$A$24:$A$67,0),MATCH(AB$20,$B$20:$G$20,0))&lt;$D$6/OPDAYS_Cls2),86,payback(F60,W60,disc_rate/12,85)))</f>
        <v>86</v>
      </c>
      <c r="AC60" s="290">
        <f>IF($D$7=0,86,IF(AND(AC$22=TRUE,INDEX(CDRANGE_CLS2,MATCH($A60,$A$24:$A$67,0),MATCH(AC$20,$B$20:$G$20,0))&lt;$D$6/OPDAYS_Cls2),86,payback(G60,X60,disc_rate/12,85)))</f>
        <v>86</v>
      </c>
      <c r="AD60" s="305">
        <f t="shared" si="40"/>
        <v>0</v>
      </c>
      <c r="AE60" s="306">
        <f t="shared" si="41"/>
        <v>0</v>
      </c>
      <c r="AF60" s="306">
        <f t="shared" si="42"/>
        <v>0</v>
      </c>
      <c r="AG60" s="306">
        <f t="shared" si="43"/>
        <v>0</v>
      </c>
      <c r="AH60" s="307">
        <f t="shared" si="44"/>
        <v>0</v>
      </c>
      <c r="AI60" s="308">
        <f t="shared" si="45"/>
        <v>0.49999958423598612</v>
      </c>
      <c r="AJ60" s="309">
        <f t="shared" si="46"/>
        <v>0.49999958423598612</v>
      </c>
      <c r="AK60" s="309">
        <f t="shared" si="47"/>
        <v>0.49994733627918081</v>
      </c>
      <c r="AL60" s="309">
        <f t="shared" si="48"/>
        <v>7.7226704760962744E-2</v>
      </c>
      <c r="AM60" s="310">
        <f t="shared" si="49"/>
        <v>0.49999958423598612</v>
      </c>
      <c r="AN60" s="308">
        <f t="shared" si="61"/>
        <v>0.99916315964851221</v>
      </c>
      <c r="AO60" s="309">
        <f t="shared" si="72"/>
        <v>0.99835522457227754</v>
      </c>
      <c r="AP60" s="309">
        <f t="shared" si="73"/>
        <v>0.84588863013775506</v>
      </c>
      <c r="AQ60" s="309">
        <f t="shared" si="74"/>
        <v>0.81157606787731695</v>
      </c>
      <c r="AR60" s="310">
        <f t="shared" si="75"/>
        <v>0.82903696581188024</v>
      </c>
      <c r="AS60" s="291">
        <f t="shared" si="51"/>
        <v>0</v>
      </c>
      <c r="AT60" s="292">
        <f t="shared" si="52"/>
        <v>0</v>
      </c>
      <c r="AU60" s="292">
        <f t="shared" si="53"/>
        <v>0</v>
      </c>
      <c r="AV60" s="292">
        <f t="shared" si="54"/>
        <v>0</v>
      </c>
      <c r="AW60" s="293">
        <f t="shared" si="55"/>
        <v>0</v>
      </c>
      <c r="AX60" s="305">
        <f t="shared" si="56"/>
        <v>0</v>
      </c>
      <c r="AY60" s="306">
        <f t="shared" si="57"/>
        <v>0</v>
      </c>
      <c r="AZ60" s="306">
        <f t="shared" si="58"/>
        <v>0</v>
      </c>
      <c r="BA60" s="292">
        <f t="shared" si="62"/>
        <v>0</v>
      </c>
      <c r="BB60" s="293">
        <f t="shared" si="63"/>
        <v>0</v>
      </c>
      <c r="BC60" s="291">
        <f t="shared" si="64"/>
        <v>1</v>
      </c>
      <c r="BD60" s="292">
        <f t="shared" si="65"/>
        <v>0</v>
      </c>
      <c r="BE60" s="292">
        <f t="shared" si="66"/>
        <v>0</v>
      </c>
      <c r="BF60" s="292">
        <f t="shared" si="67"/>
        <v>0</v>
      </c>
      <c r="BG60" s="292">
        <f t="shared" si="68"/>
        <v>0</v>
      </c>
      <c r="BH60" s="293">
        <f t="shared" si="69"/>
        <v>0</v>
      </c>
    </row>
    <row r="61" spans="1:60" x14ac:dyDescent="0.2">
      <c r="A61" s="326">
        <v>2044</v>
      </c>
      <c r="B61" s="800">
        <f t="shared" si="78"/>
        <v>74641.649999999994</v>
      </c>
      <c r="C61" s="801">
        <f t="shared" si="78"/>
        <v>1350.63</v>
      </c>
      <c r="D61" s="801">
        <f t="shared" si="78"/>
        <v>1606.66</v>
      </c>
      <c r="E61" s="801">
        <f t="shared" si="78"/>
        <v>15206.63</v>
      </c>
      <c r="F61" s="801">
        <f t="shared" si="78"/>
        <v>18654.29</v>
      </c>
      <c r="G61" s="802">
        <f t="shared" si="78"/>
        <v>17717.93</v>
      </c>
      <c r="H61" s="952">
        <f t="shared" si="79"/>
        <v>1</v>
      </c>
      <c r="I61" s="953">
        <f t="shared" si="79"/>
        <v>1</v>
      </c>
      <c r="J61" s="953">
        <f t="shared" si="79"/>
        <v>1</v>
      </c>
      <c r="K61" s="953">
        <f t="shared" si="79"/>
        <v>0.76249615801192916</v>
      </c>
      <c r="L61" s="953">
        <f t="shared" si="79"/>
        <v>1</v>
      </c>
      <c r="M61" s="954">
        <f t="shared" si="79"/>
        <v>0.85588579513555474</v>
      </c>
      <c r="N61" s="298">
        <f t="shared" si="29"/>
        <v>4888.307444222819</v>
      </c>
      <c r="O61" s="299">
        <f t="shared" si="30"/>
        <v>3497.9594958178682</v>
      </c>
      <c r="P61" s="299">
        <f t="shared" si="31"/>
        <v>2636.1005649101999</v>
      </c>
      <c r="Q61" s="299">
        <f t="shared" si="32"/>
        <v>1436.0664408861139</v>
      </c>
      <c r="R61" s="299">
        <f t="shared" si="33"/>
        <v>2009.3931150505105</v>
      </c>
      <c r="S61" s="301">
        <f t="shared" si="34"/>
        <v>2191.5093369865785</v>
      </c>
      <c r="T61" s="298">
        <f t="shared" si="35"/>
        <v>1390.3479484049508</v>
      </c>
      <c r="U61" s="299">
        <f t="shared" si="36"/>
        <v>2252.2068793126191</v>
      </c>
      <c r="V61" s="299">
        <f t="shared" si="37"/>
        <v>3452.241003336705</v>
      </c>
      <c r="W61" s="299">
        <f t="shared" si="38"/>
        <v>2878.9143291723085</v>
      </c>
      <c r="X61" s="301">
        <f t="shared" si="39"/>
        <v>2696.7981072362404</v>
      </c>
      <c r="Y61" s="288">
        <f>IF($D$7=0,86,IF(AND(Y$22=TRUE,INDEX(CDRANGE_CLS2,MATCH($A61,$A$24:$A$67,0),MATCH(Y$20,$B$20:$G$20,0))&lt;$D$6/OPDAYS_Cls2),86,payback(C61,T61,disc_rate/12,85)))</f>
        <v>86</v>
      </c>
      <c r="Z61" s="289">
        <f>IF($D$7=0,86,IF(AND(Z$22=TRUE,INDEX(CDRANGE_CLS2,MATCH($A61,$A$24:$A$67,0),MATCH(Z$20,$B$20:$G$20,0))&lt;$D$6/OPDAYS_Cls2),86,payback(D61,U61,disc_rate/12,85)))</f>
        <v>86</v>
      </c>
      <c r="AA61" s="289">
        <f>IF($D$7=0,86,IF(AND(AA$22=TRUE,INDEX(CDRANGE_CLS2,MATCH($A61,$A$24:$A$67,0),MATCH(AA$20,$B$20:$G$20,0))&lt;$D$6/OPDAYS_Cls2),86,payback(E61,V61,disc_rate/12,85)))</f>
        <v>86</v>
      </c>
      <c r="AB61" s="289">
        <f>IF($D$7=0,86,IF(AND(AB$22=TRUE,INDEX(CDRANGE_CLS2,MATCH($A61,$A$24:$A$67,0),MATCH(AB$20,$B$20:$G$20,0))&lt;$D$6/OPDAYS_Cls2),86,payback(F61,W61,disc_rate/12,85)))</f>
        <v>86</v>
      </c>
      <c r="AC61" s="290">
        <f>IF($D$7=0,86,IF(AND(AC$22=TRUE,INDEX(CDRANGE_CLS2,MATCH($A61,$A$24:$A$67,0),MATCH(AC$20,$B$20:$G$20,0))&lt;$D$6/OPDAYS_Cls2),86,payback(G61,X61,disc_rate/12,85)))</f>
        <v>86</v>
      </c>
      <c r="AD61" s="305">
        <f t="shared" si="40"/>
        <v>0</v>
      </c>
      <c r="AE61" s="306">
        <f t="shared" si="41"/>
        <v>0</v>
      </c>
      <c r="AF61" s="306">
        <f t="shared" si="42"/>
        <v>0</v>
      </c>
      <c r="AG61" s="306">
        <f t="shared" si="43"/>
        <v>0</v>
      </c>
      <c r="AH61" s="307">
        <f t="shared" si="44"/>
        <v>0</v>
      </c>
      <c r="AI61" s="308">
        <f t="shared" si="45"/>
        <v>0.4999998470488865</v>
      </c>
      <c r="AJ61" s="309">
        <f t="shared" si="46"/>
        <v>0.4999998470488865</v>
      </c>
      <c r="AK61" s="309">
        <f t="shared" si="47"/>
        <v>0.49998604574501004</v>
      </c>
      <c r="AL61" s="309">
        <f t="shared" si="48"/>
        <v>9.6250590762544566E-2</v>
      </c>
      <c r="AM61" s="310">
        <f t="shared" si="49"/>
        <v>0.4999998470488865</v>
      </c>
      <c r="AN61" s="308">
        <f t="shared" si="61"/>
        <v>0.99909090276257539</v>
      </c>
      <c r="AO61" s="309">
        <f t="shared" si="72"/>
        <v>0.99871381465047715</v>
      </c>
      <c r="AP61" s="309">
        <f t="shared" si="73"/>
        <v>0.8911054720080398</v>
      </c>
      <c r="AQ61" s="309">
        <f t="shared" si="74"/>
        <v>0.84071950026164011</v>
      </c>
      <c r="AR61" s="310">
        <f t="shared" si="75"/>
        <v>0.85511713934905142</v>
      </c>
      <c r="AS61" s="291">
        <f t="shared" si="51"/>
        <v>0</v>
      </c>
      <c r="AT61" s="292">
        <f t="shared" si="52"/>
        <v>0</v>
      </c>
      <c r="AU61" s="292">
        <f t="shared" si="53"/>
        <v>0</v>
      </c>
      <c r="AV61" s="292">
        <f t="shared" si="54"/>
        <v>0</v>
      </c>
      <c r="AW61" s="293">
        <f t="shared" si="55"/>
        <v>0</v>
      </c>
      <c r="AX61" s="305">
        <f t="shared" si="56"/>
        <v>0</v>
      </c>
      <c r="AY61" s="306">
        <f t="shared" si="57"/>
        <v>0</v>
      </c>
      <c r="AZ61" s="306">
        <f t="shared" si="58"/>
        <v>0</v>
      </c>
      <c r="BA61" s="292">
        <f t="shared" si="62"/>
        <v>0</v>
      </c>
      <c r="BB61" s="293">
        <f t="shared" si="63"/>
        <v>0</v>
      </c>
      <c r="BC61" s="291">
        <f t="shared" si="64"/>
        <v>1</v>
      </c>
      <c r="BD61" s="292">
        <f t="shared" si="65"/>
        <v>0</v>
      </c>
      <c r="BE61" s="292">
        <f t="shared" si="66"/>
        <v>0</v>
      </c>
      <c r="BF61" s="292">
        <f t="shared" si="67"/>
        <v>0</v>
      </c>
      <c r="BG61" s="292">
        <f t="shared" si="68"/>
        <v>0</v>
      </c>
      <c r="BH61" s="293">
        <f t="shared" si="69"/>
        <v>0</v>
      </c>
    </row>
    <row r="62" spans="1:60" ht="13.5" thickBot="1" x14ac:dyDescent="0.25">
      <c r="A62" s="311">
        <v>2045</v>
      </c>
      <c r="B62" s="803">
        <f t="shared" si="78"/>
        <v>74641.649999999994</v>
      </c>
      <c r="C62" s="804">
        <f t="shared" si="78"/>
        <v>1394.24</v>
      </c>
      <c r="D62" s="804">
        <f t="shared" si="78"/>
        <v>1439.3</v>
      </c>
      <c r="E62" s="804">
        <f t="shared" si="78"/>
        <v>12728.52</v>
      </c>
      <c r="F62" s="804">
        <f t="shared" si="78"/>
        <v>17215.29</v>
      </c>
      <c r="G62" s="805">
        <f t="shared" si="78"/>
        <v>16386.23</v>
      </c>
      <c r="H62" s="946">
        <f t="shared" si="79"/>
        <v>1</v>
      </c>
      <c r="I62" s="947">
        <f t="shared" si="79"/>
        <v>1</v>
      </c>
      <c r="J62" s="947">
        <f t="shared" si="79"/>
        <v>1</v>
      </c>
      <c r="K62" s="947">
        <f t="shared" si="79"/>
        <v>0.76205781644520021</v>
      </c>
      <c r="L62" s="947">
        <f t="shared" si="79"/>
        <v>1</v>
      </c>
      <c r="M62" s="948">
        <f t="shared" si="79"/>
        <v>0.85377165517029241</v>
      </c>
      <c r="N62" s="312">
        <f t="shared" si="29"/>
        <v>4955.439409285952</v>
      </c>
      <c r="O62" s="313">
        <f t="shared" si="30"/>
        <v>3495.1796289759859</v>
      </c>
      <c r="P62" s="313">
        <f t="shared" si="31"/>
        <v>2633.963534760765</v>
      </c>
      <c r="Q62" s="313">
        <f t="shared" si="32"/>
        <v>1260.6765377822228</v>
      </c>
      <c r="R62" s="313">
        <f t="shared" si="33"/>
        <v>1933.1928596546143</v>
      </c>
      <c r="S62" s="315">
        <f t="shared" si="34"/>
        <v>2157.7458085882604</v>
      </c>
      <c r="T62" s="312">
        <f t="shared" si="35"/>
        <v>1460.2597803099661</v>
      </c>
      <c r="U62" s="313">
        <f t="shared" si="36"/>
        <v>2321.475874525187</v>
      </c>
      <c r="V62" s="313">
        <f t="shared" si="37"/>
        <v>3694.762871503729</v>
      </c>
      <c r="W62" s="313">
        <f t="shared" si="38"/>
        <v>3022.246549631338</v>
      </c>
      <c r="X62" s="315">
        <f t="shared" si="39"/>
        <v>2797.6936006976916</v>
      </c>
      <c r="Y62" s="288">
        <f>IF($D$7=0,86,IF(AND(Y$22=TRUE,INDEX(CDRANGE_CLS2,MATCH($A62,$A$24:$A$67,0),MATCH(Y$20,$B$20:$G$20,0))&lt;$D$6/OPDAYS_Cls2),86,payback(C62,T62,disc_rate/12,85)))</f>
        <v>86</v>
      </c>
      <c r="Z62" s="289">
        <f>IF($D$7=0,86,IF(AND(Z$22=TRUE,INDEX(CDRANGE_CLS2,MATCH($A62,$A$24:$A$67,0),MATCH(Z$20,$B$20:$G$20,0))&lt;$D$6/OPDAYS_Cls2),86,payback(D62,U62,disc_rate/12,85)))</f>
        <v>86</v>
      </c>
      <c r="AA62" s="289">
        <f>IF($D$7=0,86,IF(AND(AA$22=TRUE,INDEX(CDRANGE_CLS2,MATCH($A62,$A$24:$A$67,0),MATCH(AA$20,$B$20:$G$20,0))&lt;$D$6/OPDAYS_Cls2),86,payback(E62,V62,disc_rate/12,85)))</f>
        <v>86</v>
      </c>
      <c r="AB62" s="289">
        <f>IF($D$7=0,86,IF(AND(AB$22=TRUE,INDEX(CDRANGE_CLS2,MATCH($A62,$A$24:$A$67,0),MATCH(AB$20,$B$20:$G$20,0))&lt;$D$6/OPDAYS_Cls2),86,payback(F62,W62,disc_rate/12,85)))</f>
        <v>86</v>
      </c>
      <c r="AC62" s="290">
        <f>IF($D$7=0,86,IF(AND(AC$22=TRUE,INDEX(CDRANGE_CLS2,MATCH($A62,$A$24:$A$67,0),MATCH(AC$20,$B$20:$G$20,0))&lt;$D$6/OPDAYS_Cls2),86,payback(G62,X62,disc_rate/12,85)))</f>
        <v>86</v>
      </c>
      <c r="AD62" s="319">
        <f t="shared" si="40"/>
        <v>0</v>
      </c>
      <c r="AE62" s="320">
        <f t="shared" si="41"/>
        <v>0</v>
      </c>
      <c r="AF62" s="320">
        <f t="shared" si="42"/>
        <v>0</v>
      </c>
      <c r="AG62" s="320">
        <f t="shared" si="43"/>
        <v>0</v>
      </c>
      <c r="AH62" s="321">
        <f t="shared" si="44"/>
        <v>0</v>
      </c>
      <c r="AI62" s="322">
        <f t="shared" si="45"/>
        <v>0.49999994373241896</v>
      </c>
      <c r="AJ62" s="323">
        <f t="shared" si="46"/>
        <v>0.49999994373241896</v>
      </c>
      <c r="AK62" s="323">
        <f t="shared" si="47"/>
        <v>0.49999677436788642</v>
      </c>
      <c r="AL62" s="323">
        <f t="shared" si="48"/>
        <v>0.11782845705107357</v>
      </c>
      <c r="AM62" s="324">
        <f t="shared" si="49"/>
        <v>0.49999994373241896</v>
      </c>
      <c r="AN62" s="322">
        <f t="shared" si="61"/>
        <v>0.99903127686236104</v>
      </c>
      <c r="AO62" s="323">
        <f t="shared" si="72"/>
        <v>0.99896768217540799</v>
      </c>
      <c r="AP62" s="323">
        <f t="shared" si="73"/>
        <v>0.9223988256013993</v>
      </c>
      <c r="AQ62" s="323">
        <f t="shared" si="74"/>
        <v>0.86263611560330966</v>
      </c>
      <c r="AR62" s="324">
        <f t="shared" si="75"/>
        <v>0.87470110848800209</v>
      </c>
      <c r="AS62" s="810">
        <f t="shared" si="51"/>
        <v>0</v>
      </c>
      <c r="AT62" s="811">
        <f t="shared" si="52"/>
        <v>0</v>
      </c>
      <c r="AU62" s="811">
        <f t="shared" si="53"/>
        <v>0</v>
      </c>
      <c r="AV62" s="811">
        <f t="shared" si="54"/>
        <v>0</v>
      </c>
      <c r="AW62" s="812">
        <f t="shared" si="55"/>
        <v>0</v>
      </c>
      <c r="AX62" s="319">
        <f t="shared" si="56"/>
        <v>0</v>
      </c>
      <c r="AY62" s="320">
        <f t="shared" si="57"/>
        <v>0</v>
      </c>
      <c r="AZ62" s="320">
        <f t="shared" si="58"/>
        <v>0</v>
      </c>
      <c r="BA62" s="320">
        <f t="shared" si="62"/>
        <v>0</v>
      </c>
      <c r="BB62" s="321">
        <f t="shared" si="63"/>
        <v>0</v>
      </c>
      <c r="BC62" s="319">
        <f t="shared" si="64"/>
        <v>1</v>
      </c>
      <c r="BD62" s="320">
        <f t="shared" si="65"/>
        <v>0</v>
      </c>
      <c r="BE62" s="320">
        <f t="shared" si="66"/>
        <v>0</v>
      </c>
      <c r="BF62" s="320">
        <f t="shared" si="67"/>
        <v>0</v>
      </c>
      <c r="BG62" s="320">
        <f t="shared" si="68"/>
        <v>0</v>
      </c>
      <c r="BH62" s="321">
        <f t="shared" si="69"/>
        <v>0</v>
      </c>
    </row>
    <row r="63" spans="1:60" x14ac:dyDescent="0.2">
      <c r="A63" s="327">
        <v>2046</v>
      </c>
      <c r="B63" s="806">
        <f t="shared" si="78"/>
        <v>74641.649999999994</v>
      </c>
      <c r="C63" s="807">
        <f t="shared" si="78"/>
        <v>1427.13</v>
      </c>
      <c r="D63" s="807">
        <f t="shared" si="78"/>
        <v>1313.08</v>
      </c>
      <c r="E63" s="807">
        <f t="shared" si="78"/>
        <v>10859.52</v>
      </c>
      <c r="F63" s="807">
        <f t="shared" si="78"/>
        <v>16129.99</v>
      </c>
      <c r="G63" s="808">
        <f t="shared" si="78"/>
        <v>15381.86</v>
      </c>
      <c r="H63" s="949">
        <f t="shared" si="79"/>
        <v>1</v>
      </c>
      <c r="I63" s="950">
        <f t="shared" si="79"/>
        <v>1</v>
      </c>
      <c r="J63" s="950">
        <f t="shared" si="79"/>
        <v>1</v>
      </c>
      <c r="K63" s="950">
        <f t="shared" si="79"/>
        <v>0.7617272163437353</v>
      </c>
      <c r="L63" s="950">
        <f t="shared" si="79"/>
        <v>1</v>
      </c>
      <c r="M63" s="951">
        <f t="shared" si="79"/>
        <v>0.85217715686103479</v>
      </c>
      <c r="N63" s="284">
        <f t="shared" si="29"/>
        <v>4958.3978314443639</v>
      </c>
      <c r="O63" s="285">
        <f t="shared" si="30"/>
        <v>3459.8699573964423</v>
      </c>
      <c r="P63" s="285">
        <f t="shared" si="31"/>
        <v>2607.32356200908</v>
      </c>
      <c r="Q63" s="285">
        <f t="shared" si="32"/>
        <v>1133.3560592847991</v>
      </c>
      <c r="R63" s="285">
        <f t="shared" si="33"/>
        <v>1864.7257400831777</v>
      </c>
      <c r="S63" s="287">
        <f t="shared" si="34"/>
        <v>2114.3592554195116</v>
      </c>
      <c r="T63" s="284">
        <f t="shared" si="35"/>
        <v>1498.5278740479216</v>
      </c>
      <c r="U63" s="285">
        <f t="shared" si="36"/>
        <v>2351.0742694352839</v>
      </c>
      <c r="V63" s="285">
        <f t="shared" si="37"/>
        <v>3825.041772159565</v>
      </c>
      <c r="W63" s="285">
        <f t="shared" si="38"/>
        <v>3093.6720913611862</v>
      </c>
      <c r="X63" s="287">
        <f t="shared" si="39"/>
        <v>2844.0385760248523</v>
      </c>
      <c r="Y63" s="288">
        <f>IF($D$7=0,86,IF(AND(Y$22=TRUE,INDEX(CDRANGE_CLS2,MATCH($A63,$A$24:$A$67,0),MATCH(Y$20,$B$20:$G$20,0))&lt;$D$6/OPDAYS_Cls2),86,payback(C63,T63,disc_rate/12,85)))</f>
        <v>86</v>
      </c>
      <c r="Z63" s="289">
        <f>IF($D$7=0,86,IF(AND(Z$22=TRUE,INDEX(CDRANGE_CLS2,MATCH($A63,$A$24:$A$67,0),MATCH(Z$20,$B$20:$G$20,0))&lt;$D$6/OPDAYS_Cls2),86,payback(D63,U63,disc_rate/12,85)))</f>
        <v>86</v>
      </c>
      <c r="AA63" s="289">
        <f>IF($D$7=0,86,IF(AND(AA$22=TRUE,INDEX(CDRANGE_CLS2,MATCH($A63,$A$24:$A$67,0),MATCH(AA$20,$B$20:$G$20,0))&lt;$D$6/OPDAYS_Cls2),86,payback(E63,V63,disc_rate/12,85)))</f>
        <v>86</v>
      </c>
      <c r="AB63" s="289">
        <f>IF($D$7=0,86,IF(AND(AB$22=TRUE,INDEX(CDRANGE_CLS2,MATCH($A63,$A$24:$A$67,0),MATCH(AB$20,$B$20:$G$20,0))&lt;$D$6/OPDAYS_Cls2),86,payback(F63,W63,disc_rate/12,85)))</f>
        <v>86</v>
      </c>
      <c r="AC63" s="290">
        <f>IF($D$7=0,86,IF(AND(AC$22=TRUE,INDEX(CDRANGE_CLS2,MATCH($A63,$A$24:$A$67,0),MATCH(AC$20,$B$20:$G$20,0))&lt;$D$6/OPDAYS_Cls2),86,payback(G63,X63,disc_rate/12,85)))</f>
        <v>86</v>
      </c>
      <c r="AD63" s="291">
        <f t="shared" si="40"/>
        <v>0</v>
      </c>
      <c r="AE63" s="292">
        <f t="shared" si="41"/>
        <v>0</v>
      </c>
      <c r="AF63" s="292">
        <f t="shared" si="42"/>
        <v>0</v>
      </c>
      <c r="AG63" s="292">
        <f t="shared" si="43"/>
        <v>0</v>
      </c>
      <c r="AH63" s="293">
        <f t="shared" si="44"/>
        <v>0</v>
      </c>
      <c r="AI63" s="294">
        <f t="shared" si="45"/>
        <v>0.4999999793003122</v>
      </c>
      <c r="AJ63" s="295">
        <f t="shared" si="46"/>
        <v>0.4999999793003122</v>
      </c>
      <c r="AK63" s="295">
        <f t="shared" si="47"/>
        <v>0.49999935253406791</v>
      </c>
      <c r="AL63" s="295">
        <f t="shared" si="48"/>
        <v>0.14183765730923351</v>
      </c>
      <c r="AM63" s="296">
        <f t="shared" si="49"/>
        <v>0.4999999793003122</v>
      </c>
      <c r="AN63" s="294">
        <f t="shared" si="61"/>
        <v>0.99898505706969243</v>
      </c>
      <c r="AO63" s="295">
        <f t="shared" si="72"/>
        <v>0.99914072781367946</v>
      </c>
      <c r="AP63" s="295">
        <f t="shared" si="73"/>
        <v>0.94289801403659101</v>
      </c>
      <c r="AQ63" s="295">
        <f t="shared" si="74"/>
        <v>0.87834230457058138</v>
      </c>
      <c r="AR63" s="296">
        <f t="shared" si="75"/>
        <v>0.88872726052480566</v>
      </c>
      <c r="AS63" s="606">
        <f t="shared" si="51"/>
        <v>0</v>
      </c>
      <c r="AT63" s="607">
        <f t="shared" si="52"/>
        <v>0</v>
      </c>
      <c r="AU63" s="607">
        <f t="shared" si="53"/>
        <v>0</v>
      </c>
      <c r="AV63" s="607">
        <f t="shared" si="54"/>
        <v>0</v>
      </c>
      <c r="AW63" s="608">
        <f t="shared" si="55"/>
        <v>0</v>
      </c>
      <c r="AX63" s="291">
        <f t="shared" si="56"/>
        <v>0</v>
      </c>
      <c r="AY63" s="292">
        <f t="shared" si="57"/>
        <v>0</v>
      </c>
      <c r="AZ63" s="292">
        <f t="shared" si="58"/>
        <v>0</v>
      </c>
      <c r="BA63" s="292">
        <f t="shared" si="62"/>
        <v>0</v>
      </c>
      <c r="BB63" s="293">
        <f t="shared" si="63"/>
        <v>0</v>
      </c>
      <c r="BC63" s="291">
        <f t="shared" si="64"/>
        <v>1</v>
      </c>
      <c r="BD63" s="292">
        <f t="shared" si="65"/>
        <v>0</v>
      </c>
      <c r="BE63" s="292">
        <f t="shared" si="66"/>
        <v>0</v>
      </c>
      <c r="BF63" s="292">
        <f t="shared" si="67"/>
        <v>0</v>
      </c>
      <c r="BG63" s="292">
        <f t="shared" si="68"/>
        <v>0</v>
      </c>
      <c r="BH63" s="293">
        <f t="shared" si="69"/>
        <v>0</v>
      </c>
    </row>
    <row r="64" spans="1:60" x14ac:dyDescent="0.2">
      <c r="A64" s="326">
        <v>2047</v>
      </c>
      <c r="B64" s="800">
        <f t="shared" si="78"/>
        <v>74641.649999999994</v>
      </c>
      <c r="C64" s="801">
        <f t="shared" si="78"/>
        <v>1450.95</v>
      </c>
      <c r="D64" s="801">
        <f t="shared" si="78"/>
        <v>1221.6600000000001</v>
      </c>
      <c r="E64" s="801">
        <f t="shared" si="78"/>
        <v>9505.7999999999993</v>
      </c>
      <c r="F64" s="801">
        <f t="shared" si="78"/>
        <v>15343.9</v>
      </c>
      <c r="G64" s="802">
        <f t="shared" si="78"/>
        <v>14654.39</v>
      </c>
      <c r="H64" s="952">
        <f t="shared" si="79"/>
        <v>1</v>
      </c>
      <c r="I64" s="953">
        <f t="shared" si="79"/>
        <v>1</v>
      </c>
      <c r="J64" s="953">
        <f t="shared" si="79"/>
        <v>1</v>
      </c>
      <c r="K64" s="953">
        <f t="shared" si="79"/>
        <v>0.76148776240392757</v>
      </c>
      <c r="L64" s="953">
        <f t="shared" si="79"/>
        <v>1</v>
      </c>
      <c r="M64" s="954">
        <f t="shared" si="79"/>
        <v>0.85102226035472195</v>
      </c>
      <c r="N64" s="298">
        <f t="shared" si="29"/>
        <v>5004.6906180108253</v>
      </c>
      <c r="O64" s="299">
        <f t="shared" si="30"/>
        <v>3465.3332688385767</v>
      </c>
      <c r="P64" s="299">
        <f t="shared" si="31"/>
        <v>2611.418836511265</v>
      </c>
      <c r="Q64" s="299">
        <f t="shared" si="32"/>
        <v>1056.9418427352161</v>
      </c>
      <c r="R64" s="299">
        <f t="shared" si="33"/>
        <v>1802.2727086675663</v>
      </c>
      <c r="S64" s="301">
        <f t="shared" si="34"/>
        <v>2102.6646392361863</v>
      </c>
      <c r="T64" s="298">
        <f t="shared" si="35"/>
        <v>1539.3573491722486</v>
      </c>
      <c r="U64" s="299">
        <f t="shared" si="36"/>
        <v>2393.2717814995603</v>
      </c>
      <c r="V64" s="299">
        <f t="shared" si="37"/>
        <v>3947.7487752756092</v>
      </c>
      <c r="W64" s="299">
        <f t="shared" si="38"/>
        <v>3202.417909343259</v>
      </c>
      <c r="X64" s="301">
        <f t="shared" si="39"/>
        <v>2902.025978774639</v>
      </c>
      <c r="Y64" s="288">
        <f>IF($D$7=0,86,IF(AND(Y$22=TRUE,INDEX(CDRANGE_CLS2,MATCH($A64,$A$24:$A$67,0),MATCH(Y$20,$B$20:$G$20,0))&lt;$D$6/OPDAYS_Cls2),86,payback(C64,T64,disc_rate/12,85)))</f>
        <v>86</v>
      </c>
      <c r="Z64" s="289">
        <f>IF($D$7=0,86,IF(AND(Z$22=TRUE,INDEX(CDRANGE_CLS2,MATCH($A64,$A$24:$A$67,0),MATCH(Z$20,$B$20:$G$20,0))&lt;$D$6/OPDAYS_Cls2),86,payback(D64,U64,disc_rate/12,85)))</f>
        <v>86</v>
      </c>
      <c r="AA64" s="289">
        <f>IF($D$7=0,86,IF(AND(AA$22=TRUE,INDEX(CDRANGE_CLS2,MATCH($A64,$A$24:$A$67,0),MATCH(AA$20,$B$20:$G$20,0))&lt;$D$6/OPDAYS_Cls2),86,payback(E64,V64,disc_rate/12,85)))</f>
        <v>86</v>
      </c>
      <c r="AB64" s="289">
        <f>IF($D$7=0,86,IF(AND(AB$22=TRUE,INDEX(CDRANGE_CLS2,MATCH($A64,$A$24:$A$67,0),MATCH(AB$20,$B$20:$G$20,0))&lt;$D$6/OPDAYS_Cls2),86,payback(F64,W64,disc_rate/12,85)))</f>
        <v>86</v>
      </c>
      <c r="AC64" s="290">
        <f>IF($D$7=0,86,IF(AND(AC$22=TRUE,INDEX(CDRANGE_CLS2,MATCH($A64,$A$24:$A$67,0),MATCH(AC$20,$B$20:$G$20,0))&lt;$D$6/OPDAYS_Cls2),86,payback(G64,X64,disc_rate/12,85)))</f>
        <v>86</v>
      </c>
      <c r="AD64" s="305">
        <f t="shared" si="40"/>
        <v>0</v>
      </c>
      <c r="AE64" s="306">
        <f t="shared" si="41"/>
        <v>0</v>
      </c>
      <c r="AF64" s="306">
        <f t="shared" si="42"/>
        <v>0</v>
      </c>
      <c r="AG64" s="306">
        <f t="shared" si="43"/>
        <v>0</v>
      </c>
      <c r="AH64" s="307">
        <f t="shared" si="44"/>
        <v>0</v>
      </c>
      <c r="AI64" s="308">
        <f t="shared" si="45"/>
        <v>0.49999999238501025</v>
      </c>
      <c r="AJ64" s="309">
        <f t="shared" si="46"/>
        <v>0.49999999238501025</v>
      </c>
      <c r="AK64" s="309">
        <f t="shared" si="47"/>
        <v>0.49999988668737916</v>
      </c>
      <c r="AL64" s="309">
        <f t="shared" si="48"/>
        <v>0.16804211577298547</v>
      </c>
      <c r="AM64" s="310">
        <f t="shared" si="49"/>
        <v>0.49999999238501025</v>
      </c>
      <c r="AN64" s="308">
        <f t="shared" si="61"/>
        <v>0.99895091174668615</v>
      </c>
      <c r="AO64" s="309">
        <f t="shared" si="72"/>
        <v>0.99925616917054494</v>
      </c>
      <c r="AP64" s="309">
        <f t="shared" si="73"/>
        <v>0.9559479391855692</v>
      </c>
      <c r="AQ64" s="309">
        <f t="shared" si="74"/>
        <v>0.88924422256863322</v>
      </c>
      <c r="AR64" s="310">
        <f t="shared" si="75"/>
        <v>0.89846217483529656</v>
      </c>
      <c r="AS64" s="291">
        <f t="shared" si="51"/>
        <v>0</v>
      </c>
      <c r="AT64" s="292">
        <f t="shared" si="52"/>
        <v>0</v>
      </c>
      <c r="AU64" s="292">
        <f t="shared" si="53"/>
        <v>0</v>
      </c>
      <c r="AV64" s="292">
        <f t="shared" si="54"/>
        <v>0</v>
      </c>
      <c r="AW64" s="293">
        <f t="shared" si="55"/>
        <v>0</v>
      </c>
      <c r="AX64" s="305">
        <f t="shared" si="56"/>
        <v>0</v>
      </c>
      <c r="AY64" s="306">
        <f t="shared" si="57"/>
        <v>0</v>
      </c>
      <c r="AZ64" s="306">
        <f t="shared" si="58"/>
        <v>0</v>
      </c>
      <c r="BA64" s="292">
        <f t="shared" si="62"/>
        <v>0</v>
      </c>
      <c r="BB64" s="293">
        <f t="shared" si="63"/>
        <v>0</v>
      </c>
      <c r="BC64" s="291">
        <f t="shared" si="64"/>
        <v>1</v>
      </c>
      <c r="BD64" s="292">
        <f t="shared" si="65"/>
        <v>0</v>
      </c>
      <c r="BE64" s="292">
        <f t="shared" si="66"/>
        <v>0</v>
      </c>
      <c r="BF64" s="292">
        <f t="shared" si="67"/>
        <v>0</v>
      </c>
      <c r="BG64" s="292">
        <f t="shared" si="68"/>
        <v>0</v>
      </c>
      <c r="BH64" s="293">
        <f t="shared" si="69"/>
        <v>0</v>
      </c>
    </row>
    <row r="65" spans="1:60" x14ac:dyDescent="0.2">
      <c r="A65" s="326">
        <v>2048</v>
      </c>
      <c r="B65" s="800">
        <f t="shared" si="78"/>
        <v>74641.649999999994</v>
      </c>
      <c r="C65" s="801">
        <f t="shared" si="78"/>
        <v>1467.7</v>
      </c>
      <c r="D65" s="801">
        <f t="shared" si="78"/>
        <v>1157.3599999999999</v>
      </c>
      <c r="E65" s="801">
        <f t="shared" si="78"/>
        <v>8553.77</v>
      </c>
      <c r="F65" s="801">
        <f t="shared" si="78"/>
        <v>14791.07</v>
      </c>
      <c r="G65" s="802">
        <f t="shared" si="78"/>
        <v>14142.78</v>
      </c>
      <c r="H65" s="952">
        <f t="shared" si="79"/>
        <v>1</v>
      </c>
      <c r="I65" s="953">
        <f t="shared" si="79"/>
        <v>1</v>
      </c>
      <c r="J65" s="953">
        <f t="shared" si="79"/>
        <v>1</v>
      </c>
      <c r="K65" s="953">
        <f t="shared" si="79"/>
        <v>0.7613193618496511</v>
      </c>
      <c r="L65" s="953">
        <f t="shared" si="79"/>
        <v>1</v>
      </c>
      <c r="M65" s="954">
        <f t="shared" si="79"/>
        <v>0.85021005734001576</v>
      </c>
      <c r="N65" s="298">
        <f t="shared" si="29"/>
        <v>5047.1658697911053</v>
      </c>
      <c r="O65" s="299">
        <f t="shared" si="30"/>
        <v>3475.9565613786312</v>
      </c>
      <c r="P65" s="299">
        <f t="shared" si="31"/>
        <v>2619.4091835555641</v>
      </c>
      <c r="Q65" s="299">
        <f t="shared" si="32"/>
        <v>1018.3477890549746</v>
      </c>
      <c r="R65" s="299">
        <f t="shared" si="33"/>
        <v>1744.2164176481879</v>
      </c>
      <c r="S65" s="301">
        <f t="shared" si="34"/>
        <v>2100.9969783313854</v>
      </c>
      <c r="T65" s="298">
        <f t="shared" si="35"/>
        <v>1571.209308412474</v>
      </c>
      <c r="U65" s="299">
        <f t="shared" si="36"/>
        <v>2427.7566862355411</v>
      </c>
      <c r="V65" s="299">
        <f t="shared" si="37"/>
        <v>4028.8180807361305</v>
      </c>
      <c r="W65" s="299">
        <f t="shared" si="38"/>
        <v>3302.9494521429174</v>
      </c>
      <c r="X65" s="301">
        <f t="shared" si="39"/>
        <v>2946.1688914597198</v>
      </c>
      <c r="Y65" s="288">
        <f>IF($D$7=0,86,IF(AND(Y$22=TRUE,INDEX(CDRANGE_CLS2,MATCH($A65,$A$24:$A$67,0),MATCH(Y$20,$B$20:$G$20,0))&lt;$D$6/OPDAYS_Cls2),86,payback(C65,T65,disc_rate/12,85)))</f>
        <v>86</v>
      </c>
      <c r="Z65" s="289">
        <f>IF($D$7=0,86,IF(AND(Z$22=TRUE,INDEX(CDRANGE_CLS2,MATCH($A65,$A$24:$A$67,0),MATCH(Z$20,$B$20:$G$20,0))&lt;$D$6/OPDAYS_Cls2),86,payback(D65,U65,disc_rate/12,85)))</f>
        <v>86</v>
      </c>
      <c r="AA65" s="289">
        <f>IF($D$7=0,86,IF(AND(AA$22=TRUE,INDEX(CDRANGE_CLS2,MATCH($A65,$A$24:$A$67,0),MATCH(AA$20,$B$20:$G$20,0))&lt;$D$6/OPDAYS_Cls2),86,payback(E65,V65,disc_rate/12,85)))</f>
        <v>86</v>
      </c>
      <c r="AB65" s="289">
        <f>IF($D$7=0,86,IF(AND(AB$22=TRUE,INDEX(CDRANGE_CLS2,MATCH($A65,$A$24:$A$67,0),MATCH(AB$20,$B$20:$G$20,0))&lt;$D$6/OPDAYS_Cls2),86,payback(F65,W65,disc_rate/12,85)))</f>
        <v>86</v>
      </c>
      <c r="AC65" s="290">
        <f>IF($D$7=0,86,IF(AND(AC$22=TRUE,INDEX(CDRANGE_CLS2,MATCH($A65,$A$24:$A$67,0),MATCH(AC$20,$B$20:$G$20,0))&lt;$D$6/OPDAYS_Cls2),86,payback(G65,X65,disc_rate/12,85)))</f>
        <v>86</v>
      </c>
      <c r="AD65" s="305">
        <f t="shared" si="40"/>
        <v>0</v>
      </c>
      <c r="AE65" s="306">
        <f t="shared" si="41"/>
        <v>0</v>
      </c>
      <c r="AF65" s="306">
        <f t="shared" si="42"/>
        <v>0</v>
      </c>
      <c r="AG65" s="306">
        <f t="shared" si="43"/>
        <v>0</v>
      </c>
      <c r="AH65" s="307">
        <f t="shared" si="44"/>
        <v>0</v>
      </c>
      <c r="AI65" s="308">
        <f t="shared" si="45"/>
        <v>0.49999999719860178</v>
      </c>
      <c r="AJ65" s="309">
        <f t="shared" si="46"/>
        <v>0.49999999719860178</v>
      </c>
      <c r="AK65" s="309">
        <f t="shared" si="47"/>
        <v>0.49999994093101474</v>
      </c>
      <c r="AL65" s="309">
        <f t="shared" si="48"/>
        <v>0.19608843878151211</v>
      </c>
      <c r="AM65" s="310">
        <f t="shared" si="49"/>
        <v>0.49999999719860178</v>
      </c>
      <c r="AN65" s="308">
        <f t="shared" si="61"/>
        <v>0.99892656333023677</v>
      </c>
      <c r="AO65" s="309">
        <f t="shared" si="72"/>
        <v>0.99933238365260491</v>
      </c>
      <c r="AP65" s="309">
        <f t="shared" si="73"/>
        <v>0.96417775432767272</v>
      </c>
      <c r="AQ65" s="309">
        <f t="shared" si="74"/>
        <v>0.89666113841137185</v>
      </c>
      <c r="AR65" s="310">
        <f t="shared" si="75"/>
        <v>0.90508616548058085</v>
      </c>
      <c r="AS65" s="291">
        <f t="shared" si="51"/>
        <v>0</v>
      </c>
      <c r="AT65" s="292">
        <f t="shared" si="52"/>
        <v>0</v>
      </c>
      <c r="AU65" s="292">
        <f t="shared" si="53"/>
        <v>0</v>
      </c>
      <c r="AV65" s="292">
        <f t="shared" si="54"/>
        <v>0</v>
      </c>
      <c r="AW65" s="293">
        <f t="shared" si="55"/>
        <v>0</v>
      </c>
      <c r="AX65" s="305">
        <f t="shared" si="56"/>
        <v>0</v>
      </c>
      <c r="AY65" s="306">
        <f t="shared" si="57"/>
        <v>0</v>
      </c>
      <c r="AZ65" s="306">
        <f t="shared" si="58"/>
        <v>0</v>
      </c>
      <c r="BA65" s="292">
        <f t="shared" si="62"/>
        <v>0</v>
      </c>
      <c r="BB65" s="293">
        <f t="shared" si="63"/>
        <v>0</v>
      </c>
      <c r="BC65" s="291">
        <f t="shared" si="64"/>
        <v>1</v>
      </c>
      <c r="BD65" s="292">
        <f t="shared" si="65"/>
        <v>0</v>
      </c>
      <c r="BE65" s="292">
        <f t="shared" si="66"/>
        <v>0</v>
      </c>
      <c r="BF65" s="292">
        <f t="shared" si="67"/>
        <v>0</v>
      </c>
      <c r="BG65" s="292">
        <f t="shared" si="68"/>
        <v>0</v>
      </c>
      <c r="BH65" s="293">
        <f t="shared" si="69"/>
        <v>0</v>
      </c>
    </row>
    <row r="66" spans="1:60" x14ac:dyDescent="0.2">
      <c r="A66" s="326">
        <v>2049</v>
      </c>
      <c r="B66" s="800">
        <f t="shared" si="78"/>
        <v>74641.649999999994</v>
      </c>
      <c r="C66" s="801">
        <f t="shared" si="78"/>
        <v>1479.24</v>
      </c>
      <c r="D66" s="801">
        <f t="shared" si="78"/>
        <v>1113.08</v>
      </c>
      <c r="E66" s="801">
        <f t="shared" si="78"/>
        <v>7898.03</v>
      </c>
      <c r="F66" s="801">
        <f t="shared" si="78"/>
        <v>14410.29</v>
      </c>
      <c r="G66" s="802">
        <f t="shared" si="78"/>
        <v>13790.39</v>
      </c>
      <c r="H66" s="952">
        <f t="shared" si="79"/>
        <v>1</v>
      </c>
      <c r="I66" s="953">
        <f t="shared" si="79"/>
        <v>1</v>
      </c>
      <c r="J66" s="953">
        <f t="shared" si="79"/>
        <v>1</v>
      </c>
      <c r="K66" s="953">
        <f t="shared" si="79"/>
        <v>0.76120337045030639</v>
      </c>
      <c r="L66" s="953">
        <f t="shared" si="79"/>
        <v>1</v>
      </c>
      <c r="M66" s="954">
        <f t="shared" si="79"/>
        <v>0.84965062590208196</v>
      </c>
      <c r="N66" s="298">
        <f t="shared" si="29"/>
        <v>5078.0729439561728</v>
      </c>
      <c r="O66" s="299">
        <f t="shared" si="30"/>
        <v>3484.3402565935457</v>
      </c>
      <c r="P66" s="299">
        <f t="shared" si="31"/>
        <v>2625.7165680556996</v>
      </c>
      <c r="Q66" s="299">
        <f t="shared" si="32"/>
        <v>998.39897277056821</v>
      </c>
      <c r="R66" s="299">
        <f t="shared" si="33"/>
        <v>1689.2405888180308</v>
      </c>
      <c r="S66" s="301">
        <f t="shared" si="34"/>
        <v>2101.6970354116961</v>
      </c>
      <c r="T66" s="298">
        <f t="shared" si="35"/>
        <v>1593.7326873626271</v>
      </c>
      <c r="U66" s="299">
        <f t="shared" si="36"/>
        <v>2452.3563759004733</v>
      </c>
      <c r="V66" s="299">
        <f t="shared" si="37"/>
        <v>4079.6739711856044</v>
      </c>
      <c r="W66" s="299">
        <f t="shared" si="38"/>
        <v>3388.8323551381418</v>
      </c>
      <c r="X66" s="301">
        <f t="shared" si="39"/>
        <v>2976.3759085444767</v>
      </c>
      <c r="Y66" s="288">
        <f>IF($D$7=0,86,IF(AND(Y$22=TRUE,INDEX(CDRANGE_CLS2,MATCH($A66,$A$24:$A$67,0),MATCH(Y$20,$B$20:$G$20,0))&lt;$D$6/OPDAYS_Cls2),86,payback(C66,T66,disc_rate/12,85)))</f>
        <v>86</v>
      </c>
      <c r="Z66" s="289">
        <f>IF($D$7=0,86,IF(AND(Z$22=TRUE,INDEX(CDRANGE_CLS2,MATCH($A66,$A$24:$A$67,0),MATCH(Z$20,$B$20:$G$20,0))&lt;$D$6/OPDAYS_Cls2),86,payback(D66,U66,disc_rate/12,85)))</f>
        <v>86</v>
      </c>
      <c r="AA66" s="289">
        <f>IF($D$7=0,86,IF(AND(AA$22=TRUE,INDEX(CDRANGE_CLS2,MATCH($A66,$A$24:$A$67,0),MATCH(AA$20,$B$20:$G$20,0))&lt;$D$6/OPDAYS_Cls2),86,payback(E66,V66,disc_rate/12,85)))</f>
        <v>86</v>
      </c>
      <c r="AB66" s="289">
        <f>IF($D$7=0,86,IF(AND(AB$22=TRUE,INDEX(CDRANGE_CLS2,MATCH($A66,$A$24:$A$67,0),MATCH(AB$20,$B$20:$G$20,0))&lt;$D$6/OPDAYS_Cls2),86,payback(F66,W66,disc_rate/12,85)))</f>
        <v>86</v>
      </c>
      <c r="AC66" s="290">
        <f>IF($D$7=0,86,IF(AND(AC$22=TRUE,INDEX(CDRANGE_CLS2,MATCH($A66,$A$24:$A$67,0),MATCH(AC$20,$B$20:$G$20,0))&lt;$D$6/OPDAYS_Cls2),86,payback(G66,X66,disc_rate/12,85)))</f>
        <v>86</v>
      </c>
      <c r="AD66" s="305">
        <f t="shared" si="40"/>
        <v>0</v>
      </c>
      <c r="AE66" s="306">
        <f t="shared" si="41"/>
        <v>0</v>
      </c>
      <c r="AF66" s="306">
        <f t="shared" si="42"/>
        <v>0</v>
      </c>
      <c r="AG66" s="306">
        <f t="shared" si="43"/>
        <v>0</v>
      </c>
      <c r="AH66" s="307">
        <f t="shared" si="44"/>
        <v>0</v>
      </c>
      <c r="AI66" s="308">
        <f t="shared" si="45"/>
        <v>0.49999999896942315</v>
      </c>
      <c r="AJ66" s="309">
        <f t="shared" si="46"/>
        <v>0.49999999896942315</v>
      </c>
      <c r="AK66" s="309">
        <f t="shared" si="47"/>
        <v>0.4999999427018359</v>
      </c>
      <c r="AL66" s="309">
        <f t="shared" si="48"/>
        <v>0.22551057376528363</v>
      </c>
      <c r="AM66" s="310">
        <f t="shared" si="49"/>
        <v>0.49999999896942315</v>
      </c>
      <c r="AN66" s="308">
        <f t="shared" si="61"/>
        <v>0.99890962611449607</v>
      </c>
      <c r="AO66" s="309">
        <f t="shared" si="72"/>
        <v>0.99938247624686771</v>
      </c>
      <c r="AP66" s="309">
        <f t="shared" si="73"/>
        <v>0.96937778305110989</v>
      </c>
      <c r="AQ66" s="309">
        <f t="shared" si="74"/>
        <v>0.90164590678122625</v>
      </c>
      <c r="AR66" s="310">
        <f t="shared" si="75"/>
        <v>0.90953898297216562</v>
      </c>
      <c r="AS66" s="291">
        <f t="shared" si="51"/>
        <v>0</v>
      </c>
      <c r="AT66" s="292">
        <f t="shared" si="52"/>
        <v>0</v>
      </c>
      <c r="AU66" s="292">
        <f t="shared" si="53"/>
        <v>0</v>
      </c>
      <c r="AV66" s="292">
        <f t="shared" si="54"/>
        <v>0</v>
      </c>
      <c r="AW66" s="293">
        <f t="shared" si="55"/>
        <v>0</v>
      </c>
      <c r="AX66" s="305">
        <f t="shared" si="56"/>
        <v>0</v>
      </c>
      <c r="AY66" s="306">
        <f t="shared" si="57"/>
        <v>0</v>
      </c>
      <c r="AZ66" s="306">
        <f t="shared" si="58"/>
        <v>0</v>
      </c>
      <c r="BA66" s="292">
        <f t="shared" si="62"/>
        <v>0</v>
      </c>
      <c r="BB66" s="293">
        <f t="shared" si="63"/>
        <v>0</v>
      </c>
      <c r="BC66" s="291">
        <f t="shared" si="64"/>
        <v>1</v>
      </c>
      <c r="BD66" s="292">
        <f t="shared" si="65"/>
        <v>0</v>
      </c>
      <c r="BE66" s="292">
        <f t="shared" si="66"/>
        <v>0</v>
      </c>
      <c r="BF66" s="292">
        <f t="shared" si="67"/>
        <v>0</v>
      </c>
      <c r="BG66" s="292">
        <f t="shared" si="68"/>
        <v>0</v>
      </c>
      <c r="BH66" s="293">
        <f t="shared" si="69"/>
        <v>0</v>
      </c>
    </row>
    <row r="67" spans="1:60" ht="13.5" thickBot="1" x14ac:dyDescent="0.25">
      <c r="A67" s="311">
        <v>2050</v>
      </c>
      <c r="B67" s="803">
        <f t="shared" si="78"/>
        <v>74641.649999999994</v>
      </c>
      <c r="C67" s="804">
        <f t="shared" si="78"/>
        <v>1502.77</v>
      </c>
      <c r="D67" s="804">
        <f t="shared" si="78"/>
        <v>1022.77</v>
      </c>
      <c r="E67" s="804">
        <f t="shared" si="78"/>
        <v>6560.77</v>
      </c>
      <c r="F67" s="804">
        <f t="shared" si="78"/>
        <v>13633.77</v>
      </c>
      <c r="G67" s="805">
        <f t="shared" si="78"/>
        <v>13071.77</v>
      </c>
      <c r="H67" s="946">
        <f t="shared" si="79"/>
        <v>1</v>
      </c>
      <c r="I67" s="947">
        <f t="shared" si="79"/>
        <v>1</v>
      </c>
      <c r="J67" s="947">
        <f t="shared" si="79"/>
        <v>1</v>
      </c>
      <c r="K67" s="947">
        <f t="shared" si="79"/>
        <v>0.76096682781419989</v>
      </c>
      <c r="L67" s="947">
        <f t="shared" si="79"/>
        <v>1</v>
      </c>
      <c r="M67" s="948">
        <f t="shared" si="79"/>
        <v>0.84850977073698075</v>
      </c>
      <c r="N67" s="312">
        <f t="shared" si="29"/>
        <v>5106.5549692553113</v>
      </c>
      <c r="O67" s="313">
        <f t="shared" si="30"/>
        <v>3477.7193060299983</v>
      </c>
      <c r="P67" s="313">
        <f t="shared" si="31"/>
        <v>2620.7062526971831</v>
      </c>
      <c r="Q67" s="313">
        <f t="shared" si="32"/>
        <v>983.87306333099718</v>
      </c>
      <c r="R67" s="313">
        <f t="shared" si="33"/>
        <v>1629.0407250260278</v>
      </c>
      <c r="S67" s="315">
        <f t="shared" si="34"/>
        <v>2095.3411590260653</v>
      </c>
      <c r="T67" s="312">
        <f t="shared" si="35"/>
        <v>1628.8356632253131</v>
      </c>
      <c r="U67" s="313">
        <f t="shared" si="36"/>
        <v>2485.8487165581282</v>
      </c>
      <c r="V67" s="313">
        <f t="shared" si="37"/>
        <v>4122.6819059243144</v>
      </c>
      <c r="W67" s="313">
        <f t="shared" si="38"/>
        <v>3477.5142442292836</v>
      </c>
      <c r="X67" s="315">
        <f t="shared" si="39"/>
        <v>3011.2138102292461</v>
      </c>
      <c r="Y67" s="288">
        <f>IF($D$7=0,86,IF(AND(Y$22=TRUE,INDEX(CDRANGE_CLS2,MATCH($A67,$A$24:$A$67,0),MATCH(Y$20,$B$20:$G$20,0))&lt;$D$6/OPDAYS_Cls2),86,payback(C67,T67,disc_rate/12,85)))</f>
        <v>86</v>
      </c>
      <c r="Z67" s="289">
        <f>IF($D$7=0,86,IF(AND(Z$22=TRUE,INDEX(CDRANGE_CLS2,MATCH($A67,$A$24:$A$67,0),MATCH(Z$20,$B$20:$G$20,0))&lt;$D$6/OPDAYS_Cls2),86,payback(D67,U67,disc_rate/12,85)))</f>
        <v>86</v>
      </c>
      <c r="AA67" s="289">
        <f>IF($D$7=0,86,IF(AND(AA$22=TRUE,INDEX(CDRANGE_CLS2,MATCH($A67,$A$24:$A$67,0),MATCH(AA$20,$B$20:$G$20,0))&lt;$D$6/OPDAYS_Cls2),86,payback(E67,V67,disc_rate/12,85)))</f>
        <v>86</v>
      </c>
      <c r="AB67" s="289">
        <f>IF($D$7=0,86,IF(AND(AB$22=TRUE,INDEX(CDRANGE_CLS2,MATCH($A67,$A$24:$A$67,0),MATCH(AB$20,$B$20:$G$20,0))&lt;$D$6/OPDAYS_Cls2),86,payback(F67,W67,disc_rate/12,85)))</f>
        <v>86</v>
      </c>
      <c r="AC67" s="290">
        <f>IF($D$7=0,86,IF(AND(AC$22=TRUE,INDEX(CDRANGE_CLS2,MATCH($A67,$A$24:$A$67,0),MATCH(AC$20,$B$20:$G$20,0))&lt;$D$6/OPDAYS_Cls2),86,payback(G67,X67,disc_rate/12,85)))</f>
        <v>86</v>
      </c>
      <c r="AD67" s="319">
        <f t="shared" si="40"/>
        <v>0</v>
      </c>
      <c r="AE67" s="320">
        <f t="shared" si="41"/>
        <v>0</v>
      </c>
      <c r="AF67" s="320">
        <f t="shared" si="42"/>
        <v>0</v>
      </c>
      <c r="AG67" s="320">
        <f t="shared" si="43"/>
        <v>0</v>
      </c>
      <c r="AH67" s="321">
        <f t="shared" si="44"/>
        <v>0</v>
      </c>
      <c r="AI67" s="322">
        <f t="shared" si="45"/>
        <v>0.49999999962087194</v>
      </c>
      <c r="AJ67" s="323">
        <f t="shared" si="46"/>
        <v>0.49999999962087194</v>
      </c>
      <c r="AK67" s="323">
        <f t="shared" si="47"/>
        <v>0.49999994335328463</v>
      </c>
      <c r="AL67" s="323">
        <f t="shared" si="48"/>
        <v>0.25574441924062596</v>
      </c>
      <c r="AM67" s="324">
        <f t="shared" si="49"/>
        <v>0.49999999962087194</v>
      </c>
      <c r="AN67" s="322">
        <f t="shared" si="61"/>
        <v>0.99887468114536226</v>
      </c>
      <c r="AO67" s="323">
        <f t="shared" si="72"/>
        <v>0.99947859192657484</v>
      </c>
      <c r="AP67" s="323">
        <f t="shared" si="73"/>
        <v>0.97876790460105789</v>
      </c>
      <c r="AQ67" s="323">
        <f t="shared" si="74"/>
        <v>0.91148883659342472</v>
      </c>
      <c r="AR67" s="324">
        <f t="shared" si="75"/>
        <v>0.91833504294736124</v>
      </c>
      <c r="AS67" s="328">
        <f t="shared" si="51"/>
        <v>0</v>
      </c>
      <c r="AT67" s="329">
        <f t="shared" si="52"/>
        <v>0</v>
      </c>
      <c r="AU67" s="329">
        <f t="shared" si="53"/>
        <v>0</v>
      </c>
      <c r="AV67" s="329">
        <f t="shared" si="54"/>
        <v>0</v>
      </c>
      <c r="AW67" s="330">
        <f t="shared" si="55"/>
        <v>0</v>
      </c>
      <c r="AX67" s="319">
        <f t="shared" si="56"/>
        <v>0</v>
      </c>
      <c r="AY67" s="320">
        <f t="shared" si="57"/>
        <v>0</v>
      </c>
      <c r="AZ67" s="320">
        <f t="shared" si="58"/>
        <v>0</v>
      </c>
      <c r="BA67" s="329">
        <f t="shared" si="62"/>
        <v>0</v>
      </c>
      <c r="BB67" s="330">
        <f t="shared" si="63"/>
        <v>0</v>
      </c>
      <c r="BC67" s="328">
        <f t="shared" si="64"/>
        <v>1</v>
      </c>
      <c r="BD67" s="329">
        <f t="shared" si="65"/>
        <v>0</v>
      </c>
      <c r="BE67" s="329">
        <f t="shared" si="66"/>
        <v>0</v>
      </c>
      <c r="BF67" s="329">
        <f t="shared" si="67"/>
        <v>0</v>
      </c>
      <c r="BG67" s="329">
        <f t="shared" si="68"/>
        <v>0</v>
      </c>
      <c r="BH67" s="330">
        <f t="shared" si="69"/>
        <v>0</v>
      </c>
    </row>
    <row r="68" spans="1:60" x14ac:dyDescent="0.2">
      <c r="A68" s="236" t="str">
        <f>"Output generated: "&amp; TEXT(MAX($L$4,$L$5),"m/dd/yyyy hh:mm")</f>
        <v>Output generated: 11/04/2020 14:43</v>
      </c>
      <c r="E68" s="243"/>
      <c r="F68" s="243"/>
      <c r="G68" s="243"/>
      <c r="H68" s="331"/>
      <c r="I68" s="243"/>
      <c r="J68" s="243"/>
      <c r="K68" s="332"/>
      <c r="L68" s="332"/>
      <c r="M68" s="332"/>
      <c r="W68" s="236"/>
      <c r="X68" s="236"/>
      <c r="Y68" s="236"/>
    </row>
    <row r="69" spans="1:60" ht="13.5" thickBot="1" x14ac:dyDescent="0.25"/>
    <row r="70" spans="1:60" s="28" customFormat="1" ht="15" x14ac:dyDescent="0.25">
      <c r="A70" s="342"/>
      <c r="B70" s="1643" t="s">
        <v>306</v>
      </c>
      <c r="C70" s="1644"/>
      <c r="D70" s="1644"/>
      <c r="E70" s="1644"/>
      <c r="F70" s="1644"/>
      <c r="G70" s="1644"/>
      <c r="H70" s="1644"/>
      <c r="I70" s="1644"/>
      <c r="J70" s="1644"/>
      <c r="K70" s="1644"/>
      <c r="L70" s="1644"/>
      <c r="M70" s="1644"/>
      <c r="N70" s="1645"/>
      <c r="O70" s="1643" t="s">
        <v>307</v>
      </c>
      <c r="P70" s="1644"/>
      <c r="Q70" s="1644"/>
      <c r="R70" s="1644"/>
      <c r="S70" s="1644"/>
      <c r="T70" s="1644"/>
      <c r="U70" s="1644"/>
      <c r="V70" s="1644"/>
      <c r="W70" s="1644"/>
      <c r="X70" s="1644"/>
      <c r="Y70" s="1644"/>
      <c r="Z70" s="1644"/>
      <c r="AA70" s="1645"/>
    </row>
    <row r="71" spans="1:60" x14ac:dyDescent="0.2">
      <c r="A71" s="333"/>
      <c r="B71" s="1641" t="s">
        <v>125</v>
      </c>
      <c r="C71" s="1642"/>
      <c r="D71" s="1642"/>
      <c r="E71" s="1642"/>
      <c r="F71" s="1642"/>
      <c r="G71" s="1642"/>
      <c r="H71" s="1642"/>
      <c r="I71" s="1642"/>
      <c r="J71" s="1642"/>
      <c r="K71" s="1642"/>
      <c r="L71" s="1642"/>
      <c r="M71" s="367"/>
      <c r="N71" s="334"/>
      <c r="O71" s="1641" t="s">
        <v>125</v>
      </c>
      <c r="P71" s="1642"/>
      <c r="Q71" s="1642"/>
      <c r="R71" s="1642"/>
      <c r="S71" s="1642"/>
      <c r="T71" s="1642"/>
      <c r="U71" s="1642"/>
      <c r="V71" s="1642"/>
      <c r="W71" s="1642"/>
      <c r="X71" s="1642"/>
      <c r="Y71" s="1642"/>
      <c r="Z71" s="367"/>
      <c r="AA71" s="334"/>
      <c r="AC71" s="925" t="s">
        <v>211</v>
      </c>
      <c r="AD71" s="243" t="b">
        <f>INDEX(TECH_OPT_FUEL2_Cls1,MATCH(RIGHT(O70),TECH_OPT_ROWS_Cls1,0))&lt;&gt;"N/A"</f>
        <v>1</v>
      </c>
    </row>
    <row r="72" spans="1:60" s="237" customFormat="1" ht="13.5" thickBot="1" x14ac:dyDescent="0.25">
      <c r="A72" s="340"/>
      <c r="B72" s="347" t="s">
        <v>31</v>
      </c>
      <c r="C72" s="348" t="s">
        <v>32</v>
      </c>
      <c r="D72" s="348" t="s">
        <v>33</v>
      </c>
      <c r="E72" s="348" t="s">
        <v>34</v>
      </c>
      <c r="F72" s="348" t="s">
        <v>35</v>
      </c>
      <c r="G72" s="348" t="s">
        <v>36</v>
      </c>
      <c r="H72" s="348" t="s">
        <v>37</v>
      </c>
      <c r="I72" s="348" t="s">
        <v>38</v>
      </c>
      <c r="J72" s="348" t="s">
        <v>39</v>
      </c>
      <c r="K72" s="348" t="s">
        <v>40</v>
      </c>
      <c r="L72" s="362" t="s">
        <v>41</v>
      </c>
      <c r="M72" s="368" t="s">
        <v>126</v>
      </c>
      <c r="N72" s="341" t="s">
        <v>127</v>
      </c>
      <c r="O72" s="347" t="s">
        <v>31</v>
      </c>
      <c r="P72" s="348" t="s">
        <v>32</v>
      </c>
      <c r="Q72" s="348" t="s">
        <v>33</v>
      </c>
      <c r="R72" s="348" t="s">
        <v>34</v>
      </c>
      <c r="S72" s="348" t="s">
        <v>35</v>
      </c>
      <c r="T72" s="348" t="s">
        <v>36</v>
      </c>
      <c r="U72" s="348" t="s">
        <v>37</v>
      </c>
      <c r="V72" s="348" t="s">
        <v>38</v>
      </c>
      <c r="W72" s="348" t="s">
        <v>39</v>
      </c>
      <c r="X72" s="348" t="s">
        <v>40</v>
      </c>
      <c r="Y72" s="362" t="s">
        <v>41</v>
      </c>
      <c r="Z72" s="368" t="s">
        <v>126</v>
      </c>
      <c r="AA72" s="341" t="s">
        <v>127</v>
      </c>
      <c r="AB72" s="896"/>
      <c r="AC72" s="925" t="s">
        <v>212</v>
      </c>
      <c r="AD72" s="243">
        <f>MATCH(RIGHT(O70),TECH_OPT_ROWS_Cls1,0)</f>
        <v>2</v>
      </c>
    </row>
    <row r="73" spans="1:60" s="237" customFormat="1" ht="14.25" thickTop="1" thickBot="1" x14ac:dyDescent="0.25">
      <c r="A73" s="344" t="s">
        <v>128</v>
      </c>
      <c r="B73" s="349">
        <f t="array" ref="B73:L73">TRANSPOSE(Cls2CentTruckShr)</f>
        <v>0.14301387566993123</v>
      </c>
      <c r="C73" s="350">
        <v>0.15922037604799255</v>
      </c>
      <c r="D73" s="350">
        <v>2.9955708879143464E-2</v>
      </c>
      <c r="E73" s="350">
        <v>1.2051872071306563E-2</v>
      </c>
      <c r="F73" s="350">
        <v>2.5101991276529922E-3</v>
      </c>
      <c r="G73" s="350">
        <v>6.9082025480011917E-3</v>
      </c>
      <c r="H73" s="350">
        <v>0</v>
      </c>
      <c r="I73" s="350">
        <v>5.0829911580039175E-3</v>
      </c>
      <c r="J73" s="350">
        <v>4.1774531135091424E-3</v>
      </c>
      <c r="K73" s="350">
        <v>3.4985640210313297E-4</v>
      </c>
      <c r="L73" s="363">
        <v>0</v>
      </c>
      <c r="M73" s="1170"/>
      <c r="N73" s="1171"/>
      <c r="O73" s="349">
        <f t="array" ref="O73:Y73">TRANSPOSE(Cls2NCentTruckShr)</f>
        <v>0.32168658911174963</v>
      </c>
      <c r="P73" s="350">
        <v>0.22951996662284996</v>
      </c>
      <c r="Q73" s="350">
        <v>4.4589165182040112E-2</v>
      </c>
      <c r="R73" s="350">
        <v>2.5203556385104318E-2</v>
      </c>
      <c r="S73" s="350">
        <v>1.1662976711256823E-2</v>
      </c>
      <c r="T73" s="350">
        <v>4.0672109693550701E-3</v>
      </c>
      <c r="U73" s="350">
        <v>0</v>
      </c>
      <c r="V73" s="350">
        <v>0</v>
      </c>
      <c r="W73" s="350">
        <v>0</v>
      </c>
      <c r="X73" s="350">
        <v>0</v>
      </c>
      <c r="Y73" s="1172">
        <v>0</v>
      </c>
      <c r="Z73" s="369"/>
      <c r="AA73" s="345"/>
    </row>
    <row r="74" spans="1:60" s="237" customFormat="1" x14ac:dyDescent="0.2">
      <c r="A74" s="340" t="s">
        <v>129</v>
      </c>
      <c r="B74" s="886">
        <f t="array" ref="B74:L74">TRANSPOSE(Cls2CentVMTShr)</f>
        <v>6.2596304675174685E-2</v>
      </c>
      <c r="C74" s="887">
        <v>0.17123619514715344</v>
      </c>
      <c r="D74" s="887">
        <v>5.4462640341289378E-2</v>
      </c>
      <c r="E74" s="887">
        <v>3.0079969757749035E-2</v>
      </c>
      <c r="F74" s="887">
        <v>8.9582541075343674E-3</v>
      </c>
      <c r="G74" s="887">
        <v>2.7354452536373829E-2</v>
      </c>
      <c r="H74" s="887">
        <v>0</v>
      </c>
      <c r="I74" s="887">
        <v>2.7838813346236703E-2</v>
      </c>
      <c r="J74" s="887">
        <v>2.6638291118281053E-2</v>
      </c>
      <c r="K74" s="887">
        <v>2.6207591632366194E-3</v>
      </c>
      <c r="L74" s="1167">
        <v>0</v>
      </c>
      <c r="M74" s="1168"/>
      <c r="N74" s="1169"/>
      <c r="O74" s="886">
        <f t="array" ref="O74:Y74">TRANSPOSE(Cls2NCentVMTShr)</f>
        <v>0.1395246673448009</v>
      </c>
      <c r="P74" s="887">
        <v>0.24520988200363547</v>
      </c>
      <c r="Q74" s="887">
        <v>8.1490070736109921E-2</v>
      </c>
      <c r="R74" s="887">
        <v>6.583288215049983E-2</v>
      </c>
      <c r="S74" s="887">
        <v>4.0172226503060141E-2</v>
      </c>
      <c r="T74" s="887">
        <v>1.5984591068864695E-2</v>
      </c>
      <c r="U74" s="887">
        <v>0</v>
      </c>
      <c r="V74" s="887">
        <v>0</v>
      </c>
      <c r="W74" s="887">
        <v>0</v>
      </c>
      <c r="X74" s="887">
        <v>0</v>
      </c>
      <c r="Y74" s="888">
        <v>0</v>
      </c>
      <c r="Z74" s="1168"/>
      <c r="AA74" s="1169"/>
      <c r="AB74" s="1630" t="str">
        <f>"% of miles on f2 for Tech "&amp; RIGHT(O69)&amp;" adopters"</f>
        <v>% of miles on f2 for Tech  adopters</v>
      </c>
      <c r="AC74" s="1631"/>
      <c r="AD74" s="1632"/>
      <c r="AE74" s="1114" t="s">
        <v>243</v>
      </c>
      <c r="AF74" s="1114"/>
      <c r="AG74" s="1114"/>
      <c r="AH74" s="1115" t="s">
        <v>242</v>
      </c>
      <c r="AI74" s="1116"/>
    </row>
    <row r="75" spans="1:60" ht="13.5" thickBot="1" x14ac:dyDescent="0.25">
      <c r="A75" s="902" t="s">
        <v>210</v>
      </c>
      <c r="B75" s="893">
        <f t="array" ref="B75:L75">TRANSPOSE(Cls2CentVMT/OPDAYS_Cls2)</f>
        <v>47.272432262826776</v>
      </c>
      <c r="C75" s="894">
        <v>116.15404879045298</v>
      </c>
      <c r="D75" s="894">
        <v>196.36158066360434</v>
      </c>
      <c r="E75" s="894">
        <v>269.56301851798423</v>
      </c>
      <c r="F75" s="894">
        <v>385.43631601986891</v>
      </c>
      <c r="G75" s="894">
        <v>427.66173492444818</v>
      </c>
      <c r="H75" s="894">
        <v>520</v>
      </c>
      <c r="I75" s="894">
        <v>591.51912876803578</v>
      </c>
      <c r="J75" s="894">
        <v>688.70336552103913</v>
      </c>
      <c r="K75" s="894">
        <v>809.04879618738505</v>
      </c>
      <c r="L75" s="895">
        <v>800</v>
      </c>
      <c r="M75" s="891"/>
      <c r="N75" s="892"/>
      <c r="O75" s="893">
        <f t="array" ref="O75:Y75">TRANSPOSE(Cls2NCentVMT/OPDAYS_Cls2)</f>
        <v>46.84416138890699</v>
      </c>
      <c r="P75" s="894">
        <v>115.38648000770841</v>
      </c>
      <c r="Q75" s="894">
        <v>197.38438010908374</v>
      </c>
      <c r="R75" s="894">
        <v>282.10999329750342</v>
      </c>
      <c r="S75" s="894">
        <v>372.00940778680217</v>
      </c>
      <c r="T75" s="894">
        <v>424.46536474865826</v>
      </c>
      <c r="U75" s="894">
        <v>520</v>
      </c>
      <c r="V75" s="894">
        <v>600</v>
      </c>
      <c r="W75" s="894">
        <v>680</v>
      </c>
      <c r="X75" s="894">
        <v>760</v>
      </c>
      <c r="Y75" s="1173">
        <v>800</v>
      </c>
      <c r="Z75" s="903"/>
      <c r="AA75" s="892"/>
      <c r="AB75" s="915" t="s">
        <v>174</v>
      </c>
      <c r="AC75" s="916" t="s">
        <v>15</v>
      </c>
      <c r="AD75" s="917" t="s">
        <v>20</v>
      </c>
      <c r="AE75" s="897" t="s">
        <v>174</v>
      </c>
      <c r="AF75" s="897" t="s">
        <v>15</v>
      </c>
      <c r="AG75" s="897" t="s">
        <v>20</v>
      </c>
      <c r="AH75" s="1113" t="s">
        <v>174</v>
      </c>
      <c r="AI75" s="897" t="s">
        <v>15</v>
      </c>
      <c r="AJ75"/>
      <c r="AK75"/>
      <c r="AL75"/>
      <c r="AM75"/>
      <c r="AN75"/>
      <c r="AO75"/>
      <c r="AP75"/>
      <c r="AQ75"/>
      <c r="AR75"/>
      <c r="AS75"/>
      <c r="AT75"/>
      <c r="AU75"/>
    </row>
    <row r="76" spans="1:60" ht="13.5" thickTop="1" x14ac:dyDescent="0.2">
      <c r="A76" s="335">
        <v>2007</v>
      </c>
      <c r="B76" s="351">
        <v>0</v>
      </c>
      <c r="C76" s="352">
        <v>0</v>
      </c>
      <c r="D76" s="352">
        <v>0</v>
      </c>
      <c r="E76" s="352">
        <v>0</v>
      </c>
      <c r="F76" s="352">
        <v>0</v>
      </c>
      <c r="G76" s="352">
        <v>0</v>
      </c>
      <c r="H76" s="352">
        <v>0</v>
      </c>
      <c r="I76" s="352">
        <v>0</v>
      </c>
      <c r="J76" s="352">
        <v>0</v>
      </c>
      <c r="K76" s="352">
        <v>0</v>
      </c>
      <c r="L76" s="364">
        <v>0</v>
      </c>
      <c r="M76" s="291">
        <f>SUMPRODUCT($B$74:$L$74,$B76:$L76)</f>
        <v>0</v>
      </c>
      <c r="N76" s="293">
        <f>SUMPRODUCT($B$73:$L$73,$B76:$L76)</f>
        <v>0</v>
      </c>
      <c r="O76" s="351">
        <v>0</v>
      </c>
      <c r="P76" s="352">
        <v>0</v>
      </c>
      <c r="Q76" s="352">
        <v>0</v>
      </c>
      <c r="R76" s="352">
        <v>0</v>
      </c>
      <c r="S76" s="352">
        <v>0</v>
      </c>
      <c r="T76" s="352">
        <v>0</v>
      </c>
      <c r="U76" s="352">
        <v>0</v>
      </c>
      <c r="V76" s="352">
        <v>0</v>
      </c>
      <c r="W76" s="352">
        <v>0</v>
      </c>
      <c r="X76" s="352">
        <v>0</v>
      </c>
      <c r="Y76" s="364">
        <v>0</v>
      </c>
      <c r="Z76" s="291">
        <f>SUMPRODUCT($O$74:$Y$74,$O76:$Y76)</f>
        <v>0</v>
      </c>
      <c r="AA76" s="293">
        <f>SUMPRODUCT($O$73:$Y$73,$O76:$Y76)</f>
        <v>0</v>
      </c>
      <c r="AB76" s="91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1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920"/>
      <c r="AE76" s="897">
        <f t="shared" ref="AE76:AE90" si="80">SUMPRODUCT($B$74:$L$74,B76:L76)</f>
        <v>0</v>
      </c>
      <c r="AF76" s="897">
        <f t="shared" ref="AF76:AF90" si="81">SUMPRODUCT($O$74:$Y$74,O76:Y76)</f>
        <v>0</v>
      </c>
      <c r="AG76" s="897">
        <f t="shared" ref="AG76:AG90" si="82">SUM(AE76:AF76)</f>
        <v>0</v>
      </c>
      <c r="AH76" s="1113">
        <f>IF(AG76&gt;0,AE76/AG76,0)</f>
        <v>0</v>
      </c>
      <c r="AI76" s="897">
        <f>IF(AG76&gt;0,AF76/AG76,0)</f>
        <v>0</v>
      </c>
    </row>
    <row r="77" spans="1:60" x14ac:dyDescent="0.2">
      <c r="A77" s="336">
        <v>2008</v>
      </c>
      <c r="B77" s="353">
        <v>0</v>
      </c>
      <c r="C77" s="354">
        <v>0</v>
      </c>
      <c r="D77" s="354">
        <v>0</v>
      </c>
      <c r="E77" s="354">
        <v>0</v>
      </c>
      <c r="F77" s="354">
        <v>0</v>
      </c>
      <c r="G77" s="354">
        <v>0</v>
      </c>
      <c r="H77" s="354">
        <v>0</v>
      </c>
      <c r="I77" s="354">
        <v>0</v>
      </c>
      <c r="J77" s="354">
        <v>0</v>
      </c>
      <c r="K77" s="354">
        <v>0</v>
      </c>
      <c r="L77" s="365">
        <v>0</v>
      </c>
      <c r="M77" s="305">
        <f t="shared" ref="M77:M119" si="83">SUMPRODUCT($B$74:$L$74,$B77:$L77)</f>
        <v>0</v>
      </c>
      <c r="N77" s="307">
        <f t="shared" ref="N77:N118" si="84">SUMPRODUCT($B$73:$L$73,$B77:$L77)</f>
        <v>0</v>
      </c>
      <c r="O77" s="353">
        <v>0</v>
      </c>
      <c r="P77" s="354">
        <v>0</v>
      </c>
      <c r="Q77" s="354">
        <v>0</v>
      </c>
      <c r="R77" s="354">
        <v>0</v>
      </c>
      <c r="S77" s="354">
        <v>0</v>
      </c>
      <c r="T77" s="354">
        <v>0</v>
      </c>
      <c r="U77" s="354">
        <v>0</v>
      </c>
      <c r="V77" s="354">
        <v>0</v>
      </c>
      <c r="W77" s="354">
        <v>0</v>
      </c>
      <c r="X77" s="354">
        <v>0</v>
      </c>
      <c r="Y77" s="365">
        <v>0</v>
      </c>
      <c r="Z77" s="305">
        <f t="shared" ref="Z77:Z118" si="85">SUMPRODUCT($O$74:$Y$74,$O77:$Y77)</f>
        <v>0</v>
      </c>
      <c r="AA77" s="307">
        <f t="shared" ref="AA77:AA119" si="86">SUMPRODUCT($O$73:$Y$73,$O77:$Y77)</f>
        <v>0</v>
      </c>
      <c r="AB77" s="91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1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920"/>
      <c r="AE77" s="897">
        <f t="shared" si="80"/>
        <v>0</v>
      </c>
      <c r="AF77" s="897">
        <f t="shared" si="81"/>
        <v>0</v>
      </c>
      <c r="AG77" s="897">
        <f t="shared" si="82"/>
        <v>0</v>
      </c>
      <c r="AH77" s="1113">
        <f t="shared" ref="AH77:AH119" si="87">IF(AG77&gt;0,AE77/AG77,0)</f>
        <v>0</v>
      </c>
      <c r="AI77" s="897">
        <f t="shared" ref="AI77:AI119" si="88">IF(AG77&gt;0,AF77/AG77,0)</f>
        <v>0</v>
      </c>
    </row>
    <row r="78" spans="1:60" x14ac:dyDescent="0.2">
      <c r="A78" s="336">
        <v>2009</v>
      </c>
      <c r="B78" s="353">
        <v>0</v>
      </c>
      <c r="C78" s="354">
        <v>0</v>
      </c>
      <c r="D78" s="354">
        <v>0</v>
      </c>
      <c r="E78" s="354">
        <v>0</v>
      </c>
      <c r="F78" s="354">
        <v>0</v>
      </c>
      <c r="G78" s="354">
        <v>0</v>
      </c>
      <c r="H78" s="354">
        <v>0</v>
      </c>
      <c r="I78" s="354">
        <v>0</v>
      </c>
      <c r="J78" s="354">
        <v>0</v>
      </c>
      <c r="K78" s="354">
        <v>0</v>
      </c>
      <c r="L78" s="365">
        <v>0</v>
      </c>
      <c r="M78" s="305">
        <f t="shared" si="83"/>
        <v>0</v>
      </c>
      <c r="N78" s="307">
        <f t="shared" si="84"/>
        <v>0</v>
      </c>
      <c r="O78" s="353">
        <v>0</v>
      </c>
      <c r="P78" s="354">
        <v>0</v>
      </c>
      <c r="Q78" s="354">
        <v>0</v>
      </c>
      <c r="R78" s="354">
        <v>0</v>
      </c>
      <c r="S78" s="354">
        <v>0</v>
      </c>
      <c r="T78" s="354">
        <v>0</v>
      </c>
      <c r="U78" s="354">
        <v>0</v>
      </c>
      <c r="V78" s="354">
        <v>0</v>
      </c>
      <c r="W78" s="354">
        <v>0</v>
      </c>
      <c r="X78" s="354">
        <v>0</v>
      </c>
      <c r="Y78" s="365">
        <v>0</v>
      </c>
      <c r="Z78" s="305">
        <f t="shared" si="85"/>
        <v>0</v>
      </c>
      <c r="AA78" s="307">
        <f t="shared" si="86"/>
        <v>0</v>
      </c>
      <c r="AB78" s="91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1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920"/>
      <c r="AE78" s="897">
        <f t="shared" si="80"/>
        <v>0</v>
      </c>
      <c r="AF78" s="897">
        <f t="shared" si="81"/>
        <v>0</v>
      </c>
      <c r="AG78" s="897">
        <f t="shared" si="82"/>
        <v>0</v>
      </c>
      <c r="AH78" s="1113">
        <f t="shared" si="87"/>
        <v>0</v>
      </c>
      <c r="AI78" s="897">
        <f t="shared" si="88"/>
        <v>0</v>
      </c>
    </row>
    <row r="79" spans="1:60" ht="13.5" thickBot="1" x14ac:dyDescent="0.25">
      <c r="A79" s="337">
        <v>2010</v>
      </c>
      <c r="B79" s="355">
        <v>0</v>
      </c>
      <c r="C79" s="356">
        <v>0</v>
      </c>
      <c r="D79" s="356">
        <v>0</v>
      </c>
      <c r="E79" s="356">
        <v>0</v>
      </c>
      <c r="F79" s="356">
        <v>0</v>
      </c>
      <c r="G79" s="356">
        <v>0</v>
      </c>
      <c r="H79" s="356">
        <v>0</v>
      </c>
      <c r="I79" s="356">
        <v>0</v>
      </c>
      <c r="J79" s="356">
        <v>0</v>
      </c>
      <c r="K79" s="356">
        <v>0</v>
      </c>
      <c r="L79" s="366">
        <v>0</v>
      </c>
      <c r="M79" s="319">
        <f t="shared" si="83"/>
        <v>0</v>
      </c>
      <c r="N79" s="321">
        <f t="shared" si="84"/>
        <v>0</v>
      </c>
      <c r="O79" s="355">
        <v>0</v>
      </c>
      <c r="P79" s="356">
        <v>0</v>
      </c>
      <c r="Q79" s="356">
        <v>0</v>
      </c>
      <c r="R79" s="356">
        <v>0</v>
      </c>
      <c r="S79" s="356">
        <v>0</v>
      </c>
      <c r="T79" s="356">
        <v>0</v>
      </c>
      <c r="U79" s="356">
        <v>0</v>
      </c>
      <c r="V79" s="356">
        <v>0</v>
      </c>
      <c r="W79" s="356">
        <v>0</v>
      </c>
      <c r="X79" s="356">
        <v>0</v>
      </c>
      <c r="Y79" s="366">
        <v>0</v>
      </c>
      <c r="Z79" s="319">
        <f t="shared" si="85"/>
        <v>0</v>
      </c>
      <c r="AA79" s="321">
        <f t="shared" si="86"/>
        <v>0</v>
      </c>
      <c r="AB79" s="91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1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920"/>
      <c r="AE79" s="897">
        <f t="shared" si="80"/>
        <v>0</v>
      </c>
      <c r="AF79" s="897">
        <f t="shared" si="81"/>
        <v>0</v>
      </c>
      <c r="AG79" s="897">
        <f t="shared" si="82"/>
        <v>0</v>
      </c>
      <c r="AH79" s="1113">
        <f t="shared" si="87"/>
        <v>0</v>
      </c>
      <c r="AI79" s="897">
        <f t="shared" si="88"/>
        <v>0</v>
      </c>
    </row>
    <row r="80" spans="1:60" x14ac:dyDescent="0.2">
      <c r="A80" s="338">
        <v>2011</v>
      </c>
      <c r="B80" s="351">
        <v>0</v>
      </c>
      <c r="C80" s="352">
        <v>0</v>
      </c>
      <c r="D80" s="352">
        <v>0</v>
      </c>
      <c r="E80" s="352">
        <v>0</v>
      </c>
      <c r="F80" s="352">
        <v>0</v>
      </c>
      <c r="G80" s="352">
        <v>0</v>
      </c>
      <c r="H80" s="352">
        <v>0</v>
      </c>
      <c r="I80" s="352">
        <v>0</v>
      </c>
      <c r="J80" s="352">
        <v>0</v>
      </c>
      <c r="K80" s="352">
        <v>0</v>
      </c>
      <c r="L80" s="364">
        <v>0</v>
      </c>
      <c r="M80" s="291">
        <f t="shared" si="83"/>
        <v>0</v>
      </c>
      <c r="N80" s="293">
        <f t="shared" si="84"/>
        <v>0</v>
      </c>
      <c r="O80" s="351">
        <v>0</v>
      </c>
      <c r="P80" s="352">
        <v>0</v>
      </c>
      <c r="Q80" s="352">
        <v>0</v>
      </c>
      <c r="R80" s="352">
        <v>0</v>
      </c>
      <c r="S80" s="352">
        <v>0</v>
      </c>
      <c r="T80" s="352">
        <v>0</v>
      </c>
      <c r="U80" s="352">
        <v>0</v>
      </c>
      <c r="V80" s="352">
        <v>0</v>
      </c>
      <c r="W80" s="352">
        <v>0</v>
      </c>
      <c r="X80" s="352">
        <v>0</v>
      </c>
      <c r="Y80" s="364">
        <v>0</v>
      </c>
      <c r="Z80" s="291">
        <f t="shared" si="85"/>
        <v>0</v>
      </c>
      <c r="AA80" s="293">
        <f t="shared" si="86"/>
        <v>0</v>
      </c>
      <c r="AB80" s="91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1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920"/>
      <c r="AE80" s="897">
        <f t="shared" si="80"/>
        <v>0</v>
      </c>
      <c r="AF80" s="897">
        <f t="shared" si="81"/>
        <v>0</v>
      </c>
      <c r="AG80" s="897">
        <f t="shared" si="82"/>
        <v>0</v>
      </c>
      <c r="AH80" s="1113">
        <f t="shared" si="87"/>
        <v>0</v>
      </c>
      <c r="AI80" s="897">
        <f t="shared" si="88"/>
        <v>0</v>
      </c>
    </row>
    <row r="81" spans="1:35" x14ac:dyDescent="0.2">
      <c r="A81" s="339">
        <v>2012</v>
      </c>
      <c r="B81" s="353">
        <v>0</v>
      </c>
      <c r="C81" s="354">
        <v>0</v>
      </c>
      <c r="D81" s="354">
        <v>0</v>
      </c>
      <c r="E81" s="354">
        <v>0</v>
      </c>
      <c r="F81" s="354">
        <v>0</v>
      </c>
      <c r="G81" s="354">
        <v>0</v>
      </c>
      <c r="H81" s="354">
        <v>0</v>
      </c>
      <c r="I81" s="354">
        <v>0</v>
      </c>
      <c r="J81" s="354">
        <v>0</v>
      </c>
      <c r="K81" s="354">
        <v>0</v>
      </c>
      <c r="L81" s="365">
        <v>0</v>
      </c>
      <c r="M81" s="305">
        <f t="shared" si="83"/>
        <v>0</v>
      </c>
      <c r="N81" s="307">
        <f t="shared" si="84"/>
        <v>0</v>
      </c>
      <c r="O81" s="353">
        <v>0</v>
      </c>
      <c r="P81" s="354">
        <v>0</v>
      </c>
      <c r="Q81" s="354">
        <v>0</v>
      </c>
      <c r="R81" s="354">
        <v>0</v>
      </c>
      <c r="S81" s="354">
        <v>0</v>
      </c>
      <c r="T81" s="354">
        <v>0</v>
      </c>
      <c r="U81" s="354">
        <v>0</v>
      </c>
      <c r="V81" s="354">
        <v>0</v>
      </c>
      <c r="W81" s="354">
        <v>0</v>
      </c>
      <c r="X81" s="354">
        <v>0</v>
      </c>
      <c r="Y81" s="365">
        <v>0</v>
      </c>
      <c r="Z81" s="305">
        <f t="shared" si="85"/>
        <v>0</v>
      </c>
      <c r="AA81" s="307">
        <f t="shared" si="86"/>
        <v>0</v>
      </c>
      <c r="AB81" s="91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1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920"/>
      <c r="AE81" s="897">
        <f t="shared" si="80"/>
        <v>0</v>
      </c>
      <c r="AF81" s="897">
        <f t="shared" si="81"/>
        <v>0</v>
      </c>
      <c r="AG81" s="897">
        <f t="shared" si="82"/>
        <v>0</v>
      </c>
      <c r="AH81" s="1113">
        <f t="shared" si="87"/>
        <v>0</v>
      </c>
      <c r="AI81" s="897">
        <f t="shared" si="88"/>
        <v>0</v>
      </c>
    </row>
    <row r="82" spans="1:35" x14ac:dyDescent="0.2">
      <c r="A82" s="339">
        <v>2013</v>
      </c>
      <c r="B82" s="353">
        <v>0</v>
      </c>
      <c r="C82" s="354">
        <v>0</v>
      </c>
      <c r="D82" s="354">
        <v>0</v>
      </c>
      <c r="E82" s="354">
        <v>0</v>
      </c>
      <c r="F82" s="354">
        <v>0</v>
      </c>
      <c r="G82" s="354">
        <v>0</v>
      </c>
      <c r="H82" s="354">
        <v>0</v>
      </c>
      <c r="I82" s="354">
        <v>0</v>
      </c>
      <c r="J82" s="354">
        <v>0</v>
      </c>
      <c r="K82" s="354">
        <v>0</v>
      </c>
      <c r="L82" s="365">
        <v>0</v>
      </c>
      <c r="M82" s="305">
        <f t="shared" si="83"/>
        <v>0</v>
      </c>
      <c r="N82" s="307">
        <f t="shared" si="84"/>
        <v>0</v>
      </c>
      <c r="O82" s="353">
        <v>0</v>
      </c>
      <c r="P82" s="354">
        <v>0</v>
      </c>
      <c r="Q82" s="354">
        <v>0</v>
      </c>
      <c r="R82" s="354">
        <v>0</v>
      </c>
      <c r="S82" s="354">
        <v>0</v>
      </c>
      <c r="T82" s="354">
        <v>0</v>
      </c>
      <c r="U82" s="354">
        <v>0</v>
      </c>
      <c r="V82" s="354">
        <v>0</v>
      </c>
      <c r="W82" s="354">
        <v>0</v>
      </c>
      <c r="X82" s="354">
        <v>0</v>
      </c>
      <c r="Y82" s="365">
        <v>0</v>
      </c>
      <c r="Z82" s="305">
        <f t="shared" si="85"/>
        <v>0</v>
      </c>
      <c r="AA82" s="307">
        <f t="shared" si="86"/>
        <v>0</v>
      </c>
      <c r="AB82" s="91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1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920"/>
      <c r="AE82" s="897">
        <f t="shared" si="80"/>
        <v>0</v>
      </c>
      <c r="AF82" s="897">
        <f t="shared" si="81"/>
        <v>0</v>
      </c>
      <c r="AG82" s="897">
        <f t="shared" si="82"/>
        <v>0</v>
      </c>
      <c r="AH82" s="1113">
        <f t="shared" si="87"/>
        <v>0</v>
      </c>
      <c r="AI82" s="897">
        <f t="shared" si="88"/>
        <v>0</v>
      </c>
    </row>
    <row r="83" spans="1:35" x14ac:dyDescent="0.2">
      <c r="A83" s="339">
        <v>2014</v>
      </c>
      <c r="B83" s="353">
        <v>0</v>
      </c>
      <c r="C83" s="354">
        <v>0</v>
      </c>
      <c r="D83" s="354">
        <v>0</v>
      </c>
      <c r="E83" s="354">
        <v>0</v>
      </c>
      <c r="F83" s="354">
        <v>0</v>
      </c>
      <c r="G83" s="354">
        <v>0</v>
      </c>
      <c r="H83" s="354">
        <v>0</v>
      </c>
      <c r="I83" s="354">
        <v>0</v>
      </c>
      <c r="J83" s="354">
        <v>0</v>
      </c>
      <c r="K83" s="354">
        <v>0</v>
      </c>
      <c r="L83" s="365">
        <v>0</v>
      </c>
      <c r="M83" s="305">
        <f t="shared" si="83"/>
        <v>0</v>
      </c>
      <c r="N83" s="307">
        <f t="shared" si="84"/>
        <v>0</v>
      </c>
      <c r="O83" s="353">
        <v>0</v>
      </c>
      <c r="P83" s="354">
        <v>0</v>
      </c>
      <c r="Q83" s="354">
        <v>0</v>
      </c>
      <c r="R83" s="354">
        <v>0</v>
      </c>
      <c r="S83" s="354">
        <v>0</v>
      </c>
      <c r="T83" s="354">
        <v>0</v>
      </c>
      <c r="U83" s="354">
        <v>0</v>
      </c>
      <c r="V83" s="354">
        <v>0</v>
      </c>
      <c r="W83" s="354">
        <v>0</v>
      </c>
      <c r="X83" s="354">
        <v>0</v>
      </c>
      <c r="Y83" s="365">
        <v>0</v>
      </c>
      <c r="Z83" s="305">
        <f t="shared" si="85"/>
        <v>0</v>
      </c>
      <c r="AA83" s="307">
        <f t="shared" si="86"/>
        <v>0</v>
      </c>
      <c r="AB83" s="91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1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920"/>
      <c r="AE83" s="897">
        <f t="shared" si="80"/>
        <v>0</v>
      </c>
      <c r="AF83" s="897">
        <f t="shared" si="81"/>
        <v>0</v>
      </c>
      <c r="AG83" s="897">
        <f t="shared" si="82"/>
        <v>0</v>
      </c>
      <c r="AH83" s="1113">
        <f t="shared" si="87"/>
        <v>0</v>
      </c>
      <c r="AI83" s="897">
        <f t="shared" si="88"/>
        <v>0</v>
      </c>
    </row>
    <row r="84" spans="1:35" ht="13.5" thickBot="1" x14ac:dyDescent="0.25">
      <c r="A84" s="337">
        <v>2015</v>
      </c>
      <c r="B84" s="355">
        <v>0</v>
      </c>
      <c r="C84" s="356">
        <v>0</v>
      </c>
      <c r="D84" s="356">
        <v>0</v>
      </c>
      <c r="E84" s="356">
        <v>0</v>
      </c>
      <c r="F84" s="356">
        <v>0</v>
      </c>
      <c r="G84" s="356">
        <v>0</v>
      </c>
      <c r="H84" s="356">
        <v>0</v>
      </c>
      <c r="I84" s="356">
        <v>0</v>
      </c>
      <c r="J84" s="356">
        <v>0</v>
      </c>
      <c r="K84" s="356">
        <v>0</v>
      </c>
      <c r="L84" s="366">
        <v>0</v>
      </c>
      <c r="M84" s="319">
        <f t="shared" si="83"/>
        <v>0</v>
      </c>
      <c r="N84" s="321">
        <f t="shared" si="84"/>
        <v>0</v>
      </c>
      <c r="O84" s="355">
        <v>0</v>
      </c>
      <c r="P84" s="356">
        <v>0</v>
      </c>
      <c r="Q84" s="356">
        <v>0</v>
      </c>
      <c r="R84" s="356">
        <v>0</v>
      </c>
      <c r="S84" s="356">
        <v>0</v>
      </c>
      <c r="T84" s="356">
        <v>0</v>
      </c>
      <c r="U84" s="356">
        <v>0</v>
      </c>
      <c r="V84" s="356">
        <v>0</v>
      </c>
      <c r="W84" s="356">
        <v>0</v>
      </c>
      <c r="X84" s="356">
        <v>0</v>
      </c>
      <c r="Y84" s="366">
        <v>0</v>
      </c>
      <c r="Z84" s="319">
        <f t="shared" si="85"/>
        <v>0</v>
      </c>
      <c r="AA84" s="321">
        <f t="shared" si="86"/>
        <v>0</v>
      </c>
      <c r="AB84" s="91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1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920"/>
      <c r="AE84" s="897">
        <f t="shared" si="80"/>
        <v>0</v>
      </c>
      <c r="AF84" s="897">
        <f t="shared" si="81"/>
        <v>0</v>
      </c>
      <c r="AG84" s="897">
        <f t="shared" si="82"/>
        <v>0</v>
      </c>
      <c r="AH84" s="1113">
        <f t="shared" si="87"/>
        <v>0</v>
      </c>
      <c r="AI84" s="897">
        <f t="shared" si="88"/>
        <v>0</v>
      </c>
    </row>
    <row r="85" spans="1:35" x14ac:dyDescent="0.2">
      <c r="A85" s="338">
        <v>2016</v>
      </c>
      <c r="B85" s="351">
        <v>0</v>
      </c>
      <c r="C85" s="352">
        <v>0</v>
      </c>
      <c r="D85" s="352">
        <v>0</v>
      </c>
      <c r="E85" s="352">
        <v>0</v>
      </c>
      <c r="F85" s="352">
        <v>0</v>
      </c>
      <c r="G85" s="352">
        <v>0</v>
      </c>
      <c r="H85" s="352">
        <v>0</v>
      </c>
      <c r="I85" s="352">
        <v>0</v>
      </c>
      <c r="J85" s="352">
        <v>0</v>
      </c>
      <c r="K85" s="352">
        <v>0</v>
      </c>
      <c r="L85" s="364">
        <v>0</v>
      </c>
      <c r="M85" s="291">
        <f t="shared" si="83"/>
        <v>0</v>
      </c>
      <c r="N85" s="293">
        <f t="shared" si="84"/>
        <v>0</v>
      </c>
      <c r="O85" s="351">
        <v>0</v>
      </c>
      <c r="P85" s="352">
        <v>0</v>
      </c>
      <c r="Q85" s="352">
        <v>0</v>
      </c>
      <c r="R85" s="352">
        <v>0</v>
      </c>
      <c r="S85" s="352">
        <v>0</v>
      </c>
      <c r="T85" s="352">
        <v>0</v>
      </c>
      <c r="U85" s="352">
        <v>0</v>
      </c>
      <c r="V85" s="352">
        <v>0</v>
      </c>
      <c r="W85" s="352">
        <v>0</v>
      </c>
      <c r="X85" s="352">
        <v>0</v>
      </c>
      <c r="Y85" s="364">
        <v>0</v>
      </c>
      <c r="Z85" s="291">
        <f t="shared" si="85"/>
        <v>0</v>
      </c>
      <c r="AA85" s="293">
        <f t="shared" si="86"/>
        <v>0</v>
      </c>
      <c r="AB85" s="91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1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920"/>
      <c r="AE85" s="897">
        <f t="shared" si="80"/>
        <v>0</v>
      </c>
      <c r="AF85" s="897">
        <f t="shared" si="81"/>
        <v>0</v>
      </c>
      <c r="AG85" s="897">
        <f t="shared" si="82"/>
        <v>0</v>
      </c>
      <c r="AH85" s="1113">
        <f t="shared" si="87"/>
        <v>0</v>
      </c>
      <c r="AI85" s="897">
        <f t="shared" si="88"/>
        <v>0</v>
      </c>
    </row>
    <row r="86" spans="1:35" x14ac:dyDescent="0.2">
      <c r="A86" s="339">
        <v>2017</v>
      </c>
      <c r="B86" s="353">
        <v>0</v>
      </c>
      <c r="C86" s="354">
        <v>0</v>
      </c>
      <c r="D86" s="354">
        <v>0</v>
      </c>
      <c r="E86" s="354">
        <v>0</v>
      </c>
      <c r="F86" s="354">
        <v>0</v>
      </c>
      <c r="G86" s="354">
        <v>0</v>
      </c>
      <c r="H86" s="354">
        <v>0</v>
      </c>
      <c r="I86" s="354">
        <v>0</v>
      </c>
      <c r="J86" s="354">
        <v>0</v>
      </c>
      <c r="K86" s="354">
        <v>0</v>
      </c>
      <c r="L86" s="365">
        <v>0</v>
      </c>
      <c r="M86" s="305">
        <f t="shared" si="83"/>
        <v>0</v>
      </c>
      <c r="N86" s="307">
        <f t="shared" si="84"/>
        <v>0</v>
      </c>
      <c r="O86" s="353">
        <v>0</v>
      </c>
      <c r="P86" s="354">
        <v>0</v>
      </c>
      <c r="Q86" s="354">
        <v>0</v>
      </c>
      <c r="R86" s="354">
        <v>0</v>
      </c>
      <c r="S86" s="354">
        <v>0</v>
      </c>
      <c r="T86" s="354">
        <v>0</v>
      </c>
      <c r="U86" s="354">
        <v>0</v>
      </c>
      <c r="V86" s="354">
        <v>0</v>
      </c>
      <c r="W86" s="354">
        <v>0</v>
      </c>
      <c r="X86" s="354">
        <v>0</v>
      </c>
      <c r="Y86" s="365">
        <v>0</v>
      </c>
      <c r="Z86" s="305">
        <f t="shared" si="85"/>
        <v>0</v>
      </c>
      <c r="AA86" s="307">
        <f t="shared" si="86"/>
        <v>0</v>
      </c>
      <c r="AB86" s="91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1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920"/>
      <c r="AE86" s="897">
        <f t="shared" si="80"/>
        <v>0</v>
      </c>
      <c r="AF86" s="897">
        <f t="shared" si="81"/>
        <v>0</v>
      </c>
      <c r="AG86" s="897">
        <f t="shared" si="82"/>
        <v>0</v>
      </c>
      <c r="AH86" s="1113">
        <f t="shared" si="87"/>
        <v>0</v>
      </c>
      <c r="AI86" s="897">
        <f t="shared" si="88"/>
        <v>0</v>
      </c>
    </row>
    <row r="87" spans="1:35" x14ac:dyDescent="0.2">
      <c r="A87" s="339">
        <v>2018</v>
      </c>
      <c r="B87" s="353">
        <v>0</v>
      </c>
      <c r="C87" s="354">
        <v>0</v>
      </c>
      <c r="D87" s="354">
        <v>0</v>
      </c>
      <c r="E87" s="354">
        <v>0</v>
      </c>
      <c r="F87" s="354">
        <v>0</v>
      </c>
      <c r="G87" s="354">
        <v>0</v>
      </c>
      <c r="H87" s="354">
        <v>0</v>
      </c>
      <c r="I87" s="354">
        <v>0</v>
      </c>
      <c r="J87" s="354">
        <v>0</v>
      </c>
      <c r="K87" s="354">
        <v>0</v>
      </c>
      <c r="L87" s="365">
        <v>0</v>
      </c>
      <c r="M87" s="305">
        <f t="shared" si="83"/>
        <v>0</v>
      </c>
      <c r="N87" s="307">
        <f t="shared" si="84"/>
        <v>0</v>
      </c>
      <c r="O87" s="353">
        <v>0</v>
      </c>
      <c r="P87" s="354">
        <v>0</v>
      </c>
      <c r="Q87" s="354">
        <v>0</v>
      </c>
      <c r="R87" s="354">
        <v>0</v>
      </c>
      <c r="S87" s="354">
        <v>0</v>
      </c>
      <c r="T87" s="354">
        <v>0</v>
      </c>
      <c r="U87" s="354">
        <v>0</v>
      </c>
      <c r="V87" s="354">
        <v>0</v>
      </c>
      <c r="W87" s="354">
        <v>0</v>
      </c>
      <c r="X87" s="354">
        <v>0</v>
      </c>
      <c r="Y87" s="365">
        <v>0</v>
      </c>
      <c r="Z87" s="305">
        <f t="shared" si="85"/>
        <v>0</v>
      </c>
      <c r="AA87" s="307">
        <f t="shared" si="86"/>
        <v>0</v>
      </c>
      <c r="AB87" s="91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1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920"/>
      <c r="AE87" s="897">
        <f t="shared" si="80"/>
        <v>0</v>
      </c>
      <c r="AF87" s="897">
        <f t="shared" si="81"/>
        <v>0</v>
      </c>
      <c r="AG87" s="897">
        <f t="shared" si="82"/>
        <v>0</v>
      </c>
      <c r="AH87" s="1113">
        <f t="shared" si="87"/>
        <v>0</v>
      </c>
      <c r="AI87" s="897">
        <f t="shared" si="88"/>
        <v>0</v>
      </c>
    </row>
    <row r="88" spans="1:35" x14ac:dyDescent="0.2">
      <c r="A88" s="339">
        <v>2019</v>
      </c>
      <c r="B88" s="353">
        <v>0</v>
      </c>
      <c r="C88" s="354">
        <v>0</v>
      </c>
      <c r="D88" s="354">
        <v>0</v>
      </c>
      <c r="E88" s="354">
        <v>0</v>
      </c>
      <c r="F88" s="354">
        <v>0</v>
      </c>
      <c r="G88" s="354">
        <v>0</v>
      </c>
      <c r="H88" s="354">
        <v>0</v>
      </c>
      <c r="I88" s="354">
        <v>0</v>
      </c>
      <c r="J88" s="354">
        <v>0</v>
      </c>
      <c r="K88" s="354">
        <v>0</v>
      </c>
      <c r="L88" s="365">
        <v>0</v>
      </c>
      <c r="M88" s="305">
        <f t="shared" si="83"/>
        <v>0</v>
      </c>
      <c r="N88" s="307">
        <f t="shared" si="84"/>
        <v>0</v>
      </c>
      <c r="O88" s="353">
        <v>0</v>
      </c>
      <c r="P88" s="354">
        <v>0</v>
      </c>
      <c r="Q88" s="354">
        <v>0</v>
      </c>
      <c r="R88" s="354">
        <v>0</v>
      </c>
      <c r="S88" s="354">
        <v>0</v>
      </c>
      <c r="T88" s="354">
        <v>0</v>
      </c>
      <c r="U88" s="354">
        <v>0</v>
      </c>
      <c r="V88" s="354">
        <v>0</v>
      </c>
      <c r="W88" s="354">
        <v>0</v>
      </c>
      <c r="X88" s="354">
        <v>0</v>
      </c>
      <c r="Y88" s="365">
        <v>0</v>
      </c>
      <c r="Z88" s="305">
        <f t="shared" si="85"/>
        <v>0</v>
      </c>
      <c r="AA88" s="307">
        <f t="shared" si="86"/>
        <v>0</v>
      </c>
      <c r="AB88" s="91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1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920"/>
      <c r="AE88" s="897">
        <f t="shared" si="80"/>
        <v>0</v>
      </c>
      <c r="AF88" s="897">
        <f t="shared" si="81"/>
        <v>0</v>
      </c>
      <c r="AG88" s="897">
        <f t="shared" si="82"/>
        <v>0</v>
      </c>
      <c r="AH88" s="1113">
        <f t="shared" si="87"/>
        <v>0</v>
      </c>
      <c r="AI88" s="897">
        <f t="shared" si="88"/>
        <v>0</v>
      </c>
    </row>
    <row r="89" spans="1:35" ht="13.5" thickBot="1" x14ac:dyDescent="0.25">
      <c r="A89" s="337">
        <v>2020</v>
      </c>
      <c r="B89" s="355">
        <v>0</v>
      </c>
      <c r="C89" s="356">
        <v>0</v>
      </c>
      <c r="D89" s="356">
        <v>0</v>
      </c>
      <c r="E89" s="356">
        <v>0</v>
      </c>
      <c r="F89" s="356">
        <v>0</v>
      </c>
      <c r="G89" s="356">
        <v>0</v>
      </c>
      <c r="H89" s="356">
        <v>0</v>
      </c>
      <c r="I89" s="356">
        <v>0</v>
      </c>
      <c r="J89" s="356">
        <v>0</v>
      </c>
      <c r="K89" s="356">
        <v>0</v>
      </c>
      <c r="L89" s="366">
        <v>0</v>
      </c>
      <c r="M89" s="319">
        <f t="shared" si="83"/>
        <v>0</v>
      </c>
      <c r="N89" s="321">
        <f t="shared" si="84"/>
        <v>0</v>
      </c>
      <c r="O89" s="355">
        <v>0</v>
      </c>
      <c r="P89" s="356">
        <v>0</v>
      </c>
      <c r="Q89" s="356">
        <v>0</v>
      </c>
      <c r="R89" s="356">
        <v>0</v>
      </c>
      <c r="S89" s="356">
        <v>0</v>
      </c>
      <c r="T89" s="356">
        <v>0</v>
      </c>
      <c r="U89" s="356">
        <v>0</v>
      </c>
      <c r="V89" s="356">
        <v>0</v>
      </c>
      <c r="W89" s="356">
        <v>0</v>
      </c>
      <c r="X89" s="356">
        <v>0</v>
      </c>
      <c r="Y89" s="366">
        <v>0</v>
      </c>
      <c r="Z89" s="319">
        <f t="shared" si="85"/>
        <v>0</v>
      </c>
      <c r="AA89" s="321">
        <f t="shared" si="86"/>
        <v>0</v>
      </c>
      <c r="AB89" s="91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1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920"/>
      <c r="AE89" s="897">
        <f t="shared" si="80"/>
        <v>0</v>
      </c>
      <c r="AF89" s="897">
        <f t="shared" si="81"/>
        <v>0</v>
      </c>
      <c r="AG89" s="897">
        <f t="shared" si="82"/>
        <v>0</v>
      </c>
      <c r="AH89" s="1113">
        <f t="shared" si="87"/>
        <v>0</v>
      </c>
      <c r="AI89" s="897">
        <f t="shared" si="88"/>
        <v>0</v>
      </c>
    </row>
    <row r="90" spans="1:35" x14ac:dyDescent="0.2">
      <c r="A90" s="338">
        <v>2021</v>
      </c>
      <c r="B90" s="351">
        <v>0</v>
      </c>
      <c r="C90" s="352">
        <v>0</v>
      </c>
      <c r="D90" s="352">
        <v>0</v>
      </c>
      <c r="E90" s="352">
        <v>0</v>
      </c>
      <c r="F90" s="352">
        <v>0</v>
      </c>
      <c r="G90" s="352">
        <v>0</v>
      </c>
      <c r="H90" s="352">
        <v>0</v>
      </c>
      <c r="I90" s="352">
        <v>0</v>
      </c>
      <c r="J90" s="352">
        <v>0</v>
      </c>
      <c r="K90" s="352">
        <v>0</v>
      </c>
      <c r="L90" s="364">
        <v>0</v>
      </c>
      <c r="M90" s="291">
        <f t="shared" si="83"/>
        <v>0</v>
      </c>
      <c r="N90" s="293">
        <f t="shared" si="84"/>
        <v>0</v>
      </c>
      <c r="O90" s="351">
        <v>0</v>
      </c>
      <c r="P90" s="352">
        <v>0</v>
      </c>
      <c r="Q90" s="352">
        <v>0</v>
      </c>
      <c r="R90" s="352">
        <v>0</v>
      </c>
      <c r="S90" s="352">
        <v>0</v>
      </c>
      <c r="T90" s="352">
        <v>0</v>
      </c>
      <c r="U90" s="352">
        <v>0</v>
      </c>
      <c r="V90" s="352">
        <v>0</v>
      </c>
      <c r="W90" s="352">
        <v>0</v>
      </c>
      <c r="X90" s="352">
        <v>0</v>
      </c>
      <c r="Y90" s="364">
        <v>0</v>
      </c>
      <c r="Z90" s="291">
        <f t="shared" si="85"/>
        <v>0</v>
      </c>
      <c r="AA90" s="293">
        <f t="shared" si="86"/>
        <v>0</v>
      </c>
      <c r="AB90" s="91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1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920"/>
      <c r="AE90" s="897">
        <f t="shared" si="80"/>
        <v>0</v>
      </c>
      <c r="AF90" s="897">
        <f t="shared" si="81"/>
        <v>0</v>
      </c>
      <c r="AG90" s="897">
        <f t="shared" si="82"/>
        <v>0</v>
      </c>
      <c r="AH90" s="1113">
        <f t="shared" si="87"/>
        <v>0</v>
      </c>
      <c r="AI90" s="897">
        <f t="shared" si="88"/>
        <v>0</v>
      </c>
    </row>
    <row r="91" spans="1:35" x14ac:dyDescent="0.2">
      <c r="A91" s="339">
        <v>2022</v>
      </c>
      <c r="B91" s="353">
        <v>0</v>
      </c>
      <c r="C91" s="354">
        <v>0</v>
      </c>
      <c r="D91" s="354">
        <v>0</v>
      </c>
      <c r="E91" s="354">
        <v>0</v>
      </c>
      <c r="F91" s="354">
        <v>0</v>
      </c>
      <c r="G91" s="354">
        <v>0</v>
      </c>
      <c r="H91" s="354">
        <v>0</v>
      </c>
      <c r="I91" s="354">
        <v>0</v>
      </c>
      <c r="J91" s="354">
        <v>0</v>
      </c>
      <c r="K91" s="354">
        <v>0</v>
      </c>
      <c r="L91" s="365">
        <v>0</v>
      </c>
      <c r="M91" s="305">
        <f t="shared" si="83"/>
        <v>0</v>
      </c>
      <c r="N91" s="307">
        <f t="shared" si="84"/>
        <v>0</v>
      </c>
      <c r="O91" s="353">
        <v>0</v>
      </c>
      <c r="P91" s="354">
        <v>0</v>
      </c>
      <c r="Q91" s="354">
        <v>0</v>
      </c>
      <c r="R91" s="354">
        <v>0</v>
      </c>
      <c r="S91" s="354">
        <v>0</v>
      </c>
      <c r="T91" s="354">
        <v>0</v>
      </c>
      <c r="U91" s="354">
        <v>0</v>
      </c>
      <c r="V91" s="354">
        <v>0</v>
      </c>
      <c r="W91" s="354">
        <v>0</v>
      </c>
      <c r="X91" s="354">
        <v>0</v>
      </c>
      <c r="Y91" s="365">
        <v>0</v>
      </c>
      <c r="Z91" s="305">
        <f t="shared" si="85"/>
        <v>0</v>
      </c>
      <c r="AA91" s="307">
        <f t="shared" si="86"/>
        <v>0</v>
      </c>
      <c r="AB91" s="91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1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920"/>
      <c r="AE91" s="897">
        <f>SUMPRODUCT($B$74:$L$74,B91:L91)</f>
        <v>0</v>
      </c>
      <c r="AF91" s="897">
        <f>SUMPRODUCT($O$74:$Y$74,O91:Y91)</f>
        <v>0</v>
      </c>
      <c r="AG91" s="897">
        <f>SUM(AE91:AF91)</f>
        <v>0</v>
      </c>
      <c r="AH91" s="1113">
        <f t="shared" si="87"/>
        <v>0</v>
      </c>
      <c r="AI91" s="897">
        <f t="shared" si="88"/>
        <v>0</v>
      </c>
    </row>
    <row r="92" spans="1:35" x14ac:dyDescent="0.2">
      <c r="A92" s="339">
        <v>2023</v>
      </c>
      <c r="B92" s="353">
        <v>0</v>
      </c>
      <c r="C92" s="354">
        <v>0</v>
      </c>
      <c r="D92" s="354">
        <v>0</v>
      </c>
      <c r="E92" s="354">
        <v>0</v>
      </c>
      <c r="F92" s="354">
        <v>0</v>
      </c>
      <c r="G92" s="354">
        <v>0</v>
      </c>
      <c r="H92" s="354">
        <v>0</v>
      </c>
      <c r="I92" s="354">
        <v>0</v>
      </c>
      <c r="J92" s="354">
        <v>0</v>
      </c>
      <c r="K92" s="354">
        <v>0</v>
      </c>
      <c r="L92" s="365">
        <v>0</v>
      </c>
      <c r="M92" s="305">
        <f t="shared" si="83"/>
        <v>0</v>
      </c>
      <c r="N92" s="307">
        <f t="shared" si="84"/>
        <v>0</v>
      </c>
      <c r="O92" s="353">
        <v>0</v>
      </c>
      <c r="P92" s="354">
        <v>0</v>
      </c>
      <c r="Q92" s="354">
        <v>0</v>
      </c>
      <c r="R92" s="354">
        <v>0</v>
      </c>
      <c r="S92" s="354">
        <v>0</v>
      </c>
      <c r="T92" s="354">
        <v>0</v>
      </c>
      <c r="U92" s="354">
        <v>0</v>
      </c>
      <c r="V92" s="354">
        <v>0</v>
      </c>
      <c r="W92" s="354">
        <v>0</v>
      </c>
      <c r="X92" s="354">
        <v>0</v>
      </c>
      <c r="Y92" s="365">
        <v>0</v>
      </c>
      <c r="Z92" s="305">
        <f t="shared" si="85"/>
        <v>0</v>
      </c>
      <c r="AA92" s="307">
        <f t="shared" si="86"/>
        <v>0</v>
      </c>
      <c r="AB92" s="91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1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920"/>
      <c r="AE92" s="897">
        <f t="shared" ref="AE92:AE119" si="89">SUMPRODUCT($B$74:$L$74,B92:L92)</f>
        <v>0</v>
      </c>
      <c r="AF92" s="897">
        <f t="shared" ref="AF92:AF119" si="90">SUMPRODUCT($O$74:$Y$74,O92:Y92)</f>
        <v>0</v>
      </c>
      <c r="AG92" s="897">
        <f t="shared" ref="AG92:AG119" si="91">SUM(AE92:AF92)</f>
        <v>0</v>
      </c>
      <c r="AH92" s="1113">
        <f t="shared" si="87"/>
        <v>0</v>
      </c>
      <c r="AI92" s="897">
        <f t="shared" si="88"/>
        <v>0</v>
      </c>
    </row>
    <row r="93" spans="1:35" x14ac:dyDescent="0.2">
      <c r="A93" s="339">
        <v>2024</v>
      </c>
      <c r="B93" s="353">
        <v>0</v>
      </c>
      <c r="C93" s="354">
        <v>0</v>
      </c>
      <c r="D93" s="354">
        <v>0</v>
      </c>
      <c r="E93" s="354">
        <v>0</v>
      </c>
      <c r="F93" s="354">
        <v>0</v>
      </c>
      <c r="G93" s="354">
        <v>0</v>
      </c>
      <c r="H93" s="354">
        <v>0</v>
      </c>
      <c r="I93" s="354">
        <v>0</v>
      </c>
      <c r="J93" s="354">
        <v>0</v>
      </c>
      <c r="K93" s="354">
        <v>0</v>
      </c>
      <c r="L93" s="365">
        <v>0</v>
      </c>
      <c r="M93" s="305">
        <f t="shared" si="83"/>
        <v>0</v>
      </c>
      <c r="N93" s="307">
        <f t="shared" si="84"/>
        <v>0</v>
      </c>
      <c r="O93" s="353">
        <v>0</v>
      </c>
      <c r="P93" s="354">
        <v>0</v>
      </c>
      <c r="Q93" s="354">
        <v>0</v>
      </c>
      <c r="R93" s="354">
        <v>0</v>
      </c>
      <c r="S93" s="354">
        <v>0</v>
      </c>
      <c r="T93" s="354">
        <v>0</v>
      </c>
      <c r="U93" s="354">
        <v>0</v>
      </c>
      <c r="V93" s="354">
        <v>0</v>
      </c>
      <c r="W93" s="354">
        <v>0</v>
      </c>
      <c r="X93" s="354">
        <v>0</v>
      </c>
      <c r="Y93" s="365">
        <v>0</v>
      </c>
      <c r="Z93" s="305">
        <f t="shared" si="85"/>
        <v>0</v>
      </c>
      <c r="AA93" s="307">
        <f t="shared" si="86"/>
        <v>0</v>
      </c>
      <c r="AB93" s="91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1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920"/>
      <c r="AE93" s="897">
        <f t="shared" si="89"/>
        <v>0</v>
      </c>
      <c r="AF93" s="897">
        <f t="shared" si="90"/>
        <v>0</v>
      </c>
      <c r="AG93" s="897">
        <f t="shared" si="91"/>
        <v>0</v>
      </c>
      <c r="AH93" s="1113">
        <f t="shared" si="87"/>
        <v>0</v>
      </c>
      <c r="AI93" s="897">
        <f t="shared" si="88"/>
        <v>0</v>
      </c>
    </row>
    <row r="94" spans="1:35" ht="13.5" thickBot="1" x14ac:dyDescent="0.25">
      <c r="A94" s="337">
        <v>2025</v>
      </c>
      <c r="B94" s="355">
        <v>0</v>
      </c>
      <c r="C94" s="356">
        <v>0</v>
      </c>
      <c r="D94" s="356">
        <v>0</v>
      </c>
      <c r="E94" s="356">
        <v>0</v>
      </c>
      <c r="F94" s="356">
        <v>0</v>
      </c>
      <c r="G94" s="356">
        <v>0</v>
      </c>
      <c r="H94" s="356">
        <v>0</v>
      </c>
      <c r="I94" s="356">
        <v>0</v>
      </c>
      <c r="J94" s="356">
        <v>0</v>
      </c>
      <c r="K94" s="356">
        <v>0</v>
      </c>
      <c r="L94" s="366">
        <v>0</v>
      </c>
      <c r="M94" s="319">
        <f t="shared" si="83"/>
        <v>0</v>
      </c>
      <c r="N94" s="321">
        <f t="shared" si="84"/>
        <v>0</v>
      </c>
      <c r="O94" s="355">
        <v>0</v>
      </c>
      <c r="P94" s="356">
        <v>0</v>
      </c>
      <c r="Q94" s="356">
        <v>0</v>
      </c>
      <c r="R94" s="356">
        <v>0</v>
      </c>
      <c r="S94" s="356">
        <v>0</v>
      </c>
      <c r="T94" s="356">
        <v>0</v>
      </c>
      <c r="U94" s="356">
        <v>0</v>
      </c>
      <c r="V94" s="356">
        <v>0</v>
      </c>
      <c r="W94" s="356">
        <v>0</v>
      </c>
      <c r="X94" s="356">
        <v>0</v>
      </c>
      <c r="Y94" s="366">
        <v>0</v>
      </c>
      <c r="Z94" s="319">
        <f t="shared" si="85"/>
        <v>0</v>
      </c>
      <c r="AA94" s="321">
        <f t="shared" si="86"/>
        <v>0</v>
      </c>
      <c r="AB94" s="91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1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920"/>
      <c r="AE94" s="897">
        <f t="shared" si="89"/>
        <v>0</v>
      </c>
      <c r="AF94" s="897">
        <f t="shared" si="90"/>
        <v>0</v>
      </c>
      <c r="AG94" s="897">
        <f t="shared" si="91"/>
        <v>0</v>
      </c>
      <c r="AH94" s="1113">
        <f t="shared" si="87"/>
        <v>0</v>
      </c>
      <c r="AI94" s="897">
        <f t="shared" si="88"/>
        <v>0</v>
      </c>
    </row>
    <row r="95" spans="1:35" x14ac:dyDescent="0.2">
      <c r="A95" s="338">
        <v>2026</v>
      </c>
      <c r="B95" s="351">
        <v>5.8845775762108424E-5</v>
      </c>
      <c r="C95" s="352">
        <v>1.9238731902131462E-2</v>
      </c>
      <c r="D95" s="352">
        <v>2.6189040030680115E-2</v>
      </c>
      <c r="E95" s="352">
        <v>2.6180340685838802E-2</v>
      </c>
      <c r="F95" s="352">
        <v>2.5246375244836108E-2</v>
      </c>
      <c r="G95" s="352">
        <v>2.4890147898823812E-2</v>
      </c>
      <c r="H95" s="352">
        <v>0</v>
      </c>
      <c r="I95" s="352">
        <v>2.4299622612246025E-2</v>
      </c>
      <c r="J95" s="352">
        <v>2.4102376489707047E-2</v>
      </c>
      <c r="K95" s="352">
        <v>2.3888248952981486E-2</v>
      </c>
      <c r="L95" s="364">
        <v>0</v>
      </c>
      <c r="M95" s="291">
        <f t="shared" si="83"/>
        <v>7.8000228438956116E-3</v>
      </c>
      <c r="N95" s="293">
        <f t="shared" si="84"/>
        <v>4.6395256499874426E-3</v>
      </c>
      <c r="O95" s="351">
        <v>1.1639008935381713E-4</v>
      </c>
      <c r="P95" s="352">
        <v>2.0149162227844877E-2</v>
      </c>
      <c r="Q95" s="352">
        <v>2.5586310621985322E-2</v>
      </c>
      <c r="R95" s="352">
        <v>2.5897026598848731E-2</v>
      </c>
      <c r="S95" s="352">
        <v>2.5246375244836108E-2</v>
      </c>
      <c r="T95" s="352">
        <v>2.4890147898823812E-2</v>
      </c>
      <c r="U95" s="352">
        <v>0</v>
      </c>
      <c r="V95" s="352">
        <v>0</v>
      </c>
      <c r="W95" s="352">
        <v>0</v>
      </c>
      <c r="X95" s="352">
        <v>0</v>
      </c>
      <c r="Y95" s="364">
        <v>0</v>
      </c>
      <c r="Z95" s="291">
        <f t="shared" si="85"/>
        <v>1.0158981083976372E-2</v>
      </c>
      <c r="AA95" s="293">
        <f t="shared" si="86"/>
        <v>6.8513269427644486E-3</v>
      </c>
      <c r="AB95" s="91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1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920"/>
      <c r="AE95" s="897">
        <f t="shared" si="89"/>
        <v>7.8000228438956116E-3</v>
      </c>
      <c r="AF95" s="897">
        <f t="shared" si="90"/>
        <v>1.0158981083976372E-2</v>
      </c>
      <c r="AG95" s="897">
        <f t="shared" si="91"/>
        <v>1.7959003927871982E-2</v>
      </c>
      <c r="AH95" s="1113">
        <f t="shared" si="87"/>
        <v>0.43432380076437016</v>
      </c>
      <c r="AI95" s="897">
        <f t="shared" si="88"/>
        <v>0.56567619923562995</v>
      </c>
    </row>
    <row r="96" spans="1:35" x14ac:dyDescent="0.2">
      <c r="A96" s="339">
        <v>2027</v>
      </c>
      <c r="B96" s="353">
        <v>0</v>
      </c>
      <c r="C96" s="354">
        <v>2.9976463041310245E-2</v>
      </c>
      <c r="D96" s="354">
        <v>5.144345668065127E-2</v>
      </c>
      <c r="E96" s="354">
        <v>5.880142118494721E-2</v>
      </c>
      <c r="F96" s="354">
        <v>6.1333774972125707E-2</v>
      </c>
      <c r="G96" s="354">
        <v>6.0565763688994211E-2</v>
      </c>
      <c r="H96" s="354">
        <v>0</v>
      </c>
      <c r="I96" s="354">
        <v>6.035246627030097E-2</v>
      </c>
      <c r="J96" s="354">
        <v>5.9647096396834159E-2</v>
      </c>
      <c r="K96" s="354">
        <v>5.8861700524905941E-2</v>
      </c>
      <c r="L96" s="365">
        <v>0</v>
      </c>
      <c r="M96" s="305">
        <f t="shared" si="83"/>
        <v>1.5333033877641915E-2</v>
      </c>
      <c r="N96" s="307">
        <f t="shared" si="84"/>
        <v>8.171453831026949E-3</v>
      </c>
      <c r="O96" s="353">
        <v>0</v>
      </c>
      <c r="P96" s="354">
        <v>3.1460319875048978E-2</v>
      </c>
      <c r="Q96" s="354">
        <v>5.2058333029253001E-2</v>
      </c>
      <c r="R96" s="354">
        <v>5.9958039186454787E-2</v>
      </c>
      <c r="S96" s="354">
        <v>6.1333774972125707E-2</v>
      </c>
      <c r="T96" s="354">
        <v>6.0990973113060752E-2</v>
      </c>
      <c r="U96" s="354">
        <v>0</v>
      </c>
      <c r="V96" s="354">
        <v>0</v>
      </c>
      <c r="W96" s="354">
        <v>0</v>
      </c>
      <c r="X96" s="354">
        <v>0</v>
      </c>
      <c r="Y96" s="365">
        <v>0</v>
      </c>
      <c r="Z96" s="305">
        <f t="shared" si="85"/>
        <v>1.934265915762446E-2</v>
      </c>
      <c r="AA96" s="307">
        <f t="shared" si="86"/>
        <v>1.2016562543574999E-2</v>
      </c>
      <c r="AB96" s="91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1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920"/>
      <c r="AE96" s="897">
        <f t="shared" si="89"/>
        <v>1.5333033877641915E-2</v>
      </c>
      <c r="AF96" s="897">
        <f t="shared" si="90"/>
        <v>1.934265915762446E-2</v>
      </c>
      <c r="AG96" s="897">
        <f t="shared" si="91"/>
        <v>3.4675693035266374E-2</v>
      </c>
      <c r="AH96" s="1113">
        <f t="shared" si="87"/>
        <v>0.44218392007472473</v>
      </c>
      <c r="AI96" s="897">
        <f t="shared" si="88"/>
        <v>0.55781607992527527</v>
      </c>
    </row>
    <row r="97" spans="1:35" x14ac:dyDescent="0.2">
      <c r="A97" s="339">
        <v>2028</v>
      </c>
      <c r="B97" s="353">
        <v>2.7142222857281188E-3</v>
      </c>
      <c r="C97" s="354">
        <v>0.12484160935761159</v>
      </c>
      <c r="D97" s="354">
        <v>0.1471701716950343</v>
      </c>
      <c r="E97" s="354">
        <v>0.14123718688488002</v>
      </c>
      <c r="F97" s="354">
        <v>0.13908248531831721</v>
      </c>
      <c r="G97" s="354">
        <v>0.13841780128051892</v>
      </c>
      <c r="H97" s="354">
        <v>0</v>
      </c>
      <c r="I97" s="354">
        <v>0.13541868399017359</v>
      </c>
      <c r="J97" s="354">
        <v>0.13338191225351184</v>
      </c>
      <c r="K97" s="354">
        <v>0.13093217878365843</v>
      </c>
      <c r="L97" s="365">
        <v>0</v>
      </c>
      <c r="M97" s="305">
        <f t="shared" si="83"/>
        <v>4.6509371711490881E-2</v>
      </c>
      <c r="N97" s="307">
        <f t="shared" si="84"/>
        <v>2.8972937823686217E-2</v>
      </c>
      <c r="O97" s="353">
        <v>4.187643183209429E-3</v>
      </c>
      <c r="P97" s="354">
        <v>0.12808818432966779</v>
      </c>
      <c r="Q97" s="354">
        <v>0.14396388367101071</v>
      </c>
      <c r="R97" s="354">
        <v>0.14224379086375774</v>
      </c>
      <c r="S97" s="354">
        <v>0.1390781592885964</v>
      </c>
      <c r="T97" s="354">
        <v>0.13838817492995711</v>
      </c>
      <c r="U97" s="354">
        <v>0</v>
      </c>
      <c r="V97" s="354">
        <v>0</v>
      </c>
      <c r="W97" s="354">
        <v>0</v>
      </c>
      <c r="X97" s="354">
        <v>0</v>
      </c>
      <c r="Y97" s="365">
        <v>0</v>
      </c>
      <c r="Z97" s="305">
        <f t="shared" si="85"/>
        <v>6.0887871573595681E-2</v>
      </c>
      <c r="AA97" s="307">
        <f t="shared" si="86"/>
        <v>4.2935102472802446E-2</v>
      </c>
      <c r="AB97" s="91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1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920"/>
      <c r="AE97" s="897">
        <f t="shared" si="89"/>
        <v>4.6509371711490881E-2</v>
      </c>
      <c r="AF97" s="897">
        <f t="shared" si="90"/>
        <v>6.0887871573595681E-2</v>
      </c>
      <c r="AG97" s="897">
        <f t="shared" si="91"/>
        <v>0.10739724328508657</v>
      </c>
      <c r="AH97" s="1113">
        <f t="shared" si="87"/>
        <v>0.4330592693895457</v>
      </c>
      <c r="AI97" s="897">
        <f t="shared" si="88"/>
        <v>0.56694073061045425</v>
      </c>
    </row>
    <row r="98" spans="1:35" x14ac:dyDescent="0.2">
      <c r="A98" s="339">
        <v>2029</v>
      </c>
      <c r="B98" s="353">
        <v>4.3575181166617336E-4</v>
      </c>
      <c r="C98" s="354">
        <v>0.15685538123895867</v>
      </c>
      <c r="D98" s="354">
        <v>0.23281266649212531</v>
      </c>
      <c r="E98" s="354">
        <v>0.24650248331375055</v>
      </c>
      <c r="F98" s="354">
        <v>0.25524429763217737</v>
      </c>
      <c r="G98" s="354">
        <v>0.25585131737870337</v>
      </c>
      <c r="H98" s="354">
        <v>0</v>
      </c>
      <c r="I98" s="354">
        <v>0.2503013400137673</v>
      </c>
      <c r="J98" s="354">
        <v>0.2468209922778479</v>
      </c>
      <c r="K98" s="354">
        <v>0.24218664283346689</v>
      </c>
      <c r="L98" s="365">
        <v>0</v>
      </c>
      <c r="M98" s="305">
        <f t="shared" si="83"/>
        <v>7.044388548029458E-2</v>
      </c>
      <c r="N98" s="307">
        <f t="shared" si="84"/>
        <v>3.9778056100582632E-2</v>
      </c>
      <c r="O98" s="353">
        <v>7.3790304935084116E-4</v>
      </c>
      <c r="P98" s="354">
        <v>0.17668823540104583</v>
      </c>
      <c r="Q98" s="354">
        <v>0.23951333257228469</v>
      </c>
      <c r="R98" s="354">
        <v>0.25077208002966073</v>
      </c>
      <c r="S98" s="354">
        <v>0.2552354268756471</v>
      </c>
      <c r="T98" s="354">
        <v>0.25577134345180419</v>
      </c>
      <c r="U98" s="354">
        <v>0</v>
      </c>
      <c r="V98" s="354">
        <v>0</v>
      </c>
      <c r="W98" s="354">
        <v>0</v>
      </c>
      <c r="X98" s="354">
        <v>0</v>
      </c>
      <c r="Y98" s="365">
        <v>0</v>
      </c>
      <c r="Z98" s="305">
        <f t="shared" si="85"/>
        <v>9.3797439948664629E-2</v>
      </c>
      <c r="AA98" s="307">
        <f t="shared" si="86"/>
        <v>6.1807980068415314E-2</v>
      </c>
      <c r="AB98" s="91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1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920"/>
      <c r="AE98" s="897">
        <f t="shared" si="89"/>
        <v>7.044388548029458E-2</v>
      </c>
      <c r="AF98" s="897">
        <f t="shared" si="90"/>
        <v>9.3797439948664629E-2</v>
      </c>
      <c r="AG98" s="897">
        <f t="shared" si="91"/>
        <v>0.1642413254289592</v>
      </c>
      <c r="AH98" s="1113">
        <f t="shared" si="87"/>
        <v>0.42890475522108668</v>
      </c>
      <c r="AI98" s="897">
        <f t="shared" si="88"/>
        <v>0.57109524477891338</v>
      </c>
    </row>
    <row r="99" spans="1:35" ht="13.5" thickBot="1" x14ac:dyDescent="0.25">
      <c r="A99" s="337">
        <v>2030</v>
      </c>
      <c r="B99" s="355">
        <v>7.6093176823471527E-4</v>
      </c>
      <c r="C99" s="356">
        <v>0.23073045470942025</v>
      </c>
      <c r="D99" s="356">
        <v>0.33234228038661179</v>
      </c>
      <c r="E99" s="356">
        <v>0.36625915819992561</v>
      </c>
      <c r="F99" s="356">
        <v>0.37275567522207576</v>
      </c>
      <c r="G99" s="356">
        <v>0.37355003140979359</v>
      </c>
      <c r="H99" s="356">
        <v>0</v>
      </c>
      <c r="I99" s="356">
        <v>0.36410173452747602</v>
      </c>
      <c r="J99" s="356">
        <v>0.35743361898216858</v>
      </c>
      <c r="K99" s="356">
        <v>0.34826137837800025</v>
      </c>
      <c r="L99" s="366">
        <v>0</v>
      </c>
      <c r="M99" s="319">
        <f t="shared" si="83"/>
        <v>0.10280212606073737</v>
      </c>
      <c r="N99" s="321">
        <f t="shared" si="84"/>
        <v>5.819745048901475E-2</v>
      </c>
      <c r="O99" s="355">
        <v>1.2807628336353914E-3</v>
      </c>
      <c r="P99" s="356">
        <v>0.23775366558230474</v>
      </c>
      <c r="Q99" s="356">
        <v>0.34224587186670569</v>
      </c>
      <c r="R99" s="356">
        <v>0.37124513292705746</v>
      </c>
      <c r="S99" s="356">
        <v>0.36918610395183726</v>
      </c>
      <c r="T99" s="356">
        <v>0.37041497264214024</v>
      </c>
      <c r="U99" s="356">
        <v>0</v>
      </c>
      <c r="V99" s="356">
        <v>0</v>
      </c>
      <c r="W99" s="356">
        <v>0</v>
      </c>
      <c r="X99" s="356">
        <v>0</v>
      </c>
      <c r="Y99" s="366">
        <v>0</v>
      </c>
      <c r="Z99" s="319">
        <f t="shared" si="85"/>
        <v>0.13155998333737723</v>
      </c>
      <c r="AA99" s="321">
        <f t="shared" si="86"/>
        <v>8.5410737742735984E-2</v>
      </c>
      <c r="AB99" s="91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1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920"/>
      <c r="AE99" s="897">
        <f t="shared" si="89"/>
        <v>0.10280212606073737</v>
      </c>
      <c r="AF99" s="897">
        <f t="shared" si="90"/>
        <v>0.13155998333737723</v>
      </c>
      <c r="AG99" s="897">
        <f t="shared" si="91"/>
        <v>0.23436210939811458</v>
      </c>
      <c r="AH99" s="1113">
        <f t="shared" si="87"/>
        <v>0.43864653004170479</v>
      </c>
      <c r="AI99" s="897">
        <f t="shared" si="88"/>
        <v>0.56135346995829527</v>
      </c>
    </row>
    <row r="100" spans="1:35" x14ac:dyDescent="0.2">
      <c r="A100" s="338">
        <v>2031</v>
      </c>
      <c r="B100" s="351">
        <v>4.8409354075183353E-3</v>
      </c>
      <c r="C100" s="352">
        <v>0.3192237488404327</v>
      </c>
      <c r="D100" s="352">
        <v>0.42279673260380657</v>
      </c>
      <c r="E100" s="352">
        <v>0.44675561889859156</v>
      </c>
      <c r="F100" s="352">
        <v>0.44963738657259505</v>
      </c>
      <c r="G100" s="352">
        <v>0.44566207239923566</v>
      </c>
      <c r="H100" s="352">
        <v>0</v>
      </c>
      <c r="I100" s="352">
        <v>0.43395185392993918</v>
      </c>
      <c r="J100" s="352">
        <v>0.4247781769737089</v>
      </c>
      <c r="K100" s="352">
        <v>0.4116606978343394</v>
      </c>
      <c r="L100" s="364">
        <v>0</v>
      </c>
      <c r="M100" s="291">
        <f t="shared" si="83"/>
        <v>0.13212444763016851</v>
      </c>
      <c r="N100" s="293">
        <f t="shared" si="84"/>
        <v>7.7900353396093538E-2</v>
      </c>
      <c r="O100" s="351">
        <v>7.6600707806915415E-3</v>
      </c>
      <c r="P100" s="352">
        <v>0.33570641805507295</v>
      </c>
      <c r="Q100" s="352">
        <v>0.4325675523931245</v>
      </c>
      <c r="R100" s="352">
        <v>0.45109543913652261</v>
      </c>
      <c r="S100" s="352">
        <v>0.4495764781109361</v>
      </c>
      <c r="T100" s="352">
        <v>0.44471422780623621</v>
      </c>
      <c r="U100" s="352">
        <v>0</v>
      </c>
      <c r="V100" s="352">
        <v>0</v>
      </c>
      <c r="W100" s="352">
        <v>0</v>
      </c>
      <c r="X100" s="352">
        <v>0</v>
      </c>
      <c r="Y100" s="364">
        <v>0</v>
      </c>
      <c r="Z100" s="291">
        <f t="shared" si="85"/>
        <v>0.17350323649573471</v>
      </c>
      <c r="AA100" s="293">
        <f t="shared" si="86"/>
        <v>0.11722464986995916</v>
      </c>
      <c r="AB100" s="91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1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920"/>
      <c r="AE100" s="897">
        <f t="shared" si="89"/>
        <v>0.13212444763016851</v>
      </c>
      <c r="AF100" s="897">
        <f t="shared" si="90"/>
        <v>0.17350323649573471</v>
      </c>
      <c r="AG100" s="897">
        <f t="shared" si="91"/>
        <v>0.30562768412590324</v>
      </c>
      <c r="AH100" s="1113">
        <f t="shared" si="87"/>
        <v>0.43230523441632951</v>
      </c>
      <c r="AI100" s="897">
        <f t="shared" si="88"/>
        <v>0.56769476558367038</v>
      </c>
    </row>
    <row r="101" spans="1:35" x14ac:dyDescent="0.2">
      <c r="A101" s="339">
        <v>2032</v>
      </c>
      <c r="B101" s="353">
        <v>8.61455182889444E-2</v>
      </c>
      <c r="C101" s="354">
        <v>0.48446564942539211</v>
      </c>
      <c r="D101" s="354">
        <v>0.49822220155348024</v>
      </c>
      <c r="E101" s="354">
        <v>0.49596837305585079</v>
      </c>
      <c r="F101" s="354">
        <v>0.48099235942816915</v>
      </c>
      <c r="G101" s="354">
        <v>0.47963858596386028</v>
      </c>
      <c r="H101" s="354">
        <v>0</v>
      </c>
      <c r="I101" s="354">
        <v>0.4595824216999761</v>
      </c>
      <c r="J101" s="354">
        <v>0.44526330981556439</v>
      </c>
      <c r="K101" s="354">
        <v>0.42714884423005961</v>
      </c>
      <c r="L101" s="365">
        <v>0</v>
      </c>
      <c r="M101" s="305">
        <f t="shared" si="83"/>
        <v>0.17360749571944423</v>
      </c>
      <c r="N101" s="307">
        <f t="shared" si="84"/>
        <v>0.11922514178260774</v>
      </c>
      <c r="O101" s="353">
        <v>0.10671806349065684</v>
      </c>
      <c r="P101" s="354">
        <v>0.4982853997656132</v>
      </c>
      <c r="Q101" s="354">
        <v>0.49009952390531969</v>
      </c>
      <c r="R101" s="354">
        <v>0.4905019402295076</v>
      </c>
      <c r="S101" s="354">
        <v>0.48070680709435459</v>
      </c>
      <c r="T101" s="354">
        <v>0.47642133470160491</v>
      </c>
      <c r="U101" s="354">
        <v>0</v>
      </c>
      <c r="V101" s="354">
        <v>0</v>
      </c>
      <c r="W101" s="354">
        <v>0</v>
      </c>
      <c r="X101" s="354">
        <v>0</v>
      </c>
      <c r="Y101" s="365">
        <v>0</v>
      </c>
      <c r="Z101" s="305">
        <f t="shared" si="85"/>
        <v>0.23623017063321966</v>
      </c>
      <c r="AA101" s="307">
        <f t="shared" si="86"/>
        <v>0.19045591847302576</v>
      </c>
      <c r="AB101" s="91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1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920"/>
      <c r="AE101" s="897">
        <f t="shared" si="89"/>
        <v>0.17360749571944423</v>
      </c>
      <c r="AF101" s="897">
        <f t="shared" si="90"/>
        <v>0.23623017063321966</v>
      </c>
      <c r="AG101" s="897">
        <f t="shared" si="91"/>
        <v>0.40983766635266389</v>
      </c>
      <c r="AH101" s="1113">
        <f t="shared" si="87"/>
        <v>0.42360063501351186</v>
      </c>
      <c r="AI101" s="897">
        <f t="shared" si="88"/>
        <v>0.57639936498648814</v>
      </c>
    </row>
    <row r="102" spans="1:35" x14ac:dyDescent="0.2">
      <c r="A102" s="339">
        <v>2033</v>
      </c>
      <c r="B102" s="353">
        <v>0.21508254506830077</v>
      </c>
      <c r="C102" s="354">
        <v>0.52535913280448854</v>
      </c>
      <c r="D102" s="354">
        <v>0.51829158545639986</v>
      </c>
      <c r="E102" s="354">
        <v>0.50287707639205781</v>
      </c>
      <c r="F102" s="354">
        <v>0.49211946287074898</v>
      </c>
      <c r="G102" s="354">
        <v>0.48863019245150635</v>
      </c>
      <c r="H102" s="354">
        <v>0</v>
      </c>
      <c r="I102" s="354">
        <v>0.45970784808412901</v>
      </c>
      <c r="J102" s="354">
        <v>0.43989257276450983</v>
      </c>
      <c r="K102" s="354">
        <v>0.41620411993976941</v>
      </c>
      <c r="L102" s="365">
        <v>0</v>
      </c>
      <c r="M102" s="305">
        <f t="shared" si="83"/>
        <v>0.19015914772773021</v>
      </c>
      <c r="N102" s="307">
        <f t="shared" si="84"/>
        <v>0.14492487647290658</v>
      </c>
      <c r="O102" s="353">
        <v>0.25411043006869527</v>
      </c>
      <c r="P102" s="354">
        <v>0.53512666237461237</v>
      </c>
      <c r="Q102" s="354">
        <v>0.51114247637595567</v>
      </c>
      <c r="R102" s="354">
        <v>0.49890737642243582</v>
      </c>
      <c r="S102" s="354">
        <v>0.49154151073251506</v>
      </c>
      <c r="T102" s="354">
        <v>0.48572065223645611</v>
      </c>
      <c r="U102" s="354">
        <v>0</v>
      </c>
      <c r="V102" s="354">
        <v>0</v>
      </c>
      <c r="W102" s="354">
        <v>0</v>
      </c>
      <c r="X102" s="354">
        <v>0</v>
      </c>
      <c r="Y102" s="365">
        <v>0</v>
      </c>
      <c r="Z102" s="305">
        <f t="shared" si="85"/>
        <v>0.26868092893870221</v>
      </c>
      <c r="AA102" s="307">
        <f t="shared" si="86"/>
        <v>0.24764019325413605</v>
      </c>
      <c r="AB102" s="91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1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920"/>
      <c r="AE102" s="897">
        <f t="shared" si="89"/>
        <v>0.19015914772773021</v>
      </c>
      <c r="AF102" s="897">
        <f t="shared" si="90"/>
        <v>0.26868092893870221</v>
      </c>
      <c r="AG102" s="897">
        <f t="shared" si="91"/>
        <v>0.45884007666643245</v>
      </c>
      <c r="AH102" s="1113">
        <f t="shared" si="87"/>
        <v>0.41443447815037332</v>
      </c>
      <c r="AI102" s="897">
        <f t="shared" si="88"/>
        <v>0.58556552184962662</v>
      </c>
    </row>
    <row r="103" spans="1:35" x14ac:dyDescent="0.2">
      <c r="A103" s="339">
        <v>2034</v>
      </c>
      <c r="B103" s="353">
        <v>0.29823543463140562</v>
      </c>
      <c r="C103" s="354">
        <v>0.5291540570177512</v>
      </c>
      <c r="D103" s="354">
        <v>0.52295455302199811</v>
      </c>
      <c r="E103" s="354">
        <v>0.50437445447470353</v>
      </c>
      <c r="F103" s="354">
        <v>0.49531790303845064</v>
      </c>
      <c r="G103" s="354">
        <v>0.48892317530534829</v>
      </c>
      <c r="H103" s="354">
        <v>0</v>
      </c>
      <c r="I103" s="354">
        <v>0.45208948224763401</v>
      </c>
      <c r="J103" s="354">
        <v>0.42891619804044789</v>
      </c>
      <c r="K103" s="354">
        <v>0.40347829874616098</v>
      </c>
      <c r="L103" s="365">
        <v>0</v>
      </c>
      <c r="M103" s="305">
        <f t="shared" si="83"/>
        <v>0.19581187571647271</v>
      </c>
      <c r="N103" s="307">
        <f t="shared" si="84"/>
        <v>0.15749987457043987</v>
      </c>
      <c r="O103" s="353">
        <v>0.31675679516293648</v>
      </c>
      <c r="P103" s="354">
        <v>0.53743995992835913</v>
      </c>
      <c r="Q103" s="354">
        <v>0.51644550044006887</v>
      </c>
      <c r="R103" s="354">
        <v>0.50426182988769175</v>
      </c>
      <c r="S103" s="354">
        <v>0.49491721082521706</v>
      </c>
      <c r="T103" s="354">
        <v>0.48599316827337585</v>
      </c>
      <c r="U103" s="354">
        <v>0</v>
      </c>
      <c r="V103" s="354">
        <v>0</v>
      </c>
      <c r="W103" s="354">
        <v>0</v>
      </c>
      <c r="X103" s="354">
        <v>0</v>
      </c>
      <c r="Y103" s="365">
        <v>0</v>
      </c>
      <c r="Z103" s="305">
        <f t="shared" si="85"/>
        <v>0.27891349396522941</v>
      </c>
      <c r="AA103" s="307">
        <f t="shared" si="86"/>
        <v>0.26873552451643873</v>
      </c>
      <c r="AB103" s="91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1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920"/>
      <c r="AE103" s="897">
        <f t="shared" si="89"/>
        <v>0.19581187571647271</v>
      </c>
      <c r="AF103" s="897">
        <f t="shared" si="90"/>
        <v>0.27891349396522941</v>
      </c>
      <c r="AG103" s="897">
        <f t="shared" si="91"/>
        <v>0.47472536968170209</v>
      </c>
      <c r="AH103" s="1113">
        <f t="shared" si="87"/>
        <v>0.41247400754622049</v>
      </c>
      <c r="AI103" s="897">
        <f t="shared" si="88"/>
        <v>0.58752599245377957</v>
      </c>
    </row>
    <row r="104" spans="1:35" ht="13.5" thickBot="1" x14ac:dyDescent="0.25">
      <c r="A104" s="337">
        <v>2035</v>
      </c>
      <c r="B104" s="355">
        <v>0.39805452580567396</v>
      </c>
      <c r="C104" s="356">
        <v>0.52458118316981439</v>
      </c>
      <c r="D104" s="356">
        <v>0.51246689870926143</v>
      </c>
      <c r="E104" s="356">
        <v>0.50288525102009407</v>
      </c>
      <c r="F104" s="356">
        <v>0.48929765141832149</v>
      </c>
      <c r="G104" s="356">
        <v>0.47876482642384111</v>
      </c>
      <c r="H104" s="356">
        <v>0</v>
      </c>
      <c r="I104" s="356">
        <v>0.4295113630152701</v>
      </c>
      <c r="J104" s="356">
        <v>0.40304375974527057</v>
      </c>
      <c r="K104" s="356">
        <v>0.38340271154514549</v>
      </c>
      <c r="L104" s="366">
        <v>0</v>
      </c>
      <c r="M104" s="319">
        <f t="shared" si="83"/>
        <v>0.19895899401615993</v>
      </c>
      <c r="N104" s="321">
        <f t="shared" si="84"/>
        <v>0.17040002534946033</v>
      </c>
      <c r="O104" s="355">
        <v>0.41608407062055031</v>
      </c>
      <c r="P104" s="356">
        <v>0.52978810498388262</v>
      </c>
      <c r="Q104" s="356">
        <v>0.51007158317421308</v>
      </c>
      <c r="R104" s="356">
        <v>0.50020310035052007</v>
      </c>
      <c r="S104" s="356">
        <v>0.48891393616683382</v>
      </c>
      <c r="T104" s="356">
        <v>0.4772820120944386</v>
      </c>
      <c r="U104" s="356">
        <v>0</v>
      </c>
      <c r="V104" s="356">
        <v>0</v>
      </c>
      <c r="W104" s="356">
        <v>0</v>
      </c>
      <c r="X104" s="356">
        <v>0</v>
      </c>
      <c r="Y104" s="366">
        <v>0</v>
      </c>
      <c r="Z104" s="319">
        <f t="shared" si="85"/>
        <v>0.28972877057291835</v>
      </c>
      <c r="AA104" s="321">
        <f t="shared" si="86"/>
        <v>0.29843957524163794</v>
      </c>
      <c r="AB104" s="91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1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920"/>
      <c r="AE104" s="897">
        <f t="shared" si="89"/>
        <v>0.19895899401615993</v>
      </c>
      <c r="AF104" s="897">
        <f t="shared" si="90"/>
        <v>0.28972877057291835</v>
      </c>
      <c r="AG104" s="897">
        <f t="shared" si="91"/>
        <v>0.48868776458907826</v>
      </c>
      <c r="AH104" s="1113">
        <f t="shared" si="87"/>
        <v>0.40712906774626967</v>
      </c>
      <c r="AI104" s="897">
        <f t="shared" si="88"/>
        <v>0.59287093225373033</v>
      </c>
    </row>
    <row r="105" spans="1:35" x14ac:dyDescent="0.2">
      <c r="A105" s="338">
        <v>2036</v>
      </c>
      <c r="B105" s="351">
        <v>0.43989585108438722</v>
      </c>
      <c r="C105" s="352">
        <v>0.5210878483453073</v>
      </c>
      <c r="D105" s="352">
        <v>0.50655822679941054</v>
      </c>
      <c r="E105" s="352">
        <v>0.50055240664779743</v>
      </c>
      <c r="F105" s="352">
        <v>0.47512842468623018</v>
      </c>
      <c r="G105" s="352">
        <v>0.45865637672428861</v>
      </c>
      <c r="H105" s="352">
        <v>0</v>
      </c>
      <c r="I105" s="352">
        <v>0.40125585309231926</v>
      </c>
      <c r="J105" s="352">
        <v>0.37697266632232418</v>
      </c>
      <c r="K105" s="352">
        <v>0.35641167256810674</v>
      </c>
      <c r="L105" s="364">
        <v>0</v>
      </c>
      <c r="M105" s="291">
        <f t="shared" si="83"/>
        <v>0.19835913381400236</v>
      </c>
      <c r="N105" s="293">
        <f t="shared" si="84"/>
        <v>0.17518613466947053</v>
      </c>
      <c r="O105" s="351">
        <v>0.45263234826328708</v>
      </c>
      <c r="P105" s="352">
        <v>0.52473395449399352</v>
      </c>
      <c r="Q105" s="352">
        <v>0.50655822679941054</v>
      </c>
      <c r="R105" s="352">
        <v>0.49752763709671105</v>
      </c>
      <c r="S105" s="352">
        <v>0.47823580406591021</v>
      </c>
      <c r="T105" s="352">
        <v>0.46296403280918497</v>
      </c>
      <c r="U105" s="352">
        <v>0</v>
      </c>
      <c r="V105" s="352">
        <v>0</v>
      </c>
      <c r="W105" s="352">
        <v>0</v>
      </c>
      <c r="X105" s="352">
        <v>0</v>
      </c>
      <c r="Y105" s="364">
        <v>0</v>
      </c>
      <c r="Z105" s="291">
        <f t="shared" si="85"/>
        <v>0.2924685607060073</v>
      </c>
      <c r="AA105" s="293">
        <f t="shared" si="86"/>
        <v>0.30862977569755906</v>
      </c>
      <c r="AB105" s="91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1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920"/>
      <c r="AE105" s="897">
        <f t="shared" si="89"/>
        <v>0.19835913381400236</v>
      </c>
      <c r="AF105" s="897">
        <f t="shared" si="90"/>
        <v>0.2924685607060073</v>
      </c>
      <c r="AG105" s="897">
        <f t="shared" si="91"/>
        <v>0.49082769452000963</v>
      </c>
      <c r="AH105" s="1113">
        <f t="shared" si="87"/>
        <v>0.40413191029895285</v>
      </c>
      <c r="AI105" s="897">
        <f t="shared" si="88"/>
        <v>0.59586808970104721</v>
      </c>
    </row>
    <row r="106" spans="1:35" x14ac:dyDescent="0.2">
      <c r="A106" s="339">
        <v>2037</v>
      </c>
      <c r="B106" s="353">
        <v>0.44287368271332084</v>
      </c>
      <c r="C106" s="354">
        <v>0.52486307446679092</v>
      </c>
      <c r="D106" s="354">
        <v>0.5067240362776837</v>
      </c>
      <c r="E106" s="354">
        <v>0.4987999435651036</v>
      </c>
      <c r="F106" s="354">
        <v>0.46485561415363835</v>
      </c>
      <c r="G106" s="354">
        <v>0.44515311981402644</v>
      </c>
      <c r="H106" s="354">
        <v>0</v>
      </c>
      <c r="I106" s="354">
        <v>0.38256660989998387</v>
      </c>
      <c r="J106" s="354">
        <v>0.36349525640039698</v>
      </c>
      <c r="K106" s="354">
        <v>0.34359516685095826</v>
      </c>
      <c r="L106" s="365">
        <v>0</v>
      </c>
      <c r="M106" s="305">
        <f t="shared" si="83"/>
        <v>0.19777401566821162</v>
      </c>
      <c r="N106" s="307">
        <f t="shared" si="84"/>
        <v>0.17592209283777813</v>
      </c>
      <c r="O106" s="353">
        <v>0.45318750093110649</v>
      </c>
      <c r="P106" s="354">
        <v>0.51686243935205112</v>
      </c>
      <c r="Q106" s="354">
        <v>0.50365974052824392</v>
      </c>
      <c r="R106" s="354">
        <v>0.4953615733299665</v>
      </c>
      <c r="S106" s="354">
        <v>0.47050954300517411</v>
      </c>
      <c r="T106" s="354">
        <v>0.45568862587651371</v>
      </c>
      <c r="U106" s="354">
        <v>0</v>
      </c>
      <c r="V106" s="354">
        <v>0</v>
      </c>
      <c r="W106" s="354">
        <v>0</v>
      </c>
      <c r="X106" s="354">
        <v>0</v>
      </c>
      <c r="Y106" s="365">
        <v>0</v>
      </c>
      <c r="Z106" s="305">
        <f t="shared" si="85"/>
        <v>0.28981037331218129</v>
      </c>
      <c r="AA106" s="307">
        <f t="shared" si="86"/>
        <v>0.30669815556195495</v>
      </c>
      <c r="AB106" s="91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1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920"/>
      <c r="AE106" s="897">
        <f t="shared" si="89"/>
        <v>0.19777401566821162</v>
      </c>
      <c r="AF106" s="897">
        <f t="shared" si="90"/>
        <v>0.28981037331218129</v>
      </c>
      <c r="AG106" s="897">
        <f t="shared" si="91"/>
        <v>0.48758438898039291</v>
      </c>
      <c r="AH106" s="1113">
        <f t="shared" si="87"/>
        <v>0.40562007344366524</v>
      </c>
      <c r="AI106" s="897">
        <f t="shared" si="88"/>
        <v>0.59437992655633476</v>
      </c>
    </row>
    <row r="107" spans="1:35" x14ac:dyDescent="0.2">
      <c r="A107" s="339">
        <v>2038</v>
      </c>
      <c r="B107" s="353">
        <v>0.43134426958133887</v>
      </c>
      <c r="C107" s="354">
        <v>0.50945551573004921</v>
      </c>
      <c r="D107" s="354">
        <v>0.50360430251363042</v>
      </c>
      <c r="E107" s="354">
        <v>0.49487460788581239</v>
      </c>
      <c r="F107" s="354">
        <v>0.4440649588532985</v>
      </c>
      <c r="G107" s="354">
        <v>0.42409965427280399</v>
      </c>
      <c r="H107" s="354">
        <v>0</v>
      </c>
      <c r="I107" s="354">
        <v>0.36764594036508036</v>
      </c>
      <c r="J107" s="354">
        <v>0.34620416902384316</v>
      </c>
      <c r="K107" s="354">
        <v>0.33222417027130963</v>
      </c>
      <c r="L107" s="365">
        <v>0</v>
      </c>
      <c r="M107" s="305">
        <f t="shared" si="83"/>
        <v>0.19245806896594714</v>
      </c>
      <c r="N107" s="307">
        <f t="shared" si="84"/>
        <v>0.17132958516250724</v>
      </c>
      <c r="O107" s="353">
        <v>0.45052096945945208</v>
      </c>
      <c r="P107" s="354">
        <v>0.50916602833982627</v>
      </c>
      <c r="Q107" s="354">
        <v>0.50352052586654583</v>
      </c>
      <c r="R107" s="354">
        <v>0.4903774892908675</v>
      </c>
      <c r="S107" s="354">
        <v>0.46050856336152279</v>
      </c>
      <c r="T107" s="354">
        <v>0.44332669994638241</v>
      </c>
      <c r="U107" s="354">
        <v>0</v>
      </c>
      <c r="V107" s="354">
        <v>0</v>
      </c>
      <c r="W107" s="354">
        <v>0</v>
      </c>
      <c r="X107" s="354">
        <v>0</v>
      </c>
      <c r="Y107" s="365">
        <v>0</v>
      </c>
      <c r="Z107" s="305">
        <f t="shared" si="85"/>
        <v>0.28661226717935767</v>
      </c>
      <c r="AA107" s="307">
        <f t="shared" si="86"/>
        <v>0.30377514428736491</v>
      </c>
      <c r="AB107" s="91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1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920"/>
      <c r="AE107" s="897">
        <f t="shared" si="89"/>
        <v>0.19245806896594714</v>
      </c>
      <c r="AF107" s="897">
        <f t="shared" si="90"/>
        <v>0.28661226717935767</v>
      </c>
      <c r="AG107" s="897">
        <f t="shared" si="91"/>
        <v>0.47907033614530481</v>
      </c>
      <c r="AH107" s="1113">
        <f t="shared" si="87"/>
        <v>0.40173238550836404</v>
      </c>
      <c r="AI107" s="897">
        <f t="shared" si="88"/>
        <v>0.59826761449163601</v>
      </c>
    </row>
    <row r="108" spans="1:35" x14ac:dyDescent="0.2">
      <c r="A108" s="339">
        <v>2039</v>
      </c>
      <c r="B108" s="353">
        <v>0.4163078282333123</v>
      </c>
      <c r="C108" s="354">
        <v>0.50190605746205641</v>
      </c>
      <c r="D108" s="354">
        <v>0.50111880235899009</v>
      </c>
      <c r="E108" s="354">
        <v>0.48500751611961951</v>
      </c>
      <c r="F108" s="354">
        <v>0.41886986667269605</v>
      </c>
      <c r="G108" s="354">
        <v>0.39827645051564464</v>
      </c>
      <c r="H108" s="354">
        <v>0</v>
      </c>
      <c r="I108" s="354">
        <v>0.34860630044988061</v>
      </c>
      <c r="J108" s="354">
        <v>0.3332519882167011</v>
      </c>
      <c r="K108" s="354">
        <v>0.32015717616045614</v>
      </c>
      <c r="L108" s="365">
        <v>0</v>
      </c>
      <c r="M108" s="305">
        <f t="shared" si="83"/>
        <v>0.18795316080029423</v>
      </c>
      <c r="N108" s="307">
        <f t="shared" si="84"/>
        <v>0.16738702219299087</v>
      </c>
      <c r="O108" s="353">
        <v>0.40513848899094224</v>
      </c>
      <c r="P108" s="354">
        <v>0.50478256297022395</v>
      </c>
      <c r="Q108" s="354">
        <v>0.5009142678889088</v>
      </c>
      <c r="R108" s="354">
        <v>0.48187642732184199</v>
      </c>
      <c r="S108" s="354">
        <v>0.44813122123783711</v>
      </c>
      <c r="T108" s="354">
        <v>0.43287328872966863</v>
      </c>
      <c r="U108" s="354">
        <v>0</v>
      </c>
      <c r="V108" s="354">
        <v>0</v>
      </c>
      <c r="W108" s="354">
        <v>0</v>
      </c>
      <c r="X108" s="354">
        <v>0</v>
      </c>
      <c r="Y108" s="365">
        <v>0</v>
      </c>
      <c r="Z108" s="305">
        <f t="shared" si="85"/>
        <v>0.27776907021007213</v>
      </c>
      <c r="AA108" s="307">
        <f t="shared" si="86"/>
        <v>0.28765277537085082</v>
      </c>
      <c r="AB108" s="91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1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920"/>
      <c r="AE108" s="897">
        <f t="shared" si="89"/>
        <v>0.18795316080029423</v>
      </c>
      <c r="AF108" s="897">
        <f t="shared" si="90"/>
        <v>0.27776907021007213</v>
      </c>
      <c r="AG108" s="897">
        <f t="shared" si="91"/>
        <v>0.46572223101036636</v>
      </c>
      <c r="AH108" s="1113">
        <f t="shared" si="87"/>
        <v>0.40357352147982528</v>
      </c>
      <c r="AI108" s="897">
        <f t="shared" si="88"/>
        <v>0.59642647852017472</v>
      </c>
    </row>
    <row r="109" spans="1:35" ht="13.5" thickBot="1" x14ac:dyDescent="0.25">
      <c r="A109" s="337">
        <v>2040</v>
      </c>
      <c r="B109" s="355">
        <v>0.3728071942138752</v>
      </c>
      <c r="C109" s="356">
        <v>0.50207315212907333</v>
      </c>
      <c r="D109" s="356">
        <v>0.49825521456044025</v>
      </c>
      <c r="E109" s="356">
        <v>0.46685102002876611</v>
      </c>
      <c r="F109" s="356">
        <v>0.39066435640177782</v>
      </c>
      <c r="G109" s="356">
        <v>0.37207097568338493</v>
      </c>
      <c r="H109" s="356">
        <v>0</v>
      </c>
      <c r="I109" s="356">
        <v>0.32934646886521396</v>
      </c>
      <c r="J109" s="356">
        <v>0.31555994206386867</v>
      </c>
      <c r="K109" s="356">
        <v>0.30789473016566832</v>
      </c>
      <c r="L109" s="366">
        <v>0</v>
      </c>
      <c r="M109" s="319">
        <f t="shared" si="83"/>
        <v>0.18254758691308298</v>
      </c>
      <c r="N109" s="321">
        <f t="shared" si="84"/>
        <v>0.16045990271544003</v>
      </c>
      <c r="O109" s="355">
        <v>0.38972076688163598</v>
      </c>
      <c r="P109" s="356">
        <v>0.49529009952249092</v>
      </c>
      <c r="Q109" s="356">
        <v>0.49794555561039056</v>
      </c>
      <c r="R109" s="356">
        <v>0.46866301643724878</v>
      </c>
      <c r="S109" s="356">
        <v>0.43352975465426302</v>
      </c>
      <c r="T109" s="356">
        <v>0.41704036448037757</v>
      </c>
      <c r="U109" s="356">
        <v>0</v>
      </c>
      <c r="V109" s="356">
        <v>0</v>
      </c>
      <c r="W109" s="356">
        <v>0</v>
      </c>
      <c r="X109" s="356">
        <v>0</v>
      </c>
      <c r="Y109" s="366">
        <v>0</v>
      </c>
      <c r="Z109" s="319">
        <f t="shared" si="85"/>
        <v>0.27133881808204957</v>
      </c>
      <c r="AA109" s="321">
        <f t="shared" si="86"/>
        <v>0.27981430128361057</v>
      </c>
      <c r="AB109" s="91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1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920"/>
      <c r="AE109" s="897">
        <f t="shared" si="89"/>
        <v>0.18254758691308298</v>
      </c>
      <c r="AF109" s="897">
        <f t="shared" si="90"/>
        <v>0.27133881808204957</v>
      </c>
      <c r="AG109" s="897">
        <f t="shared" si="91"/>
        <v>0.45388640499513255</v>
      </c>
      <c r="AH109" s="1113">
        <f t="shared" si="87"/>
        <v>0.40218782696309358</v>
      </c>
      <c r="AI109" s="897">
        <f t="shared" si="88"/>
        <v>0.59781217303690648</v>
      </c>
    </row>
    <row r="110" spans="1:35" x14ac:dyDescent="0.2">
      <c r="A110" s="338">
        <v>2041</v>
      </c>
      <c r="B110" s="351">
        <v>0.36944318295607903</v>
      </c>
      <c r="C110" s="352">
        <v>0.4831970680755745</v>
      </c>
      <c r="D110" s="352">
        <v>0.48962114502211307</v>
      </c>
      <c r="E110" s="352">
        <v>0.43370425331175461</v>
      </c>
      <c r="F110" s="352">
        <v>0.36040117744683292</v>
      </c>
      <c r="G110" s="352">
        <v>0.34504368946859831</v>
      </c>
      <c r="H110" s="352">
        <v>0</v>
      </c>
      <c r="I110" s="352">
        <v>0.30886288502524539</v>
      </c>
      <c r="J110" s="352">
        <v>0.30109928674668052</v>
      </c>
      <c r="K110" s="352">
        <v>0.2947635106063079</v>
      </c>
      <c r="L110" s="364">
        <v>0</v>
      </c>
      <c r="M110" s="291">
        <f t="shared" si="83"/>
        <v>0.17563717402010037</v>
      </c>
      <c r="N110" s="293">
        <f t="shared" si="84"/>
        <v>0.15588342776151193</v>
      </c>
      <c r="O110" s="351">
        <v>0.38588062566440851</v>
      </c>
      <c r="P110" s="352">
        <v>0.47982543581882536</v>
      </c>
      <c r="Q110" s="352">
        <v>0.49056877844815827</v>
      </c>
      <c r="R110" s="352">
        <v>0.45000312840639056</v>
      </c>
      <c r="S110" s="352">
        <v>0.41290393086606175</v>
      </c>
      <c r="T110" s="352">
        <v>0.40023749609618803</v>
      </c>
      <c r="U110" s="352">
        <v>0</v>
      </c>
      <c r="V110" s="352">
        <v>0</v>
      </c>
      <c r="W110" s="352">
        <v>0</v>
      </c>
      <c r="X110" s="352">
        <v>0</v>
      </c>
      <c r="Y110" s="364">
        <v>0</v>
      </c>
      <c r="Z110" s="291">
        <f t="shared" si="85"/>
        <v>0.26408419474678824</v>
      </c>
      <c r="AA110" s="293">
        <f t="shared" si="86"/>
        <v>0.27392141106800993</v>
      </c>
      <c r="AB110" s="91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1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920"/>
      <c r="AE110" s="897">
        <f t="shared" si="89"/>
        <v>0.17563717402010037</v>
      </c>
      <c r="AF110" s="897">
        <f t="shared" si="90"/>
        <v>0.26408419474678824</v>
      </c>
      <c r="AG110" s="897">
        <f t="shared" si="91"/>
        <v>0.43972136876688861</v>
      </c>
      <c r="AH110" s="1113">
        <f t="shared" si="87"/>
        <v>0.39942833461252975</v>
      </c>
      <c r="AI110" s="897">
        <f t="shared" si="88"/>
        <v>0.6005716653874702</v>
      </c>
    </row>
    <row r="111" spans="1:35" x14ac:dyDescent="0.2">
      <c r="A111" s="339">
        <v>2042</v>
      </c>
      <c r="B111" s="353">
        <v>0.35883235230999289</v>
      </c>
      <c r="C111" s="354">
        <v>0.45696745089437807</v>
      </c>
      <c r="D111" s="354">
        <v>0.46475453079487694</v>
      </c>
      <c r="E111" s="354">
        <v>0.39420247853780571</v>
      </c>
      <c r="F111" s="354">
        <v>0.33056651964433093</v>
      </c>
      <c r="G111" s="354">
        <v>0.3194870883375644</v>
      </c>
      <c r="H111" s="354">
        <v>0</v>
      </c>
      <c r="I111" s="354">
        <v>0.29483242031699836</v>
      </c>
      <c r="J111" s="354">
        <v>0.28843982250529027</v>
      </c>
      <c r="K111" s="354">
        <v>0.28465272394796209</v>
      </c>
      <c r="L111" s="365">
        <v>0</v>
      </c>
      <c r="M111" s="305">
        <f t="shared" si="83"/>
        <v>0.16621833253084953</v>
      </c>
      <c r="N111" s="307">
        <f t="shared" si="84"/>
        <v>0.14858949536393734</v>
      </c>
      <c r="O111" s="353">
        <v>0.36631956275482402</v>
      </c>
      <c r="P111" s="354">
        <v>0.45507466611809</v>
      </c>
      <c r="Q111" s="354">
        <v>0.47327823202980018</v>
      </c>
      <c r="R111" s="354">
        <v>0.42216437155963465</v>
      </c>
      <c r="S111" s="354">
        <v>0.39153028020766878</v>
      </c>
      <c r="T111" s="354">
        <v>0.38352964967809366</v>
      </c>
      <c r="U111" s="354">
        <v>0</v>
      </c>
      <c r="V111" s="354">
        <v>0</v>
      </c>
      <c r="W111" s="354">
        <v>0</v>
      </c>
      <c r="X111" s="354">
        <v>0</v>
      </c>
      <c r="Y111" s="365">
        <v>0</v>
      </c>
      <c r="Z111" s="305">
        <f t="shared" si="85"/>
        <v>0.25091840195611342</v>
      </c>
      <c r="AA111" s="307">
        <f t="shared" si="86"/>
        <v>0.26015824219131906</v>
      </c>
      <c r="AB111" s="91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1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920"/>
      <c r="AE111" s="897">
        <f t="shared" si="89"/>
        <v>0.16621833253084953</v>
      </c>
      <c r="AF111" s="897">
        <f t="shared" si="90"/>
        <v>0.25091840195611342</v>
      </c>
      <c r="AG111" s="897">
        <f t="shared" si="91"/>
        <v>0.41713673448696298</v>
      </c>
      <c r="AH111" s="1113">
        <f t="shared" si="87"/>
        <v>0.39847445403071891</v>
      </c>
      <c r="AI111" s="897">
        <f t="shared" si="88"/>
        <v>0.60152554596928098</v>
      </c>
    </row>
    <row r="112" spans="1:35" x14ac:dyDescent="0.2">
      <c r="A112" s="339">
        <v>2043</v>
      </c>
      <c r="B112" s="353">
        <v>0.38076705181107978</v>
      </c>
      <c r="C112" s="354">
        <v>0.42723729420883549</v>
      </c>
      <c r="D112" s="354">
        <v>0.42484418604160618</v>
      </c>
      <c r="E112" s="354">
        <v>0.36032372373291405</v>
      </c>
      <c r="F112" s="354">
        <v>0.30921307600677378</v>
      </c>
      <c r="G112" s="354">
        <v>0.29965441136906346</v>
      </c>
      <c r="H112" s="354">
        <v>0</v>
      </c>
      <c r="I112" s="354">
        <v>0.28456447434969373</v>
      </c>
      <c r="J112" s="354">
        <v>0.27931477756106754</v>
      </c>
      <c r="K112" s="354">
        <v>0.27656556433455032</v>
      </c>
      <c r="L112" s="365">
        <v>0</v>
      </c>
      <c r="M112" s="305">
        <f t="shared" si="83"/>
        <v>0.15802387095209505</v>
      </c>
      <c r="N112" s="307">
        <f t="shared" si="84"/>
        <v>0.14510521972056603</v>
      </c>
      <c r="O112" s="353">
        <v>0.39639621543951925</v>
      </c>
      <c r="P112" s="354">
        <v>0.42308474480994218</v>
      </c>
      <c r="Q112" s="354">
        <v>0.44884662145474546</v>
      </c>
      <c r="R112" s="354">
        <v>0.40043117803574318</v>
      </c>
      <c r="S112" s="354">
        <v>0.3751409231279827</v>
      </c>
      <c r="T112" s="354">
        <v>0.36804745521325788</v>
      </c>
      <c r="U112" s="354">
        <v>0</v>
      </c>
      <c r="V112" s="354">
        <v>0</v>
      </c>
      <c r="W112" s="354">
        <v>0</v>
      </c>
      <c r="X112" s="354">
        <v>0</v>
      </c>
      <c r="Y112" s="365">
        <v>0</v>
      </c>
      <c r="Z112" s="305">
        <f t="shared" si="85"/>
        <v>0.24294302613332977</v>
      </c>
      <c r="AA112" s="307">
        <f t="shared" si="86"/>
        <v>0.26059991540535166</v>
      </c>
      <c r="AB112" s="91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1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920"/>
      <c r="AE112" s="897">
        <f t="shared" si="89"/>
        <v>0.15802387095209505</v>
      </c>
      <c r="AF112" s="897">
        <f t="shared" si="90"/>
        <v>0.24294302613332977</v>
      </c>
      <c r="AG112" s="897">
        <f t="shared" si="91"/>
        <v>0.40096689708542482</v>
      </c>
      <c r="AH112" s="1113">
        <f t="shared" si="87"/>
        <v>0.39410702504558259</v>
      </c>
      <c r="AI112" s="897">
        <f t="shared" si="88"/>
        <v>0.60589297495441741</v>
      </c>
    </row>
    <row r="113" spans="1:47" x14ac:dyDescent="0.2">
      <c r="A113" s="339">
        <v>2044</v>
      </c>
      <c r="B113" s="353">
        <v>0.39212149341975489</v>
      </c>
      <c r="C113" s="354">
        <v>0.39497171653494634</v>
      </c>
      <c r="D113" s="354">
        <v>0.38730265607710707</v>
      </c>
      <c r="E113" s="354">
        <v>0.3308514495578595</v>
      </c>
      <c r="F113" s="354">
        <v>0.29340374210108916</v>
      </c>
      <c r="G113" s="354">
        <v>0.28729354494503628</v>
      </c>
      <c r="H113" s="354">
        <v>0</v>
      </c>
      <c r="I113" s="354">
        <v>0.27516666357277098</v>
      </c>
      <c r="J113" s="354">
        <v>0.27317893375898844</v>
      </c>
      <c r="K113" s="354">
        <v>0.27165906832218872</v>
      </c>
      <c r="L113" s="365">
        <v>0</v>
      </c>
      <c r="M113" s="305">
        <f t="shared" si="83"/>
        <v>0.14936076652092609</v>
      </c>
      <c r="N113" s="307">
        <f t="shared" si="84"/>
        <v>0.13991175208692055</v>
      </c>
      <c r="O113" s="353">
        <v>0.40670070055710672</v>
      </c>
      <c r="P113" s="354">
        <v>0.39124124797732623</v>
      </c>
      <c r="Q113" s="354">
        <v>0.42049984923895128</v>
      </c>
      <c r="R113" s="354">
        <v>0.38325411690080818</v>
      </c>
      <c r="S113" s="354">
        <v>0.36367670844862593</v>
      </c>
      <c r="T113" s="354">
        <v>0.35742850118894653</v>
      </c>
      <c r="U113" s="354">
        <v>0</v>
      </c>
      <c r="V113" s="354">
        <v>0</v>
      </c>
      <c r="W113" s="354">
        <v>0</v>
      </c>
      <c r="X113" s="354">
        <v>0</v>
      </c>
      <c r="Y113" s="365">
        <v>0</v>
      </c>
      <c r="Z113" s="305">
        <f t="shared" si="85"/>
        <v>0.23250133730978165</v>
      </c>
      <c r="AA113" s="307">
        <f t="shared" si="86"/>
        <v>0.25473223341254292</v>
      </c>
      <c r="AB113" s="91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1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920"/>
      <c r="AE113" s="897">
        <f t="shared" si="89"/>
        <v>0.14936076652092609</v>
      </c>
      <c r="AF113" s="897">
        <f t="shared" si="90"/>
        <v>0.23250133730978165</v>
      </c>
      <c r="AG113" s="897">
        <f t="shared" si="91"/>
        <v>0.38186210383070773</v>
      </c>
      <c r="AH113" s="1113">
        <f t="shared" si="87"/>
        <v>0.39113796583266802</v>
      </c>
      <c r="AI113" s="897">
        <f t="shared" si="88"/>
        <v>0.60886203416733198</v>
      </c>
    </row>
    <row r="114" spans="1:47" ht="13.5" thickBot="1" x14ac:dyDescent="0.25">
      <c r="A114" s="337">
        <v>2045</v>
      </c>
      <c r="B114" s="355">
        <v>0.40614846329530019</v>
      </c>
      <c r="C114" s="356">
        <v>0.3573705798000798</v>
      </c>
      <c r="D114" s="356">
        <v>0.35766264012922672</v>
      </c>
      <c r="E114" s="356">
        <v>0.31031457020468717</v>
      </c>
      <c r="F114" s="356">
        <v>0.28244754925536647</v>
      </c>
      <c r="G114" s="356">
        <v>0.2774087273648998</v>
      </c>
      <c r="H114" s="356">
        <v>0</v>
      </c>
      <c r="I114" s="356">
        <v>0.27013570123288166</v>
      </c>
      <c r="J114" s="356">
        <v>0.26861307005899121</v>
      </c>
      <c r="K114" s="356">
        <v>0.26760239692295773</v>
      </c>
      <c r="L114" s="366">
        <v>0</v>
      </c>
      <c r="M114" s="319">
        <f t="shared" si="83"/>
        <v>0.14092724865548684</v>
      </c>
      <c r="N114" s="321">
        <f t="shared" si="84"/>
        <v>0.1346536869315571</v>
      </c>
      <c r="O114" s="355">
        <v>0.40846584821300119</v>
      </c>
      <c r="P114" s="356">
        <v>0.35587199526925284</v>
      </c>
      <c r="Q114" s="356">
        <v>0.39868762278647418</v>
      </c>
      <c r="R114" s="356">
        <v>0.36717699905125106</v>
      </c>
      <c r="S114" s="356">
        <v>0.3532393250267562</v>
      </c>
      <c r="T114" s="356">
        <v>0.35049626517952698</v>
      </c>
      <c r="U114" s="356">
        <v>0</v>
      </c>
      <c r="V114" s="356">
        <v>0</v>
      </c>
      <c r="W114" s="356">
        <v>0</v>
      </c>
      <c r="X114" s="356">
        <v>0</v>
      </c>
      <c r="Y114" s="366">
        <v>0</v>
      </c>
      <c r="Z114" s="319">
        <f t="shared" si="85"/>
        <v>0.22070874389622128</v>
      </c>
      <c r="AA114" s="321">
        <f t="shared" si="86"/>
        <v>0.24565439269958983</v>
      </c>
      <c r="AB114" s="91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1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920"/>
      <c r="AE114" s="897">
        <f t="shared" si="89"/>
        <v>0.14092724865548684</v>
      </c>
      <c r="AF114" s="897">
        <f t="shared" si="90"/>
        <v>0.22070874389622128</v>
      </c>
      <c r="AG114" s="897">
        <f t="shared" si="91"/>
        <v>0.36163599255170809</v>
      </c>
      <c r="AH114" s="1113">
        <f t="shared" si="87"/>
        <v>0.38969364653419147</v>
      </c>
      <c r="AI114" s="897">
        <f t="shared" si="88"/>
        <v>0.61030635346580864</v>
      </c>
    </row>
    <row r="115" spans="1:47" x14ac:dyDescent="0.2">
      <c r="A115" s="338">
        <v>2046</v>
      </c>
      <c r="B115" s="351">
        <v>0.39717712111619496</v>
      </c>
      <c r="C115" s="352">
        <v>0.3304204179602318</v>
      </c>
      <c r="D115" s="352">
        <v>0.33575740063992465</v>
      </c>
      <c r="E115" s="352">
        <v>0.29773045325782255</v>
      </c>
      <c r="F115" s="352">
        <v>0.27692954303644562</v>
      </c>
      <c r="G115" s="352">
        <v>0.27246706386385106</v>
      </c>
      <c r="H115" s="352">
        <v>0</v>
      </c>
      <c r="I115" s="352">
        <v>0.26651256604311879</v>
      </c>
      <c r="J115" s="352">
        <v>0.26550070944999865</v>
      </c>
      <c r="K115" s="352">
        <v>0.26509291627575532</v>
      </c>
      <c r="L115" s="364">
        <v>0</v>
      </c>
      <c r="M115" s="291">
        <f t="shared" si="83"/>
        <v>0.13380432887974669</v>
      </c>
      <c r="N115" s="293">
        <f t="shared" si="84"/>
        <v>0.12819151109991689</v>
      </c>
      <c r="O115" s="351">
        <v>0.3962608038604995</v>
      </c>
      <c r="P115" s="352">
        <v>0.33618963497131954</v>
      </c>
      <c r="Q115" s="352">
        <v>0.38563707279900306</v>
      </c>
      <c r="R115" s="352">
        <v>0.35926134979614488</v>
      </c>
      <c r="S115" s="352">
        <v>0.34638078815319212</v>
      </c>
      <c r="T115" s="352">
        <v>0.34391974425532784</v>
      </c>
      <c r="U115" s="352">
        <v>0</v>
      </c>
      <c r="V115" s="352">
        <v>0</v>
      </c>
      <c r="W115" s="352">
        <v>0</v>
      </c>
      <c r="X115" s="352">
        <v>0</v>
      </c>
      <c r="Y115" s="364">
        <v>0</v>
      </c>
      <c r="Z115" s="291">
        <f t="shared" si="85"/>
        <v>0.2122142839562268</v>
      </c>
      <c r="AA115" s="293">
        <f t="shared" si="86"/>
        <v>0.23632254423792901</v>
      </c>
      <c r="AB115" s="91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1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920"/>
      <c r="AE115" s="897">
        <f t="shared" si="89"/>
        <v>0.13380432887974669</v>
      </c>
      <c r="AF115" s="897">
        <f t="shared" si="90"/>
        <v>0.2122142839562268</v>
      </c>
      <c r="AG115" s="897">
        <f t="shared" si="91"/>
        <v>0.34601861283597346</v>
      </c>
      <c r="AH115" s="1113">
        <f t="shared" si="87"/>
        <v>0.38669691142648227</v>
      </c>
      <c r="AI115" s="897">
        <f t="shared" si="88"/>
        <v>0.61330308857351779</v>
      </c>
    </row>
    <row r="116" spans="1:47" x14ac:dyDescent="0.2">
      <c r="A116" s="339">
        <v>2047</v>
      </c>
      <c r="B116" s="353">
        <v>0.38120141674759483</v>
      </c>
      <c r="C116" s="354">
        <v>0.31442150265915225</v>
      </c>
      <c r="D116" s="354">
        <v>0.32172778433533394</v>
      </c>
      <c r="E116" s="354">
        <v>0.29149567182262343</v>
      </c>
      <c r="F116" s="354">
        <v>0.27245831117060798</v>
      </c>
      <c r="G116" s="354">
        <v>0.26860639995758523</v>
      </c>
      <c r="H116" s="354">
        <v>0</v>
      </c>
      <c r="I116" s="354">
        <v>0.26508438634687703</v>
      </c>
      <c r="J116" s="354">
        <v>0.26407176074513983</v>
      </c>
      <c r="K116" s="354">
        <v>0.26366367107295335</v>
      </c>
      <c r="L116" s="365">
        <v>0</v>
      </c>
      <c r="M116" s="305">
        <f t="shared" si="83"/>
        <v>0.12888585338925651</v>
      </c>
      <c r="N116" s="307">
        <f t="shared" si="84"/>
        <v>0.12281237974892049</v>
      </c>
      <c r="O116" s="353">
        <v>0.38072404345160354</v>
      </c>
      <c r="P116" s="354">
        <v>0.31795962970397718</v>
      </c>
      <c r="Q116" s="354">
        <v>0.37265535940488365</v>
      </c>
      <c r="R116" s="354">
        <v>0.3483929211466496</v>
      </c>
      <c r="S116" s="354">
        <v>0.3395833863593769</v>
      </c>
      <c r="T116" s="354">
        <v>0.3374393021858979</v>
      </c>
      <c r="U116" s="354">
        <v>0</v>
      </c>
      <c r="V116" s="354">
        <v>0</v>
      </c>
      <c r="W116" s="354">
        <v>0</v>
      </c>
      <c r="X116" s="354">
        <v>0</v>
      </c>
      <c r="Y116" s="365">
        <v>0</v>
      </c>
      <c r="Z116" s="305">
        <f t="shared" si="85"/>
        <v>0.20342631048190429</v>
      </c>
      <c r="AA116" s="307">
        <f t="shared" si="86"/>
        <v>0.22618202449459929</v>
      </c>
      <c r="AB116" s="91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1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920"/>
      <c r="AE116" s="897">
        <f t="shared" si="89"/>
        <v>0.12888585338925651</v>
      </c>
      <c r="AF116" s="897">
        <f t="shared" si="90"/>
        <v>0.20342631048190429</v>
      </c>
      <c r="AG116" s="897">
        <f t="shared" si="91"/>
        <v>0.3323121638711608</v>
      </c>
      <c r="AH116" s="1113">
        <f t="shared" si="87"/>
        <v>0.38784572881065599</v>
      </c>
      <c r="AI116" s="897">
        <f t="shared" si="88"/>
        <v>0.61215427118934396</v>
      </c>
    </row>
    <row r="117" spans="1:47" x14ac:dyDescent="0.2">
      <c r="A117" s="339">
        <v>2048</v>
      </c>
      <c r="B117" s="353">
        <v>0.36888128510278428</v>
      </c>
      <c r="C117" s="354">
        <v>0.3003949504231157</v>
      </c>
      <c r="D117" s="354">
        <v>0.31179805635829688</v>
      </c>
      <c r="E117" s="354">
        <v>0.28602348173647041</v>
      </c>
      <c r="F117" s="354">
        <v>0.27008430962635116</v>
      </c>
      <c r="G117" s="354">
        <v>0.26764478512634143</v>
      </c>
      <c r="H117" s="354">
        <v>0</v>
      </c>
      <c r="I117" s="354">
        <v>0.26310775152178434</v>
      </c>
      <c r="J117" s="354">
        <v>0.26269947787687364</v>
      </c>
      <c r="K117" s="354">
        <v>0.26269947787687364</v>
      </c>
      <c r="L117" s="365">
        <v>0</v>
      </c>
      <c r="M117" s="305">
        <f t="shared" si="83"/>
        <v>0.12486572201045827</v>
      </c>
      <c r="N117" s="307">
        <f t="shared" si="84"/>
        <v>0.11842499543608186</v>
      </c>
      <c r="O117" s="353">
        <v>0.37427455283173933</v>
      </c>
      <c r="P117" s="354">
        <v>0.30838082313228626</v>
      </c>
      <c r="Q117" s="354">
        <v>0.36402816502663893</v>
      </c>
      <c r="R117" s="354">
        <v>0.34346544513136029</v>
      </c>
      <c r="S117" s="354">
        <v>0.33457266391910778</v>
      </c>
      <c r="T117" s="354">
        <v>0.33089547284562415</v>
      </c>
      <c r="U117" s="354">
        <v>0</v>
      </c>
      <c r="V117" s="354">
        <v>0</v>
      </c>
      <c r="W117" s="354">
        <v>0</v>
      </c>
      <c r="X117" s="354">
        <v>0</v>
      </c>
      <c r="Y117" s="365">
        <v>0</v>
      </c>
      <c r="Z117" s="305">
        <f t="shared" si="85"/>
        <v>0.19884431647864989</v>
      </c>
      <c r="AA117" s="307">
        <f t="shared" si="86"/>
        <v>0.22131485810258719</v>
      </c>
      <c r="AB117" s="91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1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920"/>
      <c r="AE117" s="897">
        <f t="shared" si="89"/>
        <v>0.12486572201045827</v>
      </c>
      <c r="AF117" s="897">
        <f t="shared" si="90"/>
        <v>0.19884431647864989</v>
      </c>
      <c r="AG117" s="897">
        <f t="shared" si="91"/>
        <v>0.32371003848910818</v>
      </c>
      <c r="AH117" s="1113">
        <f t="shared" si="87"/>
        <v>0.3857332401344718</v>
      </c>
      <c r="AI117" s="897">
        <f t="shared" si="88"/>
        <v>0.61426675986552814</v>
      </c>
    </row>
    <row r="118" spans="1:47" x14ac:dyDescent="0.2">
      <c r="A118" s="339">
        <v>2049</v>
      </c>
      <c r="B118" s="353">
        <v>0.35582248898447638</v>
      </c>
      <c r="C118" s="354">
        <v>0.29055241109619018</v>
      </c>
      <c r="D118" s="354">
        <v>0.30544745957993091</v>
      </c>
      <c r="E118" s="354">
        <v>0.28120046350040223</v>
      </c>
      <c r="F118" s="354">
        <v>0.26700201650896105</v>
      </c>
      <c r="G118" s="354">
        <v>0.26600358034819149</v>
      </c>
      <c r="H118" s="354">
        <v>0</v>
      </c>
      <c r="I118" s="354">
        <v>0.26246346298384415</v>
      </c>
      <c r="J118" s="354">
        <v>0.26205507362345831</v>
      </c>
      <c r="K118" s="354">
        <v>0.26205507362345831</v>
      </c>
      <c r="L118" s="365">
        <v>0</v>
      </c>
      <c r="M118" s="305">
        <f t="shared" si="83"/>
        <v>0.12176264702605505</v>
      </c>
      <c r="N118" s="307">
        <f t="shared" si="84"/>
        <v>0.11471664327666413</v>
      </c>
      <c r="O118" s="353">
        <v>0.36308224716605741</v>
      </c>
      <c r="P118" s="354">
        <v>0.29900889278769666</v>
      </c>
      <c r="Q118" s="354">
        <v>0.35495721313837053</v>
      </c>
      <c r="R118" s="354">
        <v>0.33516288285179791</v>
      </c>
      <c r="S118" s="354">
        <v>0.32745381190861095</v>
      </c>
      <c r="T118" s="354">
        <v>0.32563676233723149</v>
      </c>
      <c r="U118" s="354">
        <v>0</v>
      </c>
      <c r="V118" s="354">
        <v>0</v>
      </c>
      <c r="W118" s="354">
        <v>0</v>
      </c>
      <c r="X118" s="354">
        <v>0</v>
      </c>
      <c r="Y118" s="365">
        <v>0</v>
      </c>
      <c r="Z118" s="305">
        <f t="shared" si="85"/>
        <v>0.19332881123233106</v>
      </c>
      <c r="AA118" s="307">
        <f t="shared" si="86"/>
        <v>0.21484526276988417</v>
      </c>
      <c r="AB118" s="91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1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920"/>
      <c r="AE118" s="897">
        <f t="shared" si="89"/>
        <v>0.12176264702605505</v>
      </c>
      <c r="AF118" s="897">
        <f t="shared" si="90"/>
        <v>0.19332881123233106</v>
      </c>
      <c r="AG118" s="897">
        <f t="shared" si="91"/>
        <v>0.31509145825838614</v>
      </c>
      <c r="AH118" s="1113">
        <f t="shared" si="87"/>
        <v>0.38643588658060474</v>
      </c>
      <c r="AI118" s="897">
        <f t="shared" si="88"/>
        <v>0.61356411341939521</v>
      </c>
    </row>
    <row r="119" spans="1:47" ht="13.5" thickBot="1" x14ac:dyDescent="0.25">
      <c r="A119" s="337">
        <v>2050</v>
      </c>
      <c r="B119" s="355">
        <v>0.32979435528606277</v>
      </c>
      <c r="C119" s="356">
        <v>0.27710285082170588</v>
      </c>
      <c r="D119" s="356">
        <v>0.29876111539562666</v>
      </c>
      <c r="E119" s="356">
        <v>0.27796525492452301</v>
      </c>
      <c r="F119" s="356">
        <v>0.264741132074653</v>
      </c>
      <c r="G119" s="356">
        <v>0.26374146203361459</v>
      </c>
      <c r="H119" s="356">
        <v>0</v>
      </c>
      <c r="I119" s="356">
        <v>0.26099582876002492</v>
      </c>
      <c r="J119" s="356">
        <v>0.26079092457460878</v>
      </c>
      <c r="K119" s="356">
        <v>0.26079092457460878</v>
      </c>
      <c r="L119" s="366">
        <v>0</v>
      </c>
      <c r="M119" s="319">
        <f t="shared" si="83"/>
        <v>0.11720888199536852</v>
      </c>
      <c r="N119" s="321">
        <f>SUMPRODUCT($B$73:$L$73,$B119:$L119)</f>
        <v>0.10857904484824385</v>
      </c>
      <c r="O119" s="355">
        <v>0.33421079470366699</v>
      </c>
      <c r="P119" s="356">
        <v>0.28674093813794549</v>
      </c>
      <c r="Q119" s="356">
        <v>0.34386930699662155</v>
      </c>
      <c r="R119" s="356">
        <v>0.32587814774793411</v>
      </c>
      <c r="S119" s="356">
        <v>0.32062394147664686</v>
      </c>
      <c r="T119" s="356">
        <v>0.31886583590811429</v>
      </c>
      <c r="U119" s="356">
        <v>0</v>
      </c>
      <c r="V119" s="356">
        <v>0</v>
      </c>
      <c r="W119" s="356">
        <v>0</v>
      </c>
      <c r="X119" s="356">
        <v>0</v>
      </c>
      <c r="Y119" s="366">
        <v>0</v>
      </c>
      <c r="Z119" s="319">
        <f>SUMPRODUCT($O$74:$Y$74,$O119:$Y119)</f>
        <v>0.18439491099985947</v>
      </c>
      <c r="AA119" s="321">
        <f t="shared" si="86"/>
        <v>0.20190635893359174</v>
      </c>
      <c r="AB119" s="921">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22">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923"/>
      <c r="AE119" s="897">
        <f t="shared" si="89"/>
        <v>0.11720888199536852</v>
      </c>
      <c r="AF119" s="897">
        <f t="shared" si="90"/>
        <v>0.18439491099985947</v>
      </c>
      <c r="AG119" s="897">
        <f t="shared" si="91"/>
        <v>0.30160379299522799</v>
      </c>
      <c r="AH119" s="1113">
        <f t="shared" si="87"/>
        <v>0.38861872667902098</v>
      </c>
      <c r="AI119" s="897">
        <f t="shared" si="88"/>
        <v>0.61138127332097902</v>
      </c>
    </row>
    <row r="120" spans="1:47" x14ac:dyDescent="0.2">
      <c r="B120" s="236" t="str">
        <f>"Output generated: "&amp; TEXT($L$4,"m/dd/yyyy hh:mm")</f>
        <v>Output generated: 11/04/2020 14:43</v>
      </c>
      <c r="O120" s="236" t="str">
        <f>"Output generated: "&amp; TEXT($L$5,"m/dd/yyyy hh:mm")</f>
        <v>Output generated: 11/04/2020 14:43</v>
      </c>
      <c r="AB120"/>
      <c r="AC120"/>
      <c r="AD120"/>
      <c r="AE120" s="897"/>
      <c r="AF120" s="897"/>
      <c r="AG120" s="897"/>
      <c r="AH120" s="897"/>
      <c r="AI120" s="897"/>
    </row>
    <row r="121" spans="1:47" ht="13.5" thickBot="1" x14ac:dyDescent="0.25">
      <c r="AE121" s="897"/>
      <c r="AF121" s="897"/>
      <c r="AG121" s="897"/>
      <c r="AH121" s="897"/>
      <c r="AI121" s="897"/>
    </row>
    <row r="122" spans="1:47" ht="15" x14ac:dyDescent="0.25">
      <c r="A122" s="342"/>
      <c r="B122" s="1643" t="s">
        <v>308</v>
      </c>
      <c r="C122" s="1644"/>
      <c r="D122" s="1644"/>
      <c r="E122" s="1644"/>
      <c r="F122" s="1644"/>
      <c r="G122" s="1644"/>
      <c r="H122" s="1644"/>
      <c r="I122" s="1644"/>
      <c r="J122" s="1644"/>
      <c r="K122" s="1644"/>
      <c r="L122" s="1644"/>
      <c r="M122" s="1644"/>
      <c r="N122" s="1645"/>
      <c r="O122" s="1643" t="s">
        <v>309</v>
      </c>
      <c r="P122" s="1644"/>
      <c r="Q122" s="1644"/>
      <c r="R122" s="1644"/>
      <c r="S122" s="1644"/>
      <c r="T122" s="1644"/>
      <c r="U122" s="1644"/>
      <c r="V122" s="1644"/>
      <c r="W122" s="1644"/>
      <c r="X122" s="1644"/>
      <c r="Y122" s="1644"/>
      <c r="Z122" s="1644"/>
      <c r="AA122" s="1645"/>
      <c r="AE122" s="897"/>
      <c r="AF122" s="897"/>
      <c r="AG122" s="897"/>
      <c r="AH122" s="897"/>
      <c r="AI122" s="897"/>
    </row>
    <row r="123" spans="1:47" x14ac:dyDescent="0.2">
      <c r="A123" s="333"/>
      <c r="B123" s="1641" t="s">
        <v>125</v>
      </c>
      <c r="C123" s="1642"/>
      <c r="D123" s="1642"/>
      <c r="E123" s="1642"/>
      <c r="F123" s="1642"/>
      <c r="G123" s="1642"/>
      <c r="H123" s="1642"/>
      <c r="I123" s="1642"/>
      <c r="J123" s="1642"/>
      <c r="K123" s="1642"/>
      <c r="L123" s="1642"/>
      <c r="M123" s="367"/>
      <c r="N123" s="334"/>
      <c r="O123" s="1641" t="s">
        <v>125</v>
      </c>
      <c r="P123" s="1642"/>
      <c r="Q123" s="1642"/>
      <c r="R123" s="1642"/>
      <c r="S123" s="1642"/>
      <c r="T123" s="1642"/>
      <c r="U123" s="1642"/>
      <c r="V123" s="1642"/>
      <c r="W123" s="1642"/>
      <c r="X123" s="1642"/>
      <c r="Y123" s="1642"/>
      <c r="Z123" s="367"/>
      <c r="AA123" s="334"/>
      <c r="AC123" s="925" t="s">
        <v>211</v>
      </c>
      <c r="AD123" s="243" t="b">
        <f>INDEX(TECH_OPT_FUEL2_Cls1,MATCH(RIGHT(O122),TECH_OPT_ROWS_Cls1,0))&lt;&gt;"N/A"</f>
        <v>0</v>
      </c>
      <c r="AE123" s="897"/>
      <c r="AF123" s="897"/>
      <c r="AG123" s="897"/>
      <c r="AH123" s="897"/>
      <c r="AI123" s="897"/>
    </row>
    <row r="124" spans="1:47" ht="13.5" thickBot="1" x14ac:dyDescent="0.25">
      <c r="A124" s="340"/>
      <c r="B124" s="347" t="s">
        <v>31</v>
      </c>
      <c r="C124" s="348" t="s">
        <v>32</v>
      </c>
      <c r="D124" s="348" t="s">
        <v>33</v>
      </c>
      <c r="E124" s="348" t="s">
        <v>34</v>
      </c>
      <c r="F124" s="348" t="s">
        <v>35</v>
      </c>
      <c r="G124" s="348" t="s">
        <v>36</v>
      </c>
      <c r="H124" s="348" t="s">
        <v>37</v>
      </c>
      <c r="I124" s="348" t="s">
        <v>38</v>
      </c>
      <c r="J124" s="348" t="s">
        <v>39</v>
      </c>
      <c r="K124" s="348" t="s">
        <v>40</v>
      </c>
      <c r="L124" s="362" t="s">
        <v>41</v>
      </c>
      <c r="M124" s="368" t="s">
        <v>126</v>
      </c>
      <c r="N124" s="341" t="s">
        <v>127</v>
      </c>
      <c r="O124" s="347" t="s">
        <v>31</v>
      </c>
      <c r="P124" s="348" t="s">
        <v>32</v>
      </c>
      <c r="Q124" s="348" t="s">
        <v>33</v>
      </c>
      <c r="R124" s="348" t="s">
        <v>34</v>
      </c>
      <c r="S124" s="348" t="s">
        <v>35</v>
      </c>
      <c r="T124" s="348" t="s">
        <v>36</v>
      </c>
      <c r="U124" s="348" t="s">
        <v>37</v>
      </c>
      <c r="V124" s="348" t="s">
        <v>38</v>
      </c>
      <c r="W124" s="348" t="s">
        <v>39</v>
      </c>
      <c r="X124" s="348" t="s">
        <v>40</v>
      </c>
      <c r="Y124" s="362" t="s">
        <v>41</v>
      </c>
      <c r="Z124" s="368" t="s">
        <v>126</v>
      </c>
      <c r="AA124" s="341" t="s">
        <v>127</v>
      </c>
      <c r="AB124" s="896"/>
      <c r="AC124" s="925" t="s">
        <v>212</v>
      </c>
      <c r="AD124" s="243">
        <f>MATCH(RIGHT(O122),TECH_OPT_ROWS_Cls1,0)</f>
        <v>3</v>
      </c>
      <c r="AE124" s="897"/>
      <c r="AF124" s="897"/>
      <c r="AG124" s="897"/>
      <c r="AH124" s="897"/>
      <c r="AI124" s="897"/>
    </row>
    <row r="125" spans="1:47" ht="14.25" thickTop="1" thickBot="1" x14ac:dyDescent="0.25">
      <c r="A125" s="357" t="s">
        <v>128</v>
      </c>
      <c r="B125" s="349">
        <f t="array" ref="B125:L125">TRANSPOSE(Cls2CentTruckShr)</f>
        <v>0.14301387566993123</v>
      </c>
      <c r="C125" s="350">
        <v>0.15922037604799255</v>
      </c>
      <c r="D125" s="350">
        <v>2.9955708879143464E-2</v>
      </c>
      <c r="E125" s="350">
        <v>1.2051872071306563E-2</v>
      </c>
      <c r="F125" s="350">
        <v>2.5101991276529922E-3</v>
      </c>
      <c r="G125" s="350">
        <v>6.9082025480011917E-3</v>
      </c>
      <c r="H125" s="350">
        <v>0</v>
      </c>
      <c r="I125" s="350">
        <v>5.0829911580039175E-3</v>
      </c>
      <c r="J125" s="350">
        <v>4.1774531135091424E-3</v>
      </c>
      <c r="K125" s="350">
        <v>3.4985640210313297E-4</v>
      </c>
      <c r="L125" s="363">
        <v>0</v>
      </c>
      <c r="M125" s="1170"/>
      <c r="N125" s="1171"/>
      <c r="O125" s="349">
        <f t="array" ref="O125:Y125">TRANSPOSE(Cls2NCentTruckShr)</f>
        <v>0.32168658911174963</v>
      </c>
      <c r="P125" s="350">
        <v>0.22951996662284996</v>
      </c>
      <c r="Q125" s="350">
        <v>4.4589165182040112E-2</v>
      </c>
      <c r="R125" s="350">
        <v>2.5203556385104318E-2</v>
      </c>
      <c r="S125" s="350">
        <v>1.1662976711256823E-2</v>
      </c>
      <c r="T125" s="350">
        <v>4.0672109693550701E-3</v>
      </c>
      <c r="U125" s="350">
        <v>0</v>
      </c>
      <c r="V125" s="350">
        <v>0</v>
      </c>
      <c r="W125" s="350">
        <v>0</v>
      </c>
      <c r="X125" s="350">
        <v>0</v>
      </c>
      <c r="Y125" s="1172">
        <v>0</v>
      </c>
      <c r="Z125" s="1170"/>
      <c r="AA125" s="1171"/>
    </row>
    <row r="126" spans="1:47" x14ac:dyDescent="0.2">
      <c r="A126" s="340" t="s">
        <v>129</v>
      </c>
      <c r="B126" s="886">
        <f t="array" ref="B126:L126">TRANSPOSE(Cls2CentVMTShr)</f>
        <v>6.2596304675174685E-2</v>
      </c>
      <c r="C126" s="887">
        <v>0.17123619514715344</v>
      </c>
      <c r="D126" s="887">
        <v>5.4462640341289378E-2</v>
      </c>
      <c r="E126" s="887">
        <v>3.0079969757749035E-2</v>
      </c>
      <c r="F126" s="887">
        <v>8.9582541075343674E-3</v>
      </c>
      <c r="G126" s="887">
        <v>2.7354452536373829E-2</v>
      </c>
      <c r="H126" s="887">
        <v>0</v>
      </c>
      <c r="I126" s="887">
        <v>2.7838813346236703E-2</v>
      </c>
      <c r="J126" s="887">
        <v>2.6638291118281053E-2</v>
      </c>
      <c r="K126" s="887">
        <v>2.6207591632366194E-3</v>
      </c>
      <c r="L126" s="1167">
        <v>0</v>
      </c>
      <c r="M126" s="1168"/>
      <c r="N126" s="1169"/>
      <c r="O126" s="886">
        <f t="array" ref="O126:Y126">TRANSPOSE(Cls2NCentVMTShr)</f>
        <v>0.1395246673448009</v>
      </c>
      <c r="P126" s="887">
        <v>0.24520988200363547</v>
      </c>
      <c r="Q126" s="887">
        <v>8.1490070736109921E-2</v>
      </c>
      <c r="R126" s="887">
        <v>6.583288215049983E-2</v>
      </c>
      <c r="S126" s="887">
        <v>4.0172226503060141E-2</v>
      </c>
      <c r="T126" s="887">
        <v>1.5984591068864695E-2</v>
      </c>
      <c r="U126" s="887">
        <v>0</v>
      </c>
      <c r="V126" s="887">
        <v>0</v>
      </c>
      <c r="W126" s="887">
        <v>0</v>
      </c>
      <c r="X126" s="887">
        <v>0</v>
      </c>
      <c r="Y126" s="888">
        <v>0</v>
      </c>
      <c r="Z126" s="1168"/>
      <c r="AA126" s="1169"/>
      <c r="AB126" s="1630" t="str">
        <f>"% of miles on f2 for Tech "&amp; RIGHT(O121)&amp;" adopters"</f>
        <v>% of miles on f2 for Tech  adopters</v>
      </c>
      <c r="AC126" s="1631"/>
      <c r="AD126" s="1632"/>
      <c r="AE126" s="897" t="s">
        <v>250</v>
      </c>
      <c r="AF126" s="897"/>
      <c r="AG126" s="897"/>
      <c r="AH126" s="1113" t="s">
        <v>251</v>
      </c>
      <c r="AI126" s="897"/>
    </row>
    <row r="127" spans="1:47" ht="13.5" thickBot="1" x14ac:dyDescent="0.25">
      <c r="A127" s="902" t="s">
        <v>210</v>
      </c>
      <c r="B127" s="893">
        <f t="array" ref="B127:L127">TRANSPOSE(Cls2CentVMT/OPDAYS_Cls2)</f>
        <v>47.272432262826776</v>
      </c>
      <c r="C127" s="894">
        <v>116.15404879045298</v>
      </c>
      <c r="D127" s="894">
        <v>196.36158066360434</v>
      </c>
      <c r="E127" s="894">
        <v>269.56301851798423</v>
      </c>
      <c r="F127" s="894">
        <v>385.43631601986891</v>
      </c>
      <c r="G127" s="894">
        <v>427.66173492444818</v>
      </c>
      <c r="H127" s="894">
        <v>520</v>
      </c>
      <c r="I127" s="894">
        <v>591.51912876803578</v>
      </c>
      <c r="J127" s="894">
        <v>688.70336552103913</v>
      </c>
      <c r="K127" s="894">
        <v>809.04879618738505</v>
      </c>
      <c r="L127" s="895">
        <v>800</v>
      </c>
      <c r="M127" s="891"/>
      <c r="N127" s="892"/>
      <c r="O127" s="893">
        <f t="array" ref="O127:Y127">TRANSPOSE(Cls2NCentVMT/OPDAYS_Cls2)</f>
        <v>46.84416138890699</v>
      </c>
      <c r="P127" s="894">
        <v>115.38648000770841</v>
      </c>
      <c r="Q127" s="894">
        <v>197.38438010908374</v>
      </c>
      <c r="R127" s="894">
        <v>282.10999329750342</v>
      </c>
      <c r="S127" s="894">
        <v>372.00940778680217</v>
      </c>
      <c r="T127" s="894">
        <v>424.46536474865826</v>
      </c>
      <c r="U127" s="894">
        <v>520</v>
      </c>
      <c r="V127" s="894">
        <v>600</v>
      </c>
      <c r="W127" s="894">
        <v>680</v>
      </c>
      <c r="X127" s="894">
        <v>760</v>
      </c>
      <c r="Y127" s="1173">
        <v>800</v>
      </c>
      <c r="Z127" s="903"/>
      <c r="AA127" s="892"/>
      <c r="AB127" s="915" t="s">
        <v>174</v>
      </c>
      <c r="AC127" s="916" t="s">
        <v>15</v>
      </c>
      <c r="AD127" s="917" t="s">
        <v>20</v>
      </c>
      <c r="AE127" s="897" t="s">
        <v>174</v>
      </c>
      <c r="AF127" s="897" t="s">
        <v>15</v>
      </c>
      <c r="AG127" s="897" t="s">
        <v>20</v>
      </c>
      <c r="AH127" s="1113" t="s">
        <v>174</v>
      </c>
      <c r="AI127" s="897" t="s">
        <v>15</v>
      </c>
      <c r="AJ127"/>
      <c r="AK127"/>
      <c r="AL127"/>
      <c r="AM127"/>
      <c r="AN127"/>
      <c r="AO127"/>
      <c r="AP127"/>
      <c r="AQ127"/>
      <c r="AR127"/>
      <c r="AS127"/>
      <c r="AT127"/>
      <c r="AU127"/>
    </row>
    <row r="128" spans="1:47" ht="13.5" thickTop="1" x14ac:dyDescent="0.2">
      <c r="A128" s="335">
        <v>2007</v>
      </c>
      <c r="B128" s="351">
        <v>0</v>
      </c>
      <c r="C128" s="352">
        <v>0</v>
      </c>
      <c r="D128" s="352">
        <v>0</v>
      </c>
      <c r="E128" s="352">
        <v>0</v>
      </c>
      <c r="F128" s="352">
        <v>0</v>
      </c>
      <c r="G128" s="352">
        <v>0</v>
      </c>
      <c r="H128" s="352">
        <v>0</v>
      </c>
      <c r="I128" s="352">
        <v>0</v>
      </c>
      <c r="J128" s="352">
        <v>0</v>
      </c>
      <c r="K128" s="352">
        <v>0</v>
      </c>
      <c r="L128" s="364">
        <v>0</v>
      </c>
      <c r="M128" s="372">
        <f>SUMPRODUCT($B$126:$L$126,$B128:$L128)</f>
        <v>0</v>
      </c>
      <c r="N128" s="346">
        <f>SUMPRODUCT($B$125:$L$125,$B128:$L128)</f>
        <v>0</v>
      </c>
      <c r="O128" s="351">
        <v>0</v>
      </c>
      <c r="P128" s="352">
        <v>0</v>
      </c>
      <c r="Q128" s="352">
        <v>0</v>
      </c>
      <c r="R128" s="352">
        <v>0</v>
      </c>
      <c r="S128" s="352">
        <v>0</v>
      </c>
      <c r="T128" s="352">
        <v>0</v>
      </c>
      <c r="U128" s="352">
        <v>0</v>
      </c>
      <c r="V128" s="352">
        <v>0</v>
      </c>
      <c r="W128" s="352">
        <v>0</v>
      </c>
      <c r="X128" s="352">
        <v>0</v>
      </c>
      <c r="Y128" s="364">
        <v>0</v>
      </c>
      <c r="Z128" s="372">
        <f t="shared" ref="Z128:Z171" si="92">SUMPRODUCT($O$126:$Y$126,$O128:$Y128)</f>
        <v>0</v>
      </c>
      <c r="AA128" s="346">
        <f t="shared" ref="AA128:AA171" si="93">SUMPRODUCT($O$125:$Y$125,$O128:$Y128)</f>
        <v>0</v>
      </c>
      <c r="AB128" s="91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1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174">
        <f>AB128*AH128+AC128*AI128</f>
        <v>0</v>
      </c>
      <c r="AE128" s="897"/>
      <c r="AF128" s="897"/>
      <c r="AG128" s="897"/>
      <c r="AH128" s="1113"/>
      <c r="AI128" s="897"/>
    </row>
    <row r="129" spans="1:35" x14ac:dyDescent="0.2">
      <c r="A129" s="336">
        <v>2008</v>
      </c>
      <c r="B129" s="353">
        <v>0</v>
      </c>
      <c r="C129" s="354">
        <v>0</v>
      </c>
      <c r="D129" s="354">
        <v>0</v>
      </c>
      <c r="E129" s="354">
        <v>0</v>
      </c>
      <c r="F129" s="354">
        <v>0</v>
      </c>
      <c r="G129" s="354">
        <v>0</v>
      </c>
      <c r="H129" s="354">
        <v>0</v>
      </c>
      <c r="I129" s="354">
        <v>0</v>
      </c>
      <c r="J129" s="354">
        <v>0</v>
      </c>
      <c r="K129" s="354">
        <v>0</v>
      </c>
      <c r="L129" s="365">
        <v>0</v>
      </c>
      <c r="M129" s="305">
        <f t="shared" ref="M129:M171" si="94">SUMPRODUCT($B$126:$L$126,$B129:$L129)</f>
        <v>0</v>
      </c>
      <c r="N129" s="307">
        <f t="shared" ref="N129:N171" si="95">SUMPRODUCT($B$125:$L$125,$B129:$L129)</f>
        <v>0</v>
      </c>
      <c r="O129" s="353">
        <v>0</v>
      </c>
      <c r="P129" s="354">
        <v>0</v>
      </c>
      <c r="Q129" s="354">
        <v>0</v>
      </c>
      <c r="R129" s="354">
        <v>0</v>
      </c>
      <c r="S129" s="354">
        <v>0</v>
      </c>
      <c r="T129" s="354">
        <v>0</v>
      </c>
      <c r="U129" s="354">
        <v>0</v>
      </c>
      <c r="V129" s="354">
        <v>0</v>
      </c>
      <c r="W129" s="354">
        <v>0</v>
      </c>
      <c r="X129" s="354">
        <v>0</v>
      </c>
      <c r="Y129" s="365">
        <v>0</v>
      </c>
      <c r="Z129" s="305">
        <f t="shared" si="92"/>
        <v>0</v>
      </c>
      <c r="AA129" s="307">
        <f t="shared" si="93"/>
        <v>0</v>
      </c>
      <c r="AB129" s="91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1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920">
        <f t="shared" ref="AD129:AD171" si="96">AB129*AH129+AC129*AI129</f>
        <v>0</v>
      </c>
      <c r="AE129" s="897"/>
      <c r="AF129" s="897"/>
      <c r="AG129" s="897"/>
      <c r="AH129" s="1113"/>
      <c r="AI129" s="897"/>
    </row>
    <row r="130" spans="1:35" x14ac:dyDescent="0.2">
      <c r="A130" s="336">
        <v>2009</v>
      </c>
      <c r="B130" s="353">
        <v>0</v>
      </c>
      <c r="C130" s="354">
        <v>0</v>
      </c>
      <c r="D130" s="354">
        <v>0</v>
      </c>
      <c r="E130" s="354">
        <v>0</v>
      </c>
      <c r="F130" s="354">
        <v>0</v>
      </c>
      <c r="G130" s="354">
        <v>0</v>
      </c>
      <c r="H130" s="354">
        <v>0</v>
      </c>
      <c r="I130" s="354">
        <v>0</v>
      </c>
      <c r="J130" s="354">
        <v>0</v>
      </c>
      <c r="K130" s="354">
        <v>0</v>
      </c>
      <c r="L130" s="365">
        <v>0</v>
      </c>
      <c r="M130" s="305">
        <f t="shared" si="94"/>
        <v>0</v>
      </c>
      <c r="N130" s="307">
        <f t="shared" si="95"/>
        <v>0</v>
      </c>
      <c r="O130" s="353">
        <v>0</v>
      </c>
      <c r="P130" s="354">
        <v>0</v>
      </c>
      <c r="Q130" s="354">
        <v>0</v>
      </c>
      <c r="R130" s="354">
        <v>0</v>
      </c>
      <c r="S130" s="354">
        <v>0</v>
      </c>
      <c r="T130" s="354">
        <v>0</v>
      </c>
      <c r="U130" s="354">
        <v>0</v>
      </c>
      <c r="V130" s="354">
        <v>0</v>
      </c>
      <c r="W130" s="354">
        <v>0</v>
      </c>
      <c r="X130" s="354">
        <v>0</v>
      </c>
      <c r="Y130" s="365">
        <v>0</v>
      </c>
      <c r="Z130" s="305">
        <f t="shared" si="92"/>
        <v>0</v>
      </c>
      <c r="AA130" s="307">
        <f t="shared" si="93"/>
        <v>0</v>
      </c>
      <c r="AB130" s="91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1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920">
        <f t="shared" si="96"/>
        <v>0</v>
      </c>
      <c r="AE130" s="897">
        <f t="shared" ref="AE130:AE143" si="97">SUMPRODUCT($B$74:$L$74,B130:L130)</f>
        <v>0</v>
      </c>
      <c r="AF130" s="897">
        <f t="shared" ref="AF130:AF143" si="98">SUMPRODUCT($O$74:$Y$74,O130:Y130)</f>
        <v>0</v>
      </c>
      <c r="AG130" s="897">
        <f t="shared" ref="AG130:AG143" si="99">SUM(AE130:AF130)</f>
        <v>0</v>
      </c>
      <c r="AH130" s="1113">
        <f t="shared" ref="AH130:AH172" si="100">IF(AG130&gt;0,AE130/AG130,0)</f>
        <v>0</v>
      </c>
      <c r="AI130" s="897">
        <f t="shared" ref="AI130:AI172" si="101">IF(AG130&gt;0,AF130/AG130,0)</f>
        <v>0</v>
      </c>
    </row>
    <row r="131" spans="1:35" ht="13.5" thickBot="1" x14ac:dyDescent="0.25">
      <c r="A131" s="337">
        <v>2010</v>
      </c>
      <c r="B131" s="355">
        <v>0</v>
      </c>
      <c r="C131" s="356">
        <v>0</v>
      </c>
      <c r="D131" s="356">
        <v>0</v>
      </c>
      <c r="E131" s="356">
        <v>0</v>
      </c>
      <c r="F131" s="356">
        <v>0</v>
      </c>
      <c r="G131" s="356">
        <v>0</v>
      </c>
      <c r="H131" s="356">
        <v>0</v>
      </c>
      <c r="I131" s="356">
        <v>0</v>
      </c>
      <c r="J131" s="356">
        <v>0</v>
      </c>
      <c r="K131" s="356">
        <v>0</v>
      </c>
      <c r="L131" s="366">
        <v>0</v>
      </c>
      <c r="M131" s="319">
        <f t="shared" si="94"/>
        <v>0</v>
      </c>
      <c r="N131" s="321">
        <f t="shared" si="95"/>
        <v>0</v>
      </c>
      <c r="O131" s="355">
        <v>0</v>
      </c>
      <c r="P131" s="356">
        <v>0</v>
      </c>
      <c r="Q131" s="356">
        <v>0</v>
      </c>
      <c r="R131" s="356">
        <v>0</v>
      </c>
      <c r="S131" s="356">
        <v>0</v>
      </c>
      <c r="T131" s="356">
        <v>0</v>
      </c>
      <c r="U131" s="356">
        <v>0</v>
      </c>
      <c r="V131" s="356">
        <v>0</v>
      </c>
      <c r="W131" s="356">
        <v>0</v>
      </c>
      <c r="X131" s="356">
        <v>0</v>
      </c>
      <c r="Y131" s="366">
        <v>0</v>
      </c>
      <c r="Z131" s="319">
        <f t="shared" si="92"/>
        <v>0</v>
      </c>
      <c r="AA131" s="321">
        <f t="shared" si="93"/>
        <v>0</v>
      </c>
      <c r="AB131" s="91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1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920">
        <f t="shared" si="96"/>
        <v>0</v>
      </c>
      <c r="AE131" s="897">
        <f t="shared" si="97"/>
        <v>0</v>
      </c>
      <c r="AF131" s="897">
        <f t="shared" si="98"/>
        <v>0</v>
      </c>
      <c r="AG131" s="897">
        <f t="shared" si="99"/>
        <v>0</v>
      </c>
      <c r="AH131" s="1113">
        <f t="shared" si="100"/>
        <v>0</v>
      </c>
      <c r="AI131" s="897">
        <f t="shared" si="101"/>
        <v>0</v>
      </c>
    </row>
    <row r="132" spans="1:35" x14ac:dyDescent="0.2">
      <c r="A132" s="338">
        <v>2011</v>
      </c>
      <c r="B132" s="351">
        <v>0</v>
      </c>
      <c r="C132" s="352">
        <v>0</v>
      </c>
      <c r="D132" s="352">
        <v>0</v>
      </c>
      <c r="E132" s="352">
        <v>0</v>
      </c>
      <c r="F132" s="352">
        <v>0</v>
      </c>
      <c r="G132" s="352">
        <v>0</v>
      </c>
      <c r="H132" s="352">
        <v>0</v>
      </c>
      <c r="I132" s="352">
        <v>0</v>
      </c>
      <c r="J132" s="352">
        <v>0</v>
      </c>
      <c r="K132" s="352">
        <v>0</v>
      </c>
      <c r="L132" s="364">
        <v>0</v>
      </c>
      <c r="M132" s="291">
        <f t="shared" si="94"/>
        <v>0</v>
      </c>
      <c r="N132" s="293">
        <f t="shared" si="95"/>
        <v>0</v>
      </c>
      <c r="O132" s="351">
        <v>0</v>
      </c>
      <c r="P132" s="352">
        <v>0</v>
      </c>
      <c r="Q132" s="352">
        <v>0</v>
      </c>
      <c r="R132" s="352">
        <v>0</v>
      </c>
      <c r="S132" s="352">
        <v>0</v>
      </c>
      <c r="T132" s="352">
        <v>0</v>
      </c>
      <c r="U132" s="352">
        <v>0</v>
      </c>
      <c r="V132" s="352">
        <v>0</v>
      </c>
      <c r="W132" s="352">
        <v>0</v>
      </c>
      <c r="X132" s="352">
        <v>0</v>
      </c>
      <c r="Y132" s="364">
        <v>0</v>
      </c>
      <c r="Z132" s="291">
        <f t="shared" si="92"/>
        <v>0</v>
      </c>
      <c r="AA132" s="293">
        <f t="shared" si="93"/>
        <v>0</v>
      </c>
      <c r="AB132" s="91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1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920">
        <f t="shared" si="96"/>
        <v>0</v>
      </c>
      <c r="AE132" s="897">
        <f t="shared" si="97"/>
        <v>0</v>
      </c>
      <c r="AF132" s="897">
        <f t="shared" si="98"/>
        <v>0</v>
      </c>
      <c r="AG132" s="897">
        <f t="shared" si="99"/>
        <v>0</v>
      </c>
      <c r="AH132" s="1113">
        <f t="shared" si="100"/>
        <v>0</v>
      </c>
      <c r="AI132" s="897">
        <f t="shared" si="101"/>
        <v>0</v>
      </c>
    </row>
    <row r="133" spans="1:35" x14ac:dyDescent="0.2">
      <c r="A133" s="339">
        <v>2012</v>
      </c>
      <c r="B133" s="353">
        <v>0</v>
      </c>
      <c r="C133" s="354">
        <v>0</v>
      </c>
      <c r="D133" s="354">
        <v>0</v>
      </c>
      <c r="E133" s="354">
        <v>0</v>
      </c>
      <c r="F133" s="354">
        <v>0</v>
      </c>
      <c r="G133" s="354">
        <v>0</v>
      </c>
      <c r="H133" s="354">
        <v>0</v>
      </c>
      <c r="I133" s="354">
        <v>0</v>
      </c>
      <c r="J133" s="354">
        <v>0</v>
      </c>
      <c r="K133" s="354">
        <v>0</v>
      </c>
      <c r="L133" s="365">
        <v>0</v>
      </c>
      <c r="M133" s="305">
        <f t="shared" si="94"/>
        <v>0</v>
      </c>
      <c r="N133" s="307">
        <f t="shared" si="95"/>
        <v>0</v>
      </c>
      <c r="O133" s="353">
        <v>0</v>
      </c>
      <c r="P133" s="354">
        <v>0</v>
      </c>
      <c r="Q133" s="354">
        <v>0</v>
      </c>
      <c r="R133" s="354">
        <v>0</v>
      </c>
      <c r="S133" s="354">
        <v>0</v>
      </c>
      <c r="T133" s="354">
        <v>0</v>
      </c>
      <c r="U133" s="354">
        <v>0</v>
      </c>
      <c r="V133" s="354">
        <v>0</v>
      </c>
      <c r="W133" s="354">
        <v>0</v>
      </c>
      <c r="X133" s="354">
        <v>0</v>
      </c>
      <c r="Y133" s="365">
        <v>0</v>
      </c>
      <c r="Z133" s="305">
        <f t="shared" si="92"/>
        <v>0</v>
      </c>
      <c r="AA133" s="307">
        <f t="shared" si="93"/>
        <v>0</v>
      </c>
      <c r="AB133" s="91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1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920">
        <f t="shared" si="96"/>
        <v>0</v>
      </c>
      <c r="AE133" s="897">
        <f t="shared" si="97"/>
        <v>0</v>
      </c>
      <c r="AF133" s="897">
        <f t="shared" si="98"/>
        <v>0</v>
      </c>
      <c r="AG133" s="897">
        <f t="shared" si="99"/>
        <v>0</v>
      </c>
      <c r="AH133" s="1113">
        <f t="shared" si="100"/>
        <v>0</v>
      </c>
      <c r="AI133" s="897">
        <f t="shared" si="101"/>
        <v>0</v>
      </c>
    </row>
    <row r="134" spans="1:35" x14ac:dyDescent="0.2">
      <c r="A134" s="339">
        <v>2013</v>
      </c>
      <c r="B134" s="353">
        <v>0</v>
      </c>
      <c r="C134" s="354">
        <v>0</v>
      </c>
      <c r="D134" s="354">
        <v>0</v>
      </c>
      <c r="E134" s="354">
        <v>0</v>
      </c>
      <c r="F134" s="354">
        <v>0</v>
      </c>
      <c r="G134" s="354">
        <v>0</v>
      </c>
      <c r="H134" s="354">
        <v>0</v>
      </c>
      <c r="I134" s="354">
        <v>0</v>
      </c>
      <c r="J134" s="354">
        <v>0</v>
      </c>
      <c r="K134" s="354">
        <v>0</v>
      </c>
      <c r="L134" s="365">
        <v>0</v>
      </c>
      <c r="M134" s="305">
        <f t="shared" si="94"/>
        <v>0</v>
      </c>
      <c r="N134" s="307">
        <f t="shared" si="95"/>
        <v>0</v>
      </c>
      <c r="O134" s="353">
        <v>0</v>
      </c>
      <c r="P134" s="354">
        <v>0</v>
      </c>
      <c r="Q134" s="354">
        <v>0</v>
      </c>
      <c r="R134" s="354">
        <v>0</v>
      </c>
      <c r="S134" s="354">
        <v>0</v>
      </c>
      <c r="T134" s="354">
        <v>0</v>
      </c>
      <c r="U134" s="354">
        <v>0</v>
      </c>
      <c r="V134" s="354">
        <v>0</v>
      </c>
      <c r="W134" s="354">
        <v>0</v>
      </c>
      <c r="X134" s="354">
        <v>0</v>
      </c>
      <c r="Y134" s="365">
        <v>0</v>
      </c>
      <c r="Z134" s="305">
        <f t="shared" si="92"/>
        <v>0</v>
      </c>
      <c r="AA134" s="307">
        <f t="shared" si="93"/>
        <v>0</v>
      </c>
      <c r="AB134" s="91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1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920">
        <f t="shared" si="96"/>
        <v>0</v>
      </c>
      <c r="AE134" s="897">
        <f t="shared" si="97"/>
        <v>0</v>
      </c>
      <c r="AF134" s="897">
        <f t="shared" si="98"/>
        <v>0</v>
      </c>
      <c r="AG134" s="897">
        <f t="shared" si="99"/>
        <v>0</v>
      </c>
      <c r="AH134" s="1113">
        <f t="shared" si="100"/>
        <v>0</v>
      </c>
      <c r="AI134" s="897">
        <f t="shared" si="101"/>
        <v>0</v>
      </c>
    </row>
    <row r="135" spans="1:35" x14ac:dyDescent="0.2">
      <c r="A135" s="339">
        <v>2014</v>
      </c>
      <c r="B135" s="353">
        <v>0</v>
      </c>
      <c r="C135" s="354">
        <v>0</v>
      </c>
      <c r="D135" s="354">
        <v>0</v>
      </c>
      <c r="E135" s="354">
        <v>0</v>
      </c>
      <c r="F135" s="354">
        <v>0</v>
      </c>
      <c r="G135" s="354">
        <v>0</v>
      </c>
      <c r="H135" s="354">
        <v>0</v>
      </c>
      <c r="I135" s="354">
        <v>0</v>
      </c>
      <c r="J135" s="354">
        <v>0</v>
      </c>
      <c r="K135" s="354">
        <v>0</v>
      </c>
      <c r="L135" s="365">
        <v>0</v>
      </c>
      <c r="M135" s="305">
        <f t="shared" si="94"/>
        <v>0</v>
      </c>
      <c r="N135" s="307">
        <f t="shared" si="95"/>
        <v>0</v>
      </c>
      <c r="O135" s="353">
        <v>0</v>
      </c>
      <c r="P135" s="354">
        <v>0</v>
      </c>
      <c r="Q135" s="354">
        <v>0</v>
      </c>
      <c r="R135" s="354">
        <v>0</v>
      </c>
      <c r="S135" s="354">
        <v>0</v>
      </c>
      <c r="T135" s="354">
        <v>0</v>
      </c>
      <c r="U135" s="354">
        <v>0</v>
      </c>
      <c r="V135" s="354">
        <v>0</v>
      </c>
      <c r="W135" s="354">
        <v>0</v>
      </c>
      <c r="X135" s="354">
        <v>0</v>
      </c>
      <c r="Y135" s="365">
        <v>0</v>
      </c>
      <c r="Z135" s="305">
        <f t="shared" si="92"/>
        <v>0</v>
      </c>
      <c r="AA135" s="307">
        <f t="shared" si="93"/>
        <v>0</v>
      </c>
      <c r="AB135" s="91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1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920">
        <f t="shared" si="96"/>
        <v>0</v>
      </c>
      <c r="AE135" s="897">
        <f t="shared" si="97"/>
        <v>0</v>
      </c>
      <c r="AF135" s="897">
        <f t="shared" si="98"/>
        <v>0</v>
      </c>
      <c r="AG135" s="897">
        <f t="shared" si="99"/>
        <v>0</v>
      </c>
      <c r="AH135" s="1113">
        <f t="shared" si="100"/>
        <v>0</v>
      </c>
      <c r="AI135" s="897">
        <f t="shared" si="101"/>
        <v>0</v>
      </c>
    </row>
    <row r="136" spans="1:35" ht="13.5" thickBot="1" x14ac:dyDescent="0.25">
      <c r="A136" s="337">
        <v>2015</v>
      </c>
      <c r="B136" s="355">
        <v>0</v>
      </c>
      <c r="C136" s="356">
        <v>0</v>
      </c>
      <c r="D136" s="356">
        <v>0</v>
      </c>
      <c r="E136" s="356">
        <v>0</v>
      </c>
      <c r="F136" s="356">
        <v>0</v>
      </c>
      <c r="G136" s="356">
        <v>0</v>
      </c>
      <c r="H136" s="356">
        <v>0</v>
      </c>
      <c r="I136" s="356">
        <v>0</v>
      </c>
      <c r="J136" s="356">
        <v>0</v>
      </c>
      <c r="K136" s="356">
        <v>0</v>
      </c>
      <c r="L136" s="366">
        <v>0</v>
      </c>
      <c r="M136" s="319">
        <f t="shared" si="94"/>
        <v>0</v>
      </c>
      <c r="N136" s="321">
        <f t="shared" si="95"/>
        <v>0</v>
      </c>
      <c r="O136" s="355">
        <v>0</v>
      </c>
      <c r="P136" s="356">
        <v>0</v>
      </c>
      <c r="Q136" s="356">
        <v>0</v>
      </c>
      <c r="R136" s="356">
        <v>0</v>
      </c>
      <c r="S136" s="356">
        <v>0</v>
      </c>
      <c r="T136" s="356">
        <v>0</v>
      </c>
      <c r="U136" s="356">
        <v>0</v>
      </c>
      <c r="V136" s="356">
        <v>0</v>
      </c>
      <c r="W136" s="356">
        <v>0</v>
      </c>
      <c r="X136" s="356">
        <v>0</v>
      </c>
      <c r="Y136" s="366">
        <v>0</v>
      </c>
      <c r="Z136" s="319">
        <f t="shared" si="92"/>
        <v>0</v>
      </c>
      <c r="AA136" s="321">
        <f t="shared" si="93"/>
        <v>0</v>
      </c>
      <c r="AB136" s="91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1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920">
        <f t="shared" si="96"/>
        <v>0</v>
      </c>
      <c r="AE136" s="897">
        <f t="shared" si="97"/>
        <v>0</v>
      </c>
      <c r="AF136" s="897">
        <f t="shared" si="98"/>
        <v>0</v>
      </c>
      <c r="AG136" s="897">
        <f t="shared" si="99"/>
        <v>0</v>
      </c>
      <c r="AH136" s="1113">
        <f t="shared" si="100"/>
        <v>0</v>
      </c>
      <c r="AI136" s="897">
        <f t="shared" si="101"/>
        <v>0</v>
      </c>
    </row>
    <row r="137" spans="1:35" x14ac:dyDescent="0.2">
      <c r="A137" s="338">
        <v>2016</v>
      </c>
      <c r="B137" s="351">
        <v>0</v>
      </c>
      <c r="C137" s="352">
        <v>0</v>
      </c>
      <c r="D137" s="352">
        <v>0</v>
      </c>
      <c r="E137" s="352">
        <v>0</v>
      </c>
      <c r="F137" s="352">
        <v>0</v>
      </c>
      <c r="G137" s="352">
        <v>0</v>
      </c>
      <c r="H137" s="352">
        <v>0</v>
      </c>
      <c r="I137" s="352">
        <v>0</v>
      </c>
      <c r="J137" s="352">
        <v>0</v>
      </c>
      <c r="K137" s="352">
        <v>0</v>
      </c>
      <c r="L137" s="364">
        <v>0</v>
      </c>
      <c r="M137" s="291">
        <f t="shared" si="94"/>
        <v>0</v>
      </c>
      <c r="N137" s="293">
        <f t="shared" si="95"/>
        <v>0</v>
      </c>
      <c r="O137" s="351">
        <v>0</v>
      </c>
      <c r="P137" s="352">
        <v>0</v>
      </c>
      <c r="Q137" s="352">
        <v>0</v>
      </c>
      <c r="R137" s="352">
        <v>0</v>
      </c>
      <c r="S137" s="352">
        <v>0</v>
      </c>
      <c r="T137" s="352">
        <v>0</v>
      </c>
      <c r="U137" s="352">
        <v>0</v>
      </c>
      <c r="V137" s="352">
        <v>0</v>
      </c>
      <c r="W137" s="352">
        <v>0</v>
      </c>
      <c r="X137" s="352">
        <v>0</v>
      </c>
      <c r="Y137" s="364">
        <v>0</v>
      </c>
      <c r="Z137" s="291">
        <f t="shared" si="92"/>
        <v>0</v>
      </c>
      <c r="AA137" s="293">
        <f t="shared" si="93"/>
        <v>0</v>
      </c>
      <c r="AB137" s="91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1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920">
        <f t="shared" si="96"/>
        <v>0</v>
      </c>
      <c r="AE137" s="897">
        <f t="shared" si="97"/>
        <v>0</v>
      </c>
      <c r="AF137" s="897">
        <f t="shared" si="98"/>
        <v>0</v>
      </c>
      <c r="AG137" s="897">
        <f t="shared" si="99"/>
        <v>0</v>
      </c>
      <c r="AH137" s="1113">
        <f t="shared" si="100"/>
        <v>0</v>
      </c>
      <c r="AI137" s="897">
        <f t="shared" si="101"/>
        <v>0</v>
      </c>
    </row>
    <row r="138" spans="1:35" x14ac:dyDescent="0.2">
      <c r="A138" s="339">
        <v>2017</v>
      </c>
      <c r="B138" s="353">
        <v>0</v>
      </c>
      <c r="C138" s="354">
        <v>0</v>
      </c>
      <c r="D138" s="354">
        <v>0</v>
      </c>
      <c r="E138" s="354">
        <v>0</v>
      </c>
      <c r="F138" s="354">
        <v>0</v>
      </c>
      <c r="G138" s="354">
        <v>0</v>
      </c>
      <c r="H138" s="354">
        <v>0</v>
      </c>
      <c r="I138" s="354">
        <v>0</v>
      </c>
      <c r="J138" s="354">
        <v>0</v>
      </c>
      <c r="K138" s="354">
        <v>0</v>
      </c>
      <c r="L138" s="365">
        <v>0</v>
      </c>
      <c r="M138" s="305">
        <f t="shared" si="94"/>
        <v>0</v>
      </c>
      <c r="N138" s="307">
        <f t="shared" si="95"/>
        <v>0</v>
      </c>
      <c r="O138" s="353">
        <v>0</v>
      </c>
      <c r="P138" s="354">
        <v>0</v>
      </c>
      <c r="Q138" s="354">
        <v>0</v>
      </c>
      <c r="R138" s="354">
        <v>0</v>
      </c>
      <c r="S138" s="354">
        <v>0</v>
      </c>
      <c r="T138" s="354">
        <v>0</v>
      </c>
      <c r="U138" s="354">
        <v>0</v>
      </c>
      <c r="V138" s="354">
        <v>0</v>
      </c>
      <c r="W138" s="354">
        <v>0</v>
      </c>
      <c r="X138" s="354">
        <v>0</v>
      </c>
      <c r="Y138" s="365">
        <v>0</v>
      </c>
      <c r="Z138" s="305">
        <f t="shared" si="92"/>
        <v>0</v>
      </c>
      <c r="AA138" s="307">
        <f t="shared" si="93"/>
        <v>0</v>
      </c>
      <c r="AB138" s="91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1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920">
        <f t="shared" si="96"/>
        <v>0</v>
      </c>
      <c r="AE138" s="897">
        <f t="shared" si="97"/>
        <v>0</v>
      </c>
      <c r="AF138" s="897">
        <f t="shared" si="98"/>
        <v>0</v>
      </c>
      <c r="AG138" s="897">
        <f t="shared" si="99"/>
        <v>0</v>
      </c>
      <c r="AH138" s="1113">
        <f t="shared" si="100"/>
        <v>0</v>
      </c>
      <c r="AI138" s="897">
        <f t="shared" si="101"/>
        <v>0</v>
      </c>
    </row>
    <row r="139" spans="1:35" x14ac:dyDescent="0.2">
      <c r="A139" s="339">
        <v>2018</v>
      </c>
      <c r="B139" s="353">
        <v>0</v>
      </c>
      <c r="C139" s="354">
        <v>0</v>
      </c>
      <c r="D139" s="354">
        <v>0</v>
      </c>
      <c r="E139" s="354">
        <v>0</v>
      </c>
      <c r="F139" s="354">
        <v>0</v>
      </c>
      <c r="G139" s="354">
        <v>0</v>
      </c>
      <c r="H139" s="354">
        <v>0</v>
      </c>
      <c r="I139" s="354">
        <v>0</v>
      </c>
      <c r="J139" s="354">
        <v>0</v>
      </c>
      <c r="K139" s="354">
        <v>0</v>
      </c>
      <c r="L139" s="365">
        <v>0</v>
      </c>
      <c r="M139" s="305">
        <f t="shared" si="94"/>
        <v>0</v>
      </c>
      <c r="N139" s="307">
        <f t="shared" si="95"/>
        <v>0</v>
      </c>
      <c r="O139" s="353">
        <v>0</v>
      </c>
      <c r="P139" s="354">
        <v>0</v>
      </c>
      <c r="Q139" s="354">
        <v>0</v>
      </c>
      <c r="R139" s="354">
        <v>0</v>
      </c>
      <c r="S139" s="354">
        <v>0</v>
      </c>
      <c r="T139" s="354">
        <v>0</v>
      </c>
      <c r="U139" s="354">
        <v>0</v>
      </c>
      <c r="V139" s="354">
        <v>0</v>
      </c>
      <c r="W139" s="354">
        <v>0</v>
      </c>
      <c r="X139" s="354">
        <v>0</v>
      </c>
      <c r="Y139" s="365">
        <v>0</v>
      </c>
      <c r="Z139" s="305">
        <f t="shared" si="92"/>
        <v>0</v>
      </c>
      <c r="AA139" s="307">
        <f t="shared" si="93"/>
        <v>0</v>
      </c>
      <c r="AB139" s="91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1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920">
        <f t="shared" si="96"/>
        <v>0</v>
      </c>
      <c r="AE139" s="897">
        <f t="shared" si="97"/>
        <v>0</v>
      </c>
      <c r="AF139" s="897">
        <f t="shared" si="98"/>
        <v>0</v>
      </c>
      <c r="AG139" s="897">
        <f t="shared" si="99"/>
        <v>0</v>
      </c>
      <c r="AH139" s="1113">
        <f t="shared" si="100"/>
        <v>0</v>
      </c>
      <c r="AI139" s="897">
        <f t="shared" si="101"/>
        <v>0</v>
      </c>
    </row>
    <row r="140" spans="1:35" x14ac:dyDescent="0.2">
      <c r="A140" s="339">
        <v>2019</v>
      </c>
      <c r="B140" s="353">
        <v>0</v>
      </c>
      <c r="C140" s="354">
        <v>0</v>
      </c>
      <c r="D140" s="354">
        <v>0</v>
      </c>
      <c r="E140" s="354">
        <v>0</v>
      </c>
      <c r="F140" s="354">
        <v>0</v>
      </c>
      <c r="G140" s="354">
        <v>0</v>
      </c>
      <c r="H140" s="354">
        <v>0</v>
      </c>
      <c r="I140" s="354">
        <v>0</v>
      </c>
      <c r="J140" s="354">
        <v>0</v>
      </c>
      <c r="K140" s="354">
        <v>0</v>
      </c>
      <c r="L140" s="365">
        <v>0</v>
      </c>
      <c r="M140" s="305">
        <f t="shared" si="94"/>
        <v>0</v>
      </c>
      <c r="N140" s="307">
        <f t="shared" si="95"/>
        <v>0</v>
      </c>
      <c r="O140" s="353">
        <v>0</v>
      </c>
      <c r="P140" s="354">
        <v>0</v>
      </c>
      <c r="Q140" s="354">
        <v>0</v>
      </c>
      <c r="R140" s="354">
        <v>0</v>
      </c>
      <c r="S140" s="354">
        <v>0</v>
      </c>
      <c r="T140" s="354">
        <v>0</v>
      </c>
      <c r="U140" s="354">
        <v>0</v>
      </c>
      <c r="V140" s="354">
        <v>0</v>
      </c>
      <c r="W140" s="354">
        <v>0</v>
      </c>
      <c r="X140" s="354">
        <v>0</v>
      </c>
      <c r="Y140" s="365">
        <v>0</v>
      </c>
      <c r="Z140" s="305">
        <f t="shared" si="92"/>
        <v>0</v>
      </c>
      <c r="AA140" s="307">
        <f t="shared" si="93"/>
        <v>0</v>
      </c>
      <c r="AB140" s="91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1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920">
        <f t="shared" si="96"/>
        <v>0</v>
      </c>
      <c r="AE140" s="897">
        <f t="shared" si="97"/>
        <v>0</v>
      </c>
      <c r="AF140" s="897">
        <f t="shared" si="98"/>
        <v>0</v>
      </c>
      <c r="AG140" s="897">
        <f t="shared" si="99"/>
        <v>0</v>
      </c>
      <c r="AH140" s="1113">
        <f t="shared" si="100"/>
        <v>0</v>
      </c>
      <c r="AI140" s="897">
        <f t="shared" si="101"/>
        <v>0</v>
      </c>
    </row>
    <row r="141" spans="1:35" ht="13.5" thickBot="1" x14ac:dyDescent="0.25">
      <c r="A141" s="337">
        <v>2020</v>
      </c>
      <c r="B141" s="355">
        <v>0</v>
      </c>
      <c r="C141" s="356">
        <v>0</v>
      </c>
      <c r="D141" s="356">
        <v>0</v>
      </c>
      <c r="E141" s="356">
        <v>0</v>
      </c>
      <c r="F141" s="356">
        <v>0</v>
      </c>
      <c r="G141" s="356">
        <v>0</v>
      </c>
      <c r="H141" s="356">
        <v>0</v>
      </c>
      <c r="I141" s="356">
        <v>0</v>
      </c>
      <c r="J141" s="356">
        <v>0</v>
      </c>
      <c r="K141" s="356">
        <v>0</v>
      </c>
      <c r="L141" s="366">
        <v>0</v>
      </c>
      <c r="M141" s="319">
        <f t="shared" si="94"/>
        <v>0</v>
      </c>
      <c r="N141" s="321">
        <f t="shared" si="95"/>
        <v>0</v>
      </c>
      <c r="O141" s="355">
        <v>0</v>
      </c>
      <c r="P141" s="356">
        <v>0</v>
      </c>
      <c r="Q141" s="356">
        <v>0</v>
      </c>
      <c r="R141" s="356">
        <v>0</v>
      </c>
      <c r="S141" s="356">
        <v>0</v>
      </c>
      <c r="T141" s="356">
        <v>0</v>
      </c>
      <c r="U141" s="356">
        <v>0</v>
      </c>
      <c r="V141" s="356">
        <v>0</v>
      </c>
      <c r="W141" s="356">
        <v>0</v>
      </c>
      <c r="X141" s="356">
        <v>0</v>
      </c>
      <c r="Y141" s="366">
        <v>0</v>
      </c>
      <c r="Z141" s="319">
        <f t="shared" si="92"/>
        <v>0</v>
      </c>
      <c r="AA141" s="321">
        <f t="shared" si="93"/>
        <v>0</v>
      </c>
      <c r="AB141" s="91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1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920">
        <f t="shared" si="96"/>
        <v>0</v>
      </c>
      <c r="AE141" s="897">
        <f t="shared" si="97"/>
        <v>0</v>
      </c>
      <c r="AF141" s="897">
        <f t="shared" si="98"/>
        <v>0</v>
      </c>
      <c r="AG141" s="897">
        <f t="shared" si="99"/>
        <v>0</v>
      </c>
      <c r="AH141" s="1113">
        <f t="shared" si="100"/>
        <v>0</v>
      </c>
      <c r="AI141" s="897">
        <f t="shared" si="101"/>
        <v>0</v>
      </c>
    </row>
    <row r="142" spans="1:35" x14ac:dyDescent="0.2">
      <c r="A142" s="338">
        <v>2021</v>
      </c>
      <c r="B142" s="351">
        <v>0</v>
      </c>
      <c r="C142" s="352">
        <v>0</v>
      </c>
      <c r="D142" s="352">
        <v>0</v>
      </c>
      <c r="E142" s="352">
        <v>0</v>
      </c>
      <c r="F142" s="352">
        <v>0</v>
      </c>
      <c r="G142" s="352">
        <v>0</v>
      </c>
      <c r="H142" s="352">
        <v>0</v>
      </c>
      <c r="I142" s="352">
        <v>0</v>
      </c>
      <c r="J142" s="352">
        <v>0</v>
      </c>
      <c r="K142" s="352">
        <v>0</v>
      </c>
      <c r="L142" s="364">
        <v>0</v>
      </c>
      <c r="M142" s="291">
        <f t="shared" si="94"/>
        <v>0</v>
      </c>
      <c r="N142" s="293">
        <f t="shared" si="95"/>
        <v>0</v>
      </c>
      <c r="O142" s="351">
        <v>0</v>
      </c>
      <c r="P142" s="352">
        <v>0</v>
      </c>
      <c r="Q142" s="352">
        <v>0</v>
      </c>
      <c r="R142" s="352">
        <v>0</v>
      </c>
      <c r="S142" s="352">
        <v>0</v>
      </c>
      <c r="T142" s="352">
        <v>0</v>
      </c>
      <c r="U142" s="352">
        <v>0</v>
      </c>
      <c r="V142" s="352">
        <v>0</v>
      </c>
      <c r="W142" s="352">
        <v>0</v>
      </c>
      <c r="X142" s="352">
        <v>0</v>
      </c>
      <c r="Y142" s="364">
        <v>0</v>
      </c>
      <c r="Z142" s="291">
        <f t="shared" si="92"/>
        <v>0</v>
      </c>
      <c r="AA142" s="293">
        <f t="shared" si="93"/>
        <v>0</v>
      </c>
      <c r="AB142" s="91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1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920">
        <f t="shared" si="96"/>
        <v>0</v>
      </c>
      <c r="AE142" s="897">
        <f t="shared" si="97"/>
        <v>0</v>
      </c>
      <c r="AF142" s="897">
        <f t="shared" si="98"/>
        <v>0</v>
      </c>
      <c r="AG142" s="897">
        <f t="shared" si="99"/>
        <v>0</v>
      </c>
      <c r="AH142" s="1113">
        <f t="shared" si="100"/>
        <v>0</v>
      </c>
      <c r="AI142" s="897">
        <f t="shared" si="101"/>
        <v>0</v>
      </c>
    </row>
    <row r="143" spans="1:35" x14ac:dyDescent="0.2">
      <c r="A143" s="339">
        <v>2022</v>
      </c>
      <c r="B143" s="353">
        <v>0</v>
      </c>
      <c r="C143" s="354">
        <v>0</v>
      </c>
      <c r="D143" s="354">
        <v>0</v>
      </c>
      <c r="E143" s="354">
        <v>0</v>
      </c>
      <c r="F143" s="354">
        <v>0</v>
      </c>
      <c r="G143" s="354">
        <v>0</v>
      </c>
      <c r="H143" s="354">
        <v>0</v>
      </c>
      <c r="I143" s="354">
        <v>0</v>
      </c>
      <c r="J143" s="354">
        <v>0</v>
      </c>
      <c r="K143" s="354">
        <v>0</v>
      </c>
      <c r="L143" s="365">
        <v>0</v>
      </c>
      <c r="M143" s="305">
        <f t="shared" si="94"/>
        <v>0</v>
      </c>
      <c r="N143" s="307">
        <f t="shared" si="95"/>
        <v>0</v>
      </c>
      <c r="O143" s="353">
        <v>0</v>
      </c>
      <c r="P143" s="354">
        <v>0</v>
      </c>
      <c r="Q143" s="354">
        <v>0</v>
      </c>
      <c r="R143" s="354">
        <v>0</v>
      </c>
      <c r="S143" s="354">
        <v>0</v>
      </c>
      <c r="T143" s="354">
        <v>0</v>
      </c>
      <c r="U143" s="354">
        <v>0</v>
      </c>
      <c r="V143" s="354">
        <v>0</v>
      </c>
      <c r="W143" s="354">
        <v>0</v>
      </c>
      <c r="X143" s="354">
        <v>0</v>
      </c>
      <c r="Y143" s="365">
        <v>0</v>
      </c>
      <c r="Z143" s="305">
        <f t="shared" si="92"/>
        <v>0</v>
      </c>
      <c r="AA143" s="307">
        <f t="shared" si="93"/>
        <v>0</v>
      </c>
      <c r="AB143" s="91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1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920">
        <f t="shared" si="96"/>
        <v>0</v>
      </c>
      <c r="AE143" s="897">
        <f t="shared" si="97"/>
        <v>0</v>
      </c>
      <c r="AF143" s="897">
        <f t="shared" si="98"/>
        <v>0</v>
      </c>
      <c r="AG143" s="897">
        <f t="shared" si="99"/>
        <v>0</v>
      </c>
      <c r="AH143" s="1113">
        <f t="shared" si="100"/>
        <v>0</v>
      </c>
      <c r="AI143" s="897">
        <f t="shared" si="101"/>
        <v>0</v>
      </c>
    </row>
    <row r="144" spans="1:35" x14ac:dyDescent="0.2">
      <c r="A144" s="339">
        <v>2023</v>
      </c>
      <c r="B144" s="353">
        <v>0</v>
      </c>
      <c r="C144" s="354">
        <v>0</v>
      </c>
      <c r="D144" s="354">
        <v>0</v>
      </c>
      <c r="E144" s="354">
        <v>0</v>
      </c>
      <c r="F144" s="354">
        <v>0</v>
      </c>
      <c r="G144" s="354">
        <v>0</v>
      </c>
      <c r="H144" s="354">
        <v>0</v>
      </c>
      <c r="I144" s="354">
        <v>0</v>
      </c>
      <c r="J144" s="354">
        <v>0</v>
      </c>
      <c r="K144" s="354">
        <v>0</v>
      </c>
      <c r="L144" s="365">
        <v>0</v>
      </c>
      <c r="M144" s="305">
        <f t="shared" si="94"/>
        <v>0</v>
      </c>
      <c r="N144" s="307">
        <f t="shared" si="95"/>
        <v>0</v>
      </c>
      <c r="O144" s="353">
        <v>0</v>
      </c>
      <c r="P144" s="354">
        <v>0</v>
      </c>
      <c r="Q144" s="354">
        <v>0</v>
      </c>
      <c r="R144" s="354">
        <v>0</v>
      </c>
      <c r="S144" s="354">
        <v>0</v>
      </c>
      <c r="T144" s="354">
        <v>0</v>
      </c>
      <c r="U144" s="354">
        <v>0</v>
      </c>
      <c r="V144" s="354">
        <v>0</v>
      </c>
      <c r="W144" s="354">
        <v>0</v>
      </c>
      <c r="X144" s="354">
        <v>0</v>
      </c>
      <c r="Y144" s="365">
        <v>0</v>
      </c>
      <c r="Z144" s="305">
        <f t="shared" si="92"/>
        <v>0</v>
      </c>
      <c r="AA144" s="307">
        <f t="shared" si="93"/>
        <v>0</v>
      </c>
      <c r="AB144" s="91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1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920">
        <f t="shared" si="96"/>
        <v>0</v>
      </c>
      <c r="AE144" s="897">
        <f>SUMPRODUCT($B$74:$L$74,B144:L144)</f>
        <v>0</v>
      </c>
      <c r="AF144" s="897">
        <f>SUMPRODUCT($O$74:$Y$74,O144:Y144)</f>
        <v>0</v>
      </c>
      <c r="AG144" s="897">
        <f>SUM(AE144:AF144)</f>
        <v>0</v>
      </c>
      <c r="AH144" s="1113">
        <f t="shared" si="100"/>
        <v>0</v>
      </c>
      <c r="AI144" s="897">
        <f t="shared" si="101"/>
        <v>0</v>
      </c>
    </row>
    <row r="145" spans="1:35" x14ac:dyDescent="0.2">
      <c r="A145" s="339">
        <v>2024</v>
      </c>
      <c r="B145" s="353">
        <v>0</v>
      </c>
      <c r="C145" s="354">
        <v>0</v>
      </c>
      <c r="D145" s="354">
        <v>0</v>
      </c>
      <c r="E145" s="354">
        <v>0</v>
      </c>
      <c r="F145" s="354">
        <v>0</v>
      </c>
      <c r="G145" s="354">
        <v>0</v>
      </c>
      <c r="H145" s="354">
        <v>0</v>
      </c>
      <c r="I145" s="354">
        <v>0</v>
      </c>
      <c r="J145" s="354">
        <v>0</v>
      </c>
      <c r="K145" s="354">
        <v>0</v>
      </c>
      <c r="L145" s="365">
        <v>0</v>
      </c>
      <c r="M145" s="305">
        <f t="shared" si="94"/>
        <v>0</v>
      </c>
      <c r="N145" s="307">
        <f t="shared" si="95"/>
        <v>0</v>
      </c>
      <c r="O145" s="353">
        <v>0</v>
      </c>
      <c r="P145" s="354">
        <v>0</v>
      </c>
      <c r="Q145" s="354">
        <v>0</v>
      </c>
      <c r="R145" s="354">
        <v>0</v>
      </c>
      <c r="S145" s="354">
        <v>0</v>
      </c>
      <c r="T145" s="354">
        <v>0</v>
      </c>
      <c r="U145" s="354">
        <v>0</v>
      </c>
      <c r="V145" s="354">
        <v>0</v>
      </c>
      <c r="W145" s="354">
        <v>0</v>
      </c>
      <c r="X145" s="354">
        <v>0</v>
      </c>
      <c r="Y145" s="365">
        <v>0</v>
      </c>
      <c r="Z145" s="305">
        <f t="shared" si="92"/>
        <v>0</v>
      </c>
      <c r="AA145" s="307">
        <f t="shared" si="93"/>
        <v>0</v>
      </c>
      <c r="AB145" s="91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1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920">
        <f t="shared" si="96"/>
        <v>0</v>
      </c>
      <c r="AE145" s="897">
        <f t="shared" ref="AE145:AE172" si="102">SUMPRODUCT($B$74:$L$74,B145:L145)</f>
        <v>0</v>
      </c>
      <c r="AF145" s="897">
        <f t="shared" ref="AF145:AF172" si="103">SUMPRODUCT($O$74:$Y$74,O145:Y145)</f>
        <v>0</v>
      </c>
      <c r="AG145" s="897">
        <f t="shared" ref="AG145:AG172" si="104">SUM(AE145:AF145)</f>
        <v>0</v>
      </c>
      <c r="AH145" s="1113">
        <f t="shared" si="100"/>
        <v>0</v>
      </c>
      <c r="AI145" s="897">
        <f t="shared" si="101"/>
        <v>0</v>
      </c>
    </row>
    <row r="146" spans="1:35" ht="13.5" thickBot="1" x14ac:dyDescent="0.25">
      <c r="A146" s="337">
        <v>2025</v>
      </c>
      <c r="B146" s="355">
        <v>0</v>
      </c>
      <c r="C146" s="356">
        <v>0</v>
      </c>
      <c r="D146" s="356">
        <v>0</v>
      </c>
      <c r="E146" s="356">
        <v>0</v>
      </c>
      <c r="F146" s="356">
        <v>0</v>
      </c>
      <c r="G146" s="356">
        <v>0</v>
      </c>
      <c r="H146" s="356">
        <v>0</v>
      </c>
      <c r="I146" s="356">
        <v>0</v>
      </c>
      <c r="J146" s="356">
        <v>0</v>
      </c>
      <c r="K146" s="356">
        <v>0</v>
      </c>
      <c r="L146" s="366">
        <v>0</v>
      </c>
      <c r="M146" s="319">
        <f t="shared" si="94"/>
        <v>0</v>
      </c>
      <c r="N146" s="321">
        <f t="shared" si="95"/>
        <v>0</v>
      </c>
      <c r="O146" s="355">
        <v>0</v>
      </c>
      <c r="P146" s="356">
        <v>0</v>
      </c>
      <c r="Q146" s="356">
        <v>0</v>
      </c>
      <c r="R146" s="356">
        <v>0</v>
      </c>
      <c r="S146" s="356">
        <v>0</v>
      </c>
      <c r="T146" s="356">
        <v>0</v>
      </c>
      <c r="U146" s="356">
        <v>0</v>
      </c>
      <c r="V146" s="356">
        <v>0</v>
      </c>
      <c r="W146" s="356">
        <v>0</v>
      </c>
      <c r="X146" s="356">
        <v>0</v>
      </c>
      <c r="Y146" s="366">
        <v>0</v>
      </c>
      <c r="Z146" s="319">
        <f t="shared" si="92"/>
        <v>0</v>
      </c>
      <c r="AA146" s="321">
        <f t="shared" si="93"/>
        <v>0</v>
      </c>
      <c r="AB146" s="91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1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920">
        <f t="shared" si="96"/>
        <v>0</v>
      </c>
      <c r="AE146" s="897">
        <f t="shared" si="102"/>
        <v>0</v>
      </c>
      <c r="AF146" s="897">
        <f t="shared" si="103"/>
        <v>0</v>
      </c>
      <c r="AG146" s="897">
        <f t="shared" si="104"/>
        <v>0</v>
      </c>
      <c r="AH146" s="1113">
        <f t="shared" si="100"/>
        <v>0</v>
      </c>
      <c r="AI146" s="897">
        <f t="shared" si="101"/>
        <v>0</v>
      </c>
    </row>
    <row r="147" spans="1:35" x14ac:dyDescent="0.2">
      <c r="A147" s="338">
        <v>2026</v>
      </c>
      <c r="B147" s="351">
        <v>0</v>
      </c>
      <c r="C147" s="352">
        <v>2.3613487553338919E-3</v>
      </c>
      <c r="D147" s="352">
        <v>1.3773481397594699E-2</v>
      </c>
      <c r="E147" s="352">
        <v>1.8505082673935282E-2</v>
      </c>
      <c r="F147" s="352">
        <v>2.1635426539308038E-2</v>
      </c>
      <c r="G147" s="352">
        <v>2.2374680824425636E-2</v>
      </c>
      <c r="H147" s="352">
        <v>0</v>
      </c>
      <c r="I147" s="352">
        <v>2.3090628719321105E-2</v>
      </c>
      <c r="J147" s="352">
        <v>2.3185906264142766E-2</v>
      </c>
      <c r="K147" s="352">
        <v>2.3167667961708664E-2</v>
      </c>
      <c r="L147" s="364">
        <v>0</v>
      </c>
      <c r="M147" s="291">
        <f t="shared" si="94"/>
        <v>3.8381491623436957E-3</v>
      </c>
      <c r="N147" s="293">
        <f t="shared" si="95"/>
        <v>1.4428010356499061E-3</v>
      </c>
      <c r="O147" s="351">
        <v>0</v>
      </c>
      <c r="P147" s="352">
        <v>2.9272341439854138E-3</v>
      </c>
      <c r="Q147" s="352">
        <v>1.4376210806289487E-2</v>
      </c>
      <c r="R147" s="352">
        <v>1.9675059430922286E-2</v>
      </c>
      <c r="S147" s="352">
        <v>2.1635426539308038E-2</v>
      </c>
      <c r="T147" s="352">
        <v>2.2374680824425636E-2</v>
      </c>
      <c r="U147" s="352">
        <v>0</v>
      </c>
      <c r="V147" s="352">
        <v>0</v>
      </c>
      <c r="W147" s="352">
        <v>0</v>
      </c>
      <c r="X147" s="352">
        <v>0</v>
      </c>
      <c r="Y147" s="364">
        <v>0</v>
      </c>
      <c r="Z147" s="291">
        <f t="shared" si="92"/>
        <v>4.4113644220876349E-3</v>
      </c>
      <c r="AA147" s="293">
        <f t="shared" si="93"/>
        <v>2.1520994142567793E-3</v>
      </c>
      <c r="AB147" s="91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1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920">
        <f t="shared" si="96"/>
        <v>0</v>
      </c>
      <c r="AE147" s="897">
        <f t="shared" si="102"/>
        <v>3.8381491623436957E-3</v>
      </c>
      <c r="AF147" s="897">
        <f t="shared" si="103"/>
        <v>4.4113644220876349E-3</v>
      </c>
      <c r="AG147" s="897">
        <f t="shared" si="104"/>
        <v>8.2495135844313297E-3</v>
      </c>
      <c r="AH147" s="1113">
        <f t="shared" si="100"/>
        <v>0.46525763283633331</v>
      </c>
      <c r="AI147" s="897">
        <f t="shared" si="101"/>
        <v>0.53474236716366674</v>
      </c>
    </row>
    <row r="148" spans="1:35" x14ac:dyDescent="0.2">
      <c r="A148" s="339">
        <v>2027</v>
      </c>
      <c r="B148" s="353">
        <v>0</v>
      </c>
      <c r="C148" s="354">
        <v>7.5727729238934107E-3</v>
      </c>
      <c r="D148" s="354">
        <v>3.4093374548470078E-2</v>
      </c>
      <c r="E148" s="354">
        <v>4.8086839105275489E-2</v>
      </c>
      <c r="F148" s="354">
        <v>5.5055786337042355E-2</v>
      </c>
      <c r="G148" s="354">
        <v>5.5819248368731783E-2</v>
      </c>
      <c r="H148" s="354">
        <v>0</v>
      </c>
      <c r="I148" s="354">
        <v>5.832098794259654E-2</v>
      </c>
      <c r="J148" s="354">
        <v>5.8110277784992836E-2</v>
      </c>
      <c r="K148" s="354">
        <v>5.7533408209456703E-2</v>
      </c>
      <c r="L148" s="365">
        <v>0</v>
      </c>
      <c r="M148" s="305">
        <f t="shared" si="94"/>
        <v>9.9424341893634485E-3</v>
      </c>
      <c r="N148" s="307">
        <f t="shared" si="95"/>
        <v>3.8897055072990554E-3</v>
      </c>
      <c r="O148" s="353">
        <v>0</v>
      </c>
      <c r="P148" s="354">
        <v>9.1645059294326904E-3</v>
      </c>
      <c r="Q148" s="354">
        <v>3.7371232167237034E-2</v>
      </c>
      <c r="R148" s="354">
        <v>4.9786651980453622E-2</v>
      </c>
      <c r="S148" s="354">
        <v>5.5055786337042355E-2</v>
      </c>
      <c r="T148" s="354">
        <v>5.6821728699540532E-2</v>
      </c>
      <c r="U148" s="354">
        <v>0</v>
      </c>
      <c r="V148" s="354">
        <v>0</v>
      </c>
      <c r="W148" s="354">
        <v>0</v>
      </c>
      <c r="X148" s="354">
        <v>0</v>
      </c>
      <c r="Y148" s="365">
        <v>0</v>
      </c>
      <c r="Z148" s="305">
        <f t="shared" si="92"/>
        <v>1.169019617900257E-2</v>
      </c>
      <c r="AA148" s="307">
        <f t="shared" si="93"/>
        <v>5.8978101417478789E-3</v>
      </c>
      <c r="AB148" s="91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1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920">
        <f t="shared" si="96"/>
        <v>0</v>
      </c>
      <c r="AE148" s="897">
        <f t="shared" si="102"/>
        <v>9.9424341893634485E-3</v>
      </c>
      <c r="AF148" s="897">
        <f t="shared" si="103"/>
        <v>1.169019617900257E-2</v>
      </c>
      <c r="AG148" s="897">
        <f t="shared" si="104"/>
        <v>2.1632630368366018E-2</v>
      </c>
      <c r="AH148" s="1113">
        <f t="shared" si="100"/>
        <v>0.45960357201418001</v>
      </c>
      <c r="AI148" s="897">
        <f t="shared" si="101"/>
        <v>0.54039642798581999</v>
      </c>
    </row>
    <row r="149" spans="1:35" x14ac:dyDescent="0.2">
      <c r="A149" s="339">
        <v>2028</v>
      </c>
      <c r="B149" s="353">
        <v>0</v>
      </c>
      <c r="C149" s="354">
        <v>3.2231853027700021E-2</v>
      </c>
      <c r="D149" s="354">
        <v>9.3983112528039814E-2</v>
      </c>
      <c r="E149" s="354">
        <v>0.11716714989904409</v>
      </c>
      <c r="F149" s="354">
        <v>0.12892009660120099</v>
      </c>
      <c r="G149" s="354">
        <v>0.13042159431109024</v>
      </c>
      <c r="H149" s="354">
        <v>0</v>
      </c>
      <c r="I149" s="354">
        <v>0.13126276046682248</v>
      </c>
      <c r="J149" s="354">
        <v>0.13034479034786239</v>
      </c>
      <c r="K149" s="354">
        <v>0.12837095910982976</v>
      </c>
      <c r="L149" s="365">
        <v>0</v>
      </c>
      <c r="M149" s="305">
        <f t="shared" si="94"/>
        <v>2.6347514278928296E-2</v>
      </c>
      <c r="N149" s="307">
        <f t="shared" si="95"/>
        <v>1.1840604026927283E-2</v>
      </c>
      <c r="O149" s="353">
        <v>0</v>
      </c>
      <c r="P149" s="354">
        <v>3.7961532462425999E-2</v>
      </c>
      <c r="Q149" s="354">
        <v>9.7189400552063404E-2</v>
      </c>
      <c r="R149" s="354">
        <v>0.12034561682965306</v>
      </c>
      <c r="S149" s="354">
        <v>0.12891608666301052</v>
      </c>
      <c r="T149" s="354">
        <v>0.13039367943425978</v>
      </c>
      <c r="U149" s="354">
        <v>0</v>
      </c>
      <c r="V149" s="354">
        <v>0</v>
      </c>
      <c r="W149" s="354">
        <v>0</v>
      </c>
      <c r="X149" s="354">
        <v>0</v>
      </c>
      <c r="Y149" s="365">
        <v>0</v>
      </c>
      <c r="Z149" s="305">
        <f t="shared" si="92"/>
        <v>3.2414348708688041E-2</v>
      </c>
      <c r="AA149" s="307">
        <f t="shared" si="93"/>
        <v>1.8113545358140633E-2</v>
      </c>
      <c r="AB149" s="91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1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920">
        <f t="shared" si="96"/>
        <v>0</v>
      </c>
      <c r="AE149" s="897">
        <f t="shared" si="102"/>
        <v>2.6347514278928296E-2</v>
      </c>
      <c r="AF149" s="897">
        <f t="shared" si="103"/>
        <v>3.2414348708688041E-2</v>
      </c>
      <c r="AG149" s="897">
        <f t="shared" si="104"/>
        <v>5.8761862987616334E-2</v>
      </c>
      <c r="AH149" s="1113">
        <f t="shared" si="100"/>
        <v>0.44837779027667751</v>
      </c>
      <c r="AI149" s="897">
        <f t="shared" si="101"/>
        <v>0.55162220972332254</v>
      </c>
    </row>
    <row r="150" spans="1:35" x14ac:dyDescent="0.2">
      <c r="A150" s="339">
        <v>2029</v>
      </c>
      <c r="B150" s="353">
        <v>0</v>
      </c>
      <c r="C150" s="354">
        <v>5.5731472535994968E-2</v>
      </c>
      <c r="D150" s="354">
        <v>0.17367198027803094</v>
      </c>
      <c r="E150" s="354">
        <v>0.21381198512618704</v>
      </c>
      <c r="F150" s="354">
        <v>0.23896750922767182</v>
      </c>
      <c r="G150" s="354">
        <v>0.24230908833256784</v>
      </c>
      <c r="H150" s="354">
        <v>0</v>
      </c>
      <c r="I150" s="354">
        <v>0.24505340867315745</v>
      </c>
      <c r="J150" s="354">
        <v>0.24243946666576138</v>
      </c>
      <c r="K150" s="354">
        <v>0.23788738542960092</v>
      </c>
      <c r="L150" s="365">
        <v>0</v>
      </c>
      <c r="M150" s="305">
        <f t="shared" si="94"/>
        <v>4.8105916820422513E-2</v>
      </c>
      <c r="N150" s="307">
        <f t="shared" si="95"/>
        <v>2.1268274522395915E-2</v>
      </c>
      <c r="O150" s="353">
        <v>0</v>
      </c>
      <c r="P150" s="354">
        <v>6.6575186923167468E-2</v>
      </c>
      <c r="Q150" s="354">
        <v>0.1817578039910448</v>
      </c>
      <c r="R150" s="354">
        <v>0.22028626198142406</v>
      </c>
      <c r="S150" s="354">
        <v>0.23895920415440408</v>
      </c>
      <c r="T150" s="354">
        <v>0.24223334743150138</v>
      </c>
      <c r="U150" s="354">
        <v>0</v>
      </c>
      <c r="V150" s="354">
        <v>0</v>
      </c>
      <c r="W150" s="354">
        <v>0</v>
      </c>
      <c r="X150" s="354">
        <v>0</v>
      </c>
      <c r="Y150" s="365">
        <v>0</v>
      </c>
      <c r="Z150" s="305">
        <f t="shared" si="92"/>
        <v>5.9109953834483815E-2</v>
      </c>
      <c r="AA150" s="307">
        <f t="shared" si="93"/>
        <v>3.2708950411319916E-2</v>
      </c>
      <c r="AB150" s="91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1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920">
        <f t="shared" si="96"/>
        <v>0</v>
      </c>
      <c r="AE150" s="897">
        <f t="shared" si="102"/>
        <v>4.8105916820422513E-2</v>
      </c>
      <c r="AF150" s="897">
        <f t="shared" si="103"/>
        <v>5.9109953834483815E-2</v>
      </c>
      <c r="AG150" s="897">
        <f t="shared" si="104"/>
        <v>0.10721587065490633</v>
      </c>
      <c r="AH150" s="1113">
        <f t="shared" si="100"/>
        <v>0.448682797859844</v>
      </c>
      <c r="AI150" s="897">
        <f t="shared" si="101"/>
        <v>0.551317202140156</v>
      </c>
    </row>
    <row r="151" spans="1:35" ht="13.5" thickBot="1" x14ac:dyDescent="0.25">
      <c r="A151" s="337">
        <v>2030</v>
      </c>
      <c r="B151" s="355">
        <v>0</v>
      </c>
      <c r="C151" s="356">
        <v>0.10218963742605969</v>
      </c>
      <c r="D151" s="356">
        <v>0.26197718905222284</v>
      </c>
      <c r="E151" s="356">
        <v>0.32247323581117188</v>
      </c>
      <c r="F151" s="356">
        <v>0.34978728956854149</v>
      </c>
      <c r="G151" s="356">
        <v>0.35459105411713193</v>
      </c>
      <c r="H151" s="356">
        <v>0</v>
      </c>
      <c r="I151" s="356">
        <v>0.35728704761156777</v>
      </c>
      <c r="J151" s="356">
        <v>0.35189538859948016</v>
      </c>
      <c r="K151" s="356">
        <v>0.34286526664026751</v>
      </c>
      <c r="L151" s="366">
        <v>0</v>
      </c>
      <c r="M151" s="319">
        <f t="shared" si="94"/>
        <v>7.4518553408855936E-2</v>
      </c>
      <c r="N151" s="321">
        <f t="shared" si="95"/>
        <v>3.4738480663722163E-2</v>
      </c>
      <c r="O151" s="355">
        <v>0</v>
      </c>
      <c r="P151" s="356">
        <v>0.11792074730973037</v>
      </c>
      <c r="Q151" s="356">
        <v>0.27369286127266051</v>
      </c>
      <c r="R151" s="356">
        <v>0.33115331272845572</v>
      </c>
      <c r="S151" s="356">
        <v>0.35331179604723789</v>
      </c>
      <c r="T151" s="356">
        <v>0.35730980671011942</v>
      </c>
      <c r="U151" s="356">
        <v>0</v>
      </c>
      <c r="V151" s="356">
        <v>0</v>
      </c>
      <c r="W151" s="356">
        <v>0</v>
      </c>
      <c r="X151" s="356">
        <v>0</v>
      </c>
      <c r="Y151" s="366">
        <v>0</v>
      </c>
      <c r="Z151" s="319">
        <f t="shared" si="92"/>
        <v>9.2924132811445945E-2</v>
      </c>
      <c r="AA151" s="321">
        <f t="shared" si="93"/>
        <v>5.3189064990989202E-2</v>
      </c>
      <c r="AB151" s="91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1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920">
        <f t="shared" si="96"/>
        <v>0</v>
      </c>
      <c r="AE151" s="897">
        <f t="shared" si="102"/>
        <v>7.4518553408855936E-2</v>
      </c>
      <c r="AF151" s="897">
        <f t="shared" si="103"/>
        <v>9.2924132811445945E-2</v>
      </c>
      <c r="AG151" s="897">
        <f t="shared" si="104"/>
        <v>0.1674426862203019</v>
      </c>
      <c r="AH151" s="1113">
        <f t="shared" si="100"/>
        <v>0.44503916588397874</v>
      </c>
      <c r="AI151" s="897">
        <f t="shared" si="101"/>
        <v>0.55496083411602115</v>
      </c>
    </row>
    <row r="152" spans="1:35" x14ac:dyDescent="0.2">
      <c r="A152" s="338">
        <v>2031</v>
      </c>
      <c r="B152" s="351">
        <v>0</v>
      </c>
      <c r="C152" s="352">
        <v>0.16606889762541582</v>
      </c>
      <c r="D152" s="352">
        <v>0.34394572452436156</v>
      </c>
      <c r="E152" s="352">
        <v>0.39949569191376433</v>
      </c>
      <c r="F152" s="352">
        <v>0.427873267911764</v>
      </c>
      <c r="G152" s="352">
        <v>0.43095886634404512</v>
      </c>
      <c r="H152" s="352">
        <v>0</v>
      </c>
      <c r="I152" s="352">
        <v>0.42828559462858834</v>
      </c>
      <c r="J152" s="352">
        <v>0.41923170154218165</v>
      </c>
      <c r="K152" s="352">
        <v>0.40628550186045381</v>
      </c>
      <c r="L152" s="364">
        <v>0</v>
      </c>
      <c r="M152" s="291">
        <f t="shared" si="94"/>
        <v>9.8963013390113472E-2</v>
      </c>
      <c r="N152" s="293">
        <f t="shared" si="95"/>
        <v>4.9680993789668962E-2</v>
      </c>
      <c r="O152" s="351">
        <v>0</v>
      </c>
      <c r="P152" s="352">
        <v>0.17869525604900782</v>
      </c>
      <c r="Q152" s="352">
        <v>0.35718808956085807</v>
      </c>
      <c r="R152" s="352">
        <v>0.40886160814711131</v>
      </c>
      <c r="S152" s="352">
        <v>0.42781530764575454</v>
      </c>
      <c r="T152" s="352">
        <v>0.43392582347085684</v>
      </c>
      <c r="U152" s="352">
        <v>0</v>
      </c>
      <c r="V152" s="352">
        <v>0</v>
      </c>
      <c r="W152" s="352">
        <v>0</v>
      </c>
      <c r="X152" s="352">
        <v>0</v>
      </c>
      <c r="Y152" s="364">
        <v>0</v>
      </c>
      <c r="Z152" s="291">
        <f t="shared" si="92"/>
        <v>0.12396408368243315</v>
      </c>
      <c r="AA152" s="293">
        <f t="shared" si="93"/>
        <v>7.4000082364055184E-2</v>
      </c>
      <c r="AB152" s="91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1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920">
        <f t="shared" si="96"/>
        <v>0</v>
      </c>
      <c r="AE152" s="897">
        <f t="shared" si="102"/>
        <v>9.8963013390113472E-2</v>
      </c>
      <c r="AF152" s="897">
        <f t="shared" si="103"/>
        <v>0.12396408368243315</v>
      </c>
      <c r="AG152" s="897">
        <f t="shared" si="104"/>
        <v>0.22292709707254663</v>
      </c>
      <c r="AH152" s="1113">
        <f t="shared" si="100"/>
        <v>0.443925456751039</v>
      </c>
      <c r="AI152" s="897">
        <f t="shared" si="101"/>
        <v>0.556074543248961</v>
      </c>
    </row>
    <row r="153" spans="1:35" x14ac:dyDescent="0.2">
      <c r="A153" s="339">
        <v>2032</v>
      </c>
      <c r="B153" s="353">
        <v>5.6840248972986535E-4</v>
      </c>
      <c r="C153" s="354">
        <v>0.26050414219589335</v>
      </c>
      <c r="D153" s="354">
        <v>0.41697264145967383</v>
      </c>
      <c r="E153" s="354">
        <v>0.45322073088728598</v>
      </c>
      <c r="F153" s="354">
        <v>0.47035828627204096</v>
      </c>
      <c r="G153" s="354">
        <v>0.46903444285916446</v>
      </c>
      <c r="H153" s="354">
        <v>0</v>
      </c>
      <c r="I153" s="354">
        <v>0.45458120741812663</v>
      </c>
      <c r="J153" s="354">
        <v>0.44041791730469315</v>
      </c>
      <c r="K153" s="354">
        <v>0.42250057484600245</v>
      </c>
      <c r="L153" s="365">
        <v>0</v>
      </c>
      <c r="M153" s="305">
        <f t="shared" si="94"/>
        <v>0.12352363869478804</v>
      </c>
      <c r="N153" s="307">
        <f t="shared" si="95"/>
        <v>6.8230876134275004E-2</v>
      </c>
      <c r="O153" s="353">
        <v>9.7182222467467677E-4</v>
      </c>
      <c r="P153" s="354">
        <v>0.27608720441223872</v>
      </c>
      <c r="Q153" s="354">
        <v>0.42509531910783444</v>
      </c>
      <c r="R153" s="354">
        <v>0.45868716371362922</v>
      </c>
      <c r="S153" s="354">
        <v>0.47007904710380621</v>
      </c>
      <c r="T153" s="354">
        <v>0.46969465415539646</v>
      </c>
      <c r="U153" s="354">
        <v>0</v>
      </c>
      <c r="V153" s="354">
        <v>0</v>
      </c>
      <c r="W153" s="354">
        <v>0</v>
      </c>
      <c r="X153" s="354">
        <v>0</v>
      </c>
      <c r="Y153" s="365">
        <v>0</v>
      </c>
      <c r="Z153" s="305">
        <f t="shared" si="92"/>
        <v>0.15906464853415034</v>
      </c>
      <c r="AA153" s="307">
        <f t="shared" si="93"/>
        <v>0.10158820954241264</v>
      </c>
      <c r="AB153" s="91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1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920">
        <f t="shared" si="96"/>
        <v>0</v>
      </c>
      <c r="AE153" s="897">
        <f t="shared" si="102"/>
        <v>0.12352363869478804</v>
      </c>
      <c r="AF153" s="897">
        <f t="shared" si="103"/>
        <v>0.15906464853415034</v>
      </c>
      <c r="AG153" s="897">
        <f t="shared" si="104"/>
        <v>0.28258828722893836</v>
      </c>
      <c r="AH153" s="1113">
        <f t="shared" si="100"/>
        <v>0.43711521063403308</v>
      </c>
      <c r="AI153" s="897">
        <f t="shared" si="101"/>
        <v>0.56288478936596698</v>
      </c>
    </row>
    <row r="154" spans="1:35" x14ac:dyDescent="0.2">
      <c r="A154" s="339">
        <v>2033</v>
      </c>
      <c r="B154" s="353">
        <v>5.2207486583930283E-3</v>
      </c>
      <c r="C154" s="354">
        <v>0.32946130863511242</v>
      </c>
      <c r="D154" s="354">
        <v>0.45228570809190072</v>
      </c>
      <c r="E154" s="354">
        <v>0.47884277674457365</v>
      </c>
      <c r="F154" s="354">
        <v>0.48600509588138746</v>
      </c>
      <c r="G154" s="354">
        <v>0.48255917810612264</v>
      </c>
      <c r="H154" s="354">
        <v>0</v>
      </c>
      <c r="I154" s="354">
        <v>0.45548685958668778</v>
      </c>
      <c r="J154" s="354">
        <v>0.43585352601452038</v>
      </c>
      <c r="K154" s="354">
        <v>0.41238257804055017</v>
      </c>
      <c r="L154" s="365">
        <v>0</v>
      </c>
      <c r="M154" s="305">
        <f t="shared" si="94"/>
        <v>0.13870401208375777</v>
      </c>
      <c r="N154" s="307">
        <f t="shared" si="95"/>
        <v>8.1356937988737901E-2</v>
      </c>
      <c r="O154" s="353">
        <v>8.1971659553361619E-3</v>
      </c>
      <c r="P154" s="354">
        <v>0.34535055681199861</v>
      </c>
      <c r="Q154" s="354">
        <v>0.45943481717234491</v>
      </c>
      <c r="R154" s="354">
        <v>0.48275683606510483</v>
      </c>
      <c r="S154" s="354">
        <v>0.4854343245432276</v>
      </c>
      <c r="T154" s="354">
        <v>0.48126081694192241</v>
      </c>
      <c r="U154" s="354">
        <v>0</v>
      </c>
      <c r="V154" s="354">
        <v>0</v>
      </c>
      <c r="W154" s="354">
        <v>0</v>
      </c>
      <c r="X154" s="354">
        <v>0</v>
      </c>
      <c r="Y154" s="365">
        <v>0</v>
      </c>
      <c r="Z154" s="305">
        <f t="shared" si="92"/>
        <v>0.18224146077907166</v>
      </c>
      <c r="AA154" s="307">
        <f t="shared" si="93"/>
        <v>0.12217376921634646</v>
      </c>
      <c r="AB154" s="91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1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920">
        <f t="shared" si="96"/>
        <v>0</v>
      </c>
      <c r="AE154" s="897">
        <f t="shared" si="102"/>
        <v>0.13870401208375777</v>
      </c>
      <c r="AF154" s="897">
        <f t="shared" si="103"/>
        <v>0.18224146077907166</v>
      </c>
      <c r="AG154" s="897">
        <f t="shared" si="104"/>
        <v>0.32094547286282943</v>
      </c>
      <c r="AH154" s="1113">
        <f t="shared" si="100"/>
        <v>0.4321731378433844</v>
      </c>
      <c r="AI154" s="897">
        <f t="shared" si="101"/>
        <v>0.5678268621566156</v>
      </c>
    </row>
    <row r="155" spans="1:35" x14ac:dyDescent="0.2">
      <c r="A155" s="339">
        <v>2034</v>
      </c>
      <c r="B155" s="353">
        <v>1.4624135446923441E-2</v>
      </c>
      <c r="C155" s="354">
        <v>0.36143703761354623</v>
      </c>
      <c r="D155" s="354">
        <v>0.46679233582787877</v>
      </c>
      <c r="E155" s="354">
        <v>0.48862222911231967</v>
      </c>
      <c r="F155" s="354">
        <v>0.48974040763193211</v>
      </c>
      <c r="G155" s="354">
        <v>0.48500497016290978</v>
      </c>
      <c r="H155" s="354">
        <v>0</v>
      </c>
      <c r="I155" s="354">
        <v>0.44846646042405452</v>
      </c>
      <c r="J155" s="354">
        <v>0.42547888572284764</v>
      </c>
      <c r="K155" s="354">
        <v>0.40024484444319769</v>
      </c>
      <c r="L155" s="365">
        <v>0</v>
      </c>
      <c r="M155" s="305">
        <f t="shared" si="94"/>
        <v>0.14544901922366901</v>
      </c>
      <c r="N155" s="307">
        <f t="shared" si="95"/>
        <v>8.8288359135437491E-2</v>
      </c>
      <c r="O155" s="353">
        <v>2.172853507055204E-2</v>
      </c>
      <c r="P155" s="354">
        <v>0.37695086625716989</v>
      </c>
      <c r="Q155" s="354">
        <v>0.47330138840980795</v>
      </c>
      <c r="R155" s="354">
        <v>0.48851312192762719</v>
      </c>
      <c r="S155" s="354">
        <v>0.48934422738760791</v>
      </c>
      <c r="T155" s="354">
        <v>0.48209844405636676</v>
      </c>
      <c r="U155" s="354">
        <v>0</v>
      </c>
      <c r="V155" s="354">
        <v>0</v>
      </c>
      <c r="W155" s="354">
        <v>0</v>
      </c>
      <c r="X155" s="354">
        <v>0</v>
      </c>
      <c r="Y155" s="365">
        <v>0</v>
      </c>
      <c r="Z155" s="305">
        <f t="shared" si="92"/>
        <v>0.19355752809330287</v>
      </c>
      <c r="AA155" s="307">
        <f t="shared" si="93"/>
        <v>0.13459191678488577</v>
      </c>
      <c r="AB155" s="91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1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920">
        <f t="shared" si="96"/>
        <v>0</v>
      </c>
      <c r="AE155" s="897">
        <f t="shared" si="102"/>
        <v>0.14544901922366901</v>
      </c>
      <c r="AF155" s="897">
        <f t="shared" si="103"/>
        <v>0.19355752809330287</v>
      </c>
      <c r="AG155" s="897">
        <f t="shared" si="104"/>
        <v>0.33900654731697188</v>
      </c>
      <c r="AH155" s="1113">
        <f t="shared" si="100"/>
        <v>0.42904486764284777</v>
      </c>
      <c r="AI155" s="897">
        <f t="shared" si="101"/>
        <v>0.57095513235715223</v>
      </c>
    </row>
    <row r="156" spans="1:35" ht="13.5" thickBot="1" x14ac:dyDescent="0.25">
      <c r="A156" s="337">
        <v>2035</v>
      </c>
      <c r="B156" s="355">
        <v>5.6172518162161469E-2</v>
      </c>
      <c r="C156" s="356">
        <v>0.41510640795713538</v>
      </c>
      <c r="D156" s="356">
        <v>0.48146288215882954</v>
      </c>
      <c r="E156" s="356">
        <v>0.49406109416025207</v>
      </c>
      <c r="F156" s="356">
        <v>0.48623065433114987</v>
      </c>
      <c r="G156" s="356">
        <v>0.47576385079310635</v>
      </c>
      <c r="H156" s="356">
        <v>0</v>
      </c>
      <c r="I156" s="356">
        <v>0.42681911608652146</v>
      </c>
      <c r="J156" s="356">
        <v>0.40051741604924374</v>
      </c>
      <c r="K156" s="356">
        <v>0.38099948112678134</v>
      </c>
      <c r="L156" s="366">
        <v>0</v>
      </c>
      <c r="M156" s="319">
        <f t="shared" si="94"/>
        <v>0.15660029904531497</v>
      </c>
      <c r="N156" s="321">
        <f t="shared" si="95"/>
        <v>0.10298693537779971</v>
      </c>
      <c r="O156" s="355">
        <v>6.918834459072451E-2</v>
      </c>
      <c r="P156" s="356">
        <v>0.42854507223953114</v>
      </c>
      <c r="Q156" s="356">
        <v>0.48712172679141491</v>
      </c>
      <c r="R156" s="356">
        <v>0.49544098527311103</v>
      </c>
      <c r="S156" s="356">
        <v>0.48584934426913168</v>
      </c>
      <c r="T156" s="356">
        <v>0.47429033098456641</v>
      </c>
      <c r="U156" s="356">
        <v>0</v>
      </c>
      <c r="V156" s="356">
        <v>0</v>
      </c>
      <c r="W156" s="356">
        <v>0</v>
      </c>
      <c r="X156" s="356">
        <v>0</v>
      </c>
      <c r="Y156" s="366">
        <v>0</v>
      </c>
      <c r="Z156" s="319">
        <f t="shared" si="92"/>
        <v>0.21414784622264138</v>
      </c>
      <c r="AA156" s="321">
        <f t="shared" si="93"/>
        <v>0.16241932762619782</v>
      </c>
      <c r="AB156" s="91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1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920">
        <f t="shared" si="96"/>
        <v>0</v>
      </c>
      <c r="AE156" s="897">
        <f t="shared" si="102"/>
        <v>0.15660029904531497</v>
      </c>
      <c r="AF156" s="897">
        <f t="shared" si="103"/>
        <v>0.21414784622264138</v>
      </c>
      <c r="AG156" s="897">
        <f t="shared" si="104"/>
        <v>0.37074814526795635</v>
      </c>
      <c r="AH156" s="1113">
        <f t="shared" si="100"/>
        <v>0.42238997293468022</v>
      </c>
      <c r="AI156" s="897">
        <f t="shared" si="101"/>
        <v>0.57761002706531983</v>
      </c>
    </row>
    <row r="157" spans="1:35" x14ac:dyDescent="0.2">
      <c r="A157" s="338">
        <v>2036</v>
      </c>
      <c r="B157" s="351">
        <v>0.11049616276777535</v>
      </c>
      <c r="C157" s="352">
        <v>0.43861614700498641</v>
      </c>
      <c r="D157" s="352">
        <v>0.49213154071109055</v>
      </c>
      <c r="E157" s="352">
        <v>0.49632157596906423</v>
      </c>
      <c r="F157" s="352">
        <v>0.4726593649190699</v>
      </c>
      <c r="G157" s="352">
        <v>0.45627291585795687</v>
      </c>
      <c r="H157" s="352">
        <v>0</v>
      </c>
      <c r="I157" s="352">
        <v>0.39917068068054007</v>
      </c>
      <c r="J157" s="352">
        <v>0.37501368429688492</v>
      </c>
      <c r="K157" s="352">
        <v>0.35455953812284519</v>
      </c>
      <c r="L157" s="364">
        <v>0</v>
      </c>
      <c r="M157" s="291">
        <f t="shared" si="94"/>
        <v>0.16250240815547221</v>
      </c>
      <c r="N157" s="293">
        <f t="shared" si="95"/>
        <v>0.11442098854778272</v>
      </c>
      <c r="O157" s="351">
        <v>0.1307735108629815</v>
      </c>
      <c r="P157" s="352">
        <v>0.45045663651434148</v>
      </c>
      <c r="Q157" s="352">
        <v>0.49213154071109055</v>
      </c>
      <c r="R157" s="352">
        <v>0.49494217723369177</v>
      </c>
      <c r="S157" s="352">
        <v>0.47575059644269868</v>
      </c>
      <c r="T157" s="352">
        <v>0.46055818671019327</v>
      </c>
      <c r="U157" s="352">
        <v>0</v>
      </c>
      <c r="V157" s="352">
        <v>0</v>
      </c>
      <c r="W157" s="352">
        <v>0</v>
      </c>
      <c r="X157" s="352">
        <v>0</v>
      </c>
      <c r="Y157" s="364">
        <v>0</v>
      </c>
      <c r="Z157" s="291">
        <f t="shared" si="92"/>
        <v>0.22786364837450265</v>
      </c>
      <c r="AA157" s="293">
        <f t="shared" si="93"/>
        <v>0.18729676990051983</v>
      </c>
      <c r="AB157" s="91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1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920">
        <f t="shared" si="96"/>
        <v>0</v>
      </c>
      <c r="AE157" s="897">
        <f t="shared" si="102"/>
        <v>0.16250240815547221</v>
      </c>
      <c r="AF157" s="897">
        <f t="shared" si="103"/>
        <v>0.22786364837450265</v>
      </c>
      <c r="AG157" s="897">
        <f t="shared" si="104"/>
        <v>0.39036605652997486</v>
      </c>
      <c r="AH157" s="1113">
        <f t="shared" si="100"/>
        <v>0.41628211632943091</v>
      </c>
      <c r="AI157" s="897">
        <f t="shared" si="101"/>
        <v>0.58371788367056909</v>
      </c>
    </row>
    <row r="158" spans="1:35" x14ac:dyDescent="0.2">
      <c r="A158" s="339">
        <v>2037</v>
      </c>
      <c r="B158" s="353">
        <v>0.1408508955649817</v>
      </c>
      <c r="C158" s="354">
        <v>0.45076763858751145</v>
      </c>
      <c r="D158" s="354">
        <v>0.49251132320942614</v>
      </c>
      <c r="E158" s="354">
        <v>0.49642830655969716</v>
      </c>
      <c r="F158" s="354">
        <v>0.46264537176905035</v>
      </c>
      <c r="G158" s="354">
        <v>0.44303655659936914</v>
      </c>
      <c r="H158" s="354">
        <v>0</v>
      </c>
      <c r="I158" s="354">
        <v>0.38074762587487188</v>
      </c>
      <c r="J158" s="354">
        <v>0.36176695066882991</v>
      </c>
      <c r="K158" s="354">
        <v>0.34196147979245889</v>
      </c>
      <c r="L158" s="365">
        <v>0</v>
      </c>
      <c r="M158" s="305">
        <f t="shared" si="94"/>
        <v>0.16515662778856349</v>
      </c>
      <c r="N158" s="307">
        <f t="shared" si="95"/>
        <v>0.12043959863442609</v>
      </c>
      <c r="O158" s="353">
        <v>0.1638951012842024</v>
      </c>
      <c r="P158" s="354">
        <v>0.45864627102095051</v>
      </c>
      <c r="Q158" s="354">
        <v>0.49557561895886593</v>
      </c>
      <c r="R158" s="354">
        <v>0.49300628469466945</v>
      </c>
      <c r="S158" s="354">
        <v>0.46827241796539903</v>
      </c>
      <c r="T158" s="354">
        <v>0.45352196964085506</v>
      </c>
      <c r="U158" s="354">
        <v>0</v>
      </c>
      <c r="V158" s="354">
        <v>0</v>
      </c>
      <c r="W158" s="354">
        <v>0</v>
      </c>
      <c r="X158" s="354">
        <v>0</v>
      </c>
      <c r="Y158" s="365">
        <v>0</v>
      </c>
      <c r="Z158" s="305">
        <f t="shared" si="92"/>
        <v>0.23423343323348167</v>
      </c>
      <c r="AA158" s="307">
        <f t="shared" si="93"/>
        <v>0.19982016758414567</v>
      </c>
      <c r="AB158" s="91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1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920">
        <f t="shared" si="96"/>
        <v>0</v>
      </c>
      <c r="AE158" s="897">
        <f t="shared" si="102"/>
        <v>0.16515662778856349</v>
      </c>
      <c r="AF158" s="897">
        <f t="shared" si="103"/>
        <v>0.23423343323348167</v>
      </c>
      <c r="AG158" s="897">
        <f t="shared" si="104"/>
        <v>0.39939006102204516</v>
      </c>
      <c r="AH158" s="1113">
        <f t="shared" si="100"/>
        <v>0.41352212763113133</v>
      </c>
      <c r="AI158" s="897">
        <f t="shared" si="101"/>
        <v>0.58647787236886861</v>
      </c>
    </row>
    <row r="159" spans="1:35" x14ac:dyDescent="0.2">
      <c r="A159" s="339">
        <v>2038</v>
      </c>
      <c r="B159" s="353">
        <v>0.18584367954011743</v>
      </c>
      <c r="C159" s="354">
        <v>0.46590591431374656</v>
      </c>
      <c r="D159" s="354">
        <v>0.49580164410923283</v>
      </c>
      <c r="E159" s="354">
        <v>0.49280050962379657</v>
      </c>
      <c r="F159" s="354">
        <v>0.44220381191889713</v>
      </c>
      <c r="G159" s="354">
        <v>0.42232218510822789</v>
      </c>
      <c r="H159" s="354">
        <v>0</v>
      </c>
      <c r="I159" s="354">
        <v>0.36610507770250389</v>
      </c>
      <c r="J159" s="354">
        <v>0.3447531722383288</v>
      </c>
      <c r="K159" s="354">
        <v>0.33083176588607921</v>
      </c>
      <c r="L159" s="365">
        <v>0</v>
      </c>
      <c r="M159" s="305">
        <f t="shared" si="94"/>
        <v>0.16899553765324982</v>
      </c>
      <c r="N159" s="307">
        <f t="shared" si="95"/>
        <v>0.12899554768631036</v>
      </c>
      <c r="O159" s="353">
        <v>0.20017065631675246</v>
      </c>
      <c r="P159" s="354">
        <v>0.46564117306930097</v>
      </c>
      <c r="Q159" s="354">
        <v>0.49571916546646677</v>
      </c>
      <c r="R159" s="354">
        <v>0.48832223916879097</v>
      </c>
      <c r="S159" s="354">
        <v>0.4585784986629276</v>
      </c>
      <c r="T159" s="354">
        <v>0.44146864717258527</v>
      </c>
      <c r="U159" s="354">
        <v>0</v>
      </c>
      <c r="V159" s="354">
        <v>0</v>
      </c>
      <c r="W159" s="354">
        <v>0</v>
      </c>
      <c r="X159" s="354">
        <v>0</v>
      </c>
      <c r="Y159" s="365">
        <v>0</v>
      </c>
      <c r="Z159" s="305">
        <f t="shared" si="92"/>
        <v>0.24013122673341708</v>
      </c>
      <c r="AA159" s="307">
        <f t="shared" si="93"/>
        <v>0.21282125948836098</v>
      </c>
      <c r="AB159" s="91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1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920">
        <f t="shared" si="96"/>
        <v>0</v>
      </c>
      <c r="AE159" s="897">
        <f t="shared" si="102"/>
        <v>0.16899553765324982</v>
      </c>
      <c r="AF159" s="897">
        <f t="shared" si="103"/>
        <v>0.24013122673341708</v>
      </c>
      <c r="AG159" s="897">
        <f t="shared" si="104"/>
        <v>0.4091267643866669</v>
      </c>
      <c r="AH159" s="1113">
        <f t="shared" si="100"/>
        <v>0.41306399963003065</v>
      </c>
      <c r="AI159" s="897">
        <f t="shared" si="101"/>
        <v>0.58693600036996929</v>
      </c>
    </row>
    <row r="160" spans="1:35" x14ac:dyDescent="0.2">
      <c r="A160" s="339">
        <v>2039</v>
      </c>
      <c r="B160" s="353">
        <v>0.23439901335123839</v>
      </c>
      <c r="C160" s="354">
        <v>0.47158599453483047</v>
      </c>
      <c r="D160" s="354">
        <v>0.49772106002918609</v>
      </c>
      <c r="E160" s="354">
        <v>0.48330071866811714</v>
      </c>
      <c r="F160" s="354">
        <v>0.41739581524630165</v>
      </c>
      <c r="G160" s="354">
        <v>0.39687486969856328</v>
      </c>
      <c r="H160" s="354">
        <v>0</v>
      </c>
      <c r="I160" s="354">
        <v>0.3473795146261352</v>
      </c>
      <c r="J160" s="354">
        <v>0.33207923599061789</v>
      </c>
      <c r="K160" s="354">
        <v>0.31903050609001521</v>
      </c>
      <c r="L160" s="365">
        <v>0</v>
      </c>
      <c r="M160" s="305">
        <f t="shared" si="94"/>
        <v>0.17101816904348721</v>
      </c>
      <c r="N160" s="307">
        <f t="shared" si="95"/>
        <v>0.13639670225404787</v>
      </c>
      <c r="O160" s="353">
        <v>0.24556835259360846</v>
      </c>
      <c r="P160" s="354">
        <v>0.47944070023250074</v>
      </c>
      <c r="Q160" s="354">
        <v>0.49751791236683107</v>
      </c>
      <c r="R160" s="354">
        <v>0.4801806485333559</v>
      </c>
      <c r="S160" s="354">
        <v>0.44655419572601229</v>
      </c>
      <c r="T160" s="354">
        <v>0.43134995764412515</v>
      </c>
      <c r="U160" s="354">
        <v>0</v>
      </c>
      <c r="V160" s="354">
        <v>0</v>
      </c>
      <c r="W160" s="354">
        <v>0</v>
      </c>
      <c r="X160" s="354">
        <v>0</v>
      </c>
      <c r="Y160" s="365">
        <v>0</v>
      </c>
      <c r="Z160" s="305">
        <f t="shared" si="92"/>
        <v>0.24881491513199833</v>
      </c>
      <c r="AA160" s="307">
        <f t="shared" si="93"/>
        <v>0.23028597014495111</v>
      </c>
      <c r="AB160" s="91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1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920">
        <f t="shared" si="96"/>
        <v>0</v>
      </c>
      <c r="AE160" s="897">
        <f t="shared" si="102"/>
        <v>0.17101816904348721</v>
      </c>
      <c r="AF160" s="897">
        <f t="shared" si="103"/>
        <v>0.24881491513199833</v>
      </c>
      <c r="AG160" s="897">
        <f t="shared" si="104"/>
        <v>0.41983308417548554</v>
      </c>
      <c r="AH160" s="1113">
        <f t="shared" si="100"/>
        <v>0.40734800445598884</v>
      </c>
      <c r="AI160" s="897">
        <f t="shared" si="101"/>
        <v>0.59265199554401116</v>
      </c>
    </row>
    <row r="161" spans="1:35" ht="13.5" thickBot="1" x14ac:dyDescent="0.25">
      <c r="A161" s="337">
        <v>2040</v>
      </c>
      <c r="B161" s="355">
        <v>0.27787402871811712</v>
      </c>
      <c r="C161" s="356">
        <v>0.47722072228265916</v>
      </c>
      <c r="D161" s="356">
        <v>0.49686975915670623</v>
      </c>
      <c r="E161" s="356">
        <v>0.46555288756665392</v>
      </c>
      <c r="F161" s="356">
        <v>0.3895780696398809</v>
      </c>
      <c r="G161" s="356">
        <v>0.37103638993542065</v>
      </c>
      <c r="H161" s="356">
        <v>0</v>
      </c>
      <c r="I161" s="356">
        <v>0.32843068347721238</v>
      </c>
      <c r="J161" s="356">
        <v>0.31468249168470891</v>
      </c>
      <c r="K161" s="356">
        <v>0.30703859378169573</v>
      </c>
      <c r="L161" s="366">
        <v>0</v>
      </c>
      <c r="M161" s="319">
        <f t="shared" si="94"/>
        <v>0.17214583904632472</v>
      </c>
      <c r="N161" s="321">
        <f t="shared" si="95"/>
        <v>0.1428504884516944</v>
      </c>
      <c r="O161" s="355">
        <v>0.29440067280350435</v>
      </c>
      <c r="P161" s="356">
        <v>0.48011466731779096</v>
      </c>
      <c r="Q161" s="356">
        <v>0.4965609612486549</v>
      </c>
      <c r="R161" s="356">
        <v>0.46735984551263321</v>
      </c>
      <c r="S161" s="356">
        <v>0.43232427576771471</v>
      </c>
      <c r="T161" s="356">
        <v>0.41588073622228844</v>
      </c>
      <c r="U161" s="356">
        <v>0</v>
      </c>
      <c r="V161" s="356">
        <v>0</v>
      </c>
      <c r="W161" s="356">
        <v>0</v>
      </c>
      <c r="X161" s="356">
        <v>0</v>
      </c>
      <c r="Y161" s="366">
        <v>0</v>
      </c>
      <c r="Z161" s="319">
        <f t="shared" si="92"/>
        <v>0.2540525625795011</v>
      </c>
      <c r="AA161" s="321">
        <f t="shared" si="93"/>
        <v>0.24555468227916044</v>
      </c>
      <c r="AB161" s="91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1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920">
        <f t="shared" si="96"/>
        <v>0</v>
      </c>
      <c r="AE161" s="897">
        <f t="shared" si="102"/>
        <v>0.17214583904632472</v>
      </c>
      <c r="AF161" s="897">
        <f t="shared" si="103"/>
        <v>0.2540525625795011</v>
      </c>
      <c r="AG161" s="897">
        <f t="shared" si="104"/>
        <v>0.42619840162582578</v>
      </c>
      <c r="AH161" s="1113">
        <f t="shared" si="100"/>
        <v>0.40391010006052874</v>
      </c>
      <c r="AI161" s="897">
        <f t="shared" si="101"/>
        <v>0.59608989993947126</v>
      </c>
    </row>
    <row r="162" spans="1:35" x14ac:dyDescent="0.2">
      <c r="A162" s="338">
        <v>2041</v>
      </c>
      <c r="B162" s="351">
        <v>0.31463159774820137</v>
      </c>
      <c r="C162" s="352">
        <v>0.47633118715639927</v>
      </c>
      <c r="D162" s="352">
        <v>0.48862183731635944</v>
      </c>
      <c r="E162" s="352">
        <v>0.43281907094829075</v>
      </c>
      <c r="F162" s="352">
        <v>0.35966560530611374</v>
      </c>
      <c r="G162" s="352">
        <v>0.34433946167694107</v>
      </c>
      <c r="H162" s="352">
        <v>0</v>
      </c>
      <c r="I162" s="352">
        <v>0.30823250158661131</v>
      </c>
      <c r="J162" s="352">
        <v>0.30048474866861347</v>
      </c>
      <c r="K162" s="352">
        <v>0.29416190373021883</v>
      </c>
      <c r="L162" s="364">
        <v>0</v>
      </c>
      <c r="M162" s="291">
        <f t="shared" si="94"/>
        <v>0.17088808356717652</v>
      </c>
      <c r="N162" s="293">
        <f t="shared" si="95"/>
        <v>0.14689812601791025</v>
      </c>
      <c r="O162" s="351">
        <v>0.33135039347840006</v>
      </c>
      <c r="P162" s="352">
        <v>0.47300746335586297</v>
      </c>
      <c r="Q162" s="352">
        <v>0.48956753664010022</v>
      </c>
      <c r="R162" s="352">
        <v>0.44908468034016286</v>
      </c>
      <c r="S162" s="352">
        <v>0.41206120157619053</v>
      </c>
      <c r="T162" s="352">
        <v>0.39942061876552781</v>
      </c>
      <c r="U162" s="352">
        <v>0</v>
      </c>
      <c r="V162" s="352">
        <v>0</v>
      </c>
      <c r="W162" s="352">
        <v>0</v>
      </c>
      <c r="X162" s="352">
        <v>0</v>
      </c>
      <c r="Y162" s="364">
        <v>0</v>
      </c>
      <c r="Z162" s="291">
        <f t="shared" si="92"/>
        <v>0.25461508090658813</v>
      </c>
      <c r="AA162" s="293">
        <f t="shared" si="93"/>
        <v>0.25473396202197429</v>
      </c>
      <c r="AB162" s="91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1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920">
        <f t="shared" si="96"/>
        <v>0</v>
      </c>
      <c r="AE162" s="897">
        <f t="shared" si="102"/>
        <v>0.17088808356717652</v>
      </c>
      <c r="AF162" s="897">
        <f t="shared" si="103"/>
        <v>0.25461508090658813</v>
      </c>
      <c r="AG162" s="897">
        <f t="shared" si="104"/>
        <v>0.42550316447376468</v>
      </c>
      <c r="AH162" s="1113">
        <f t="shared" si="100"/>
        <v>0.40161413083383307</v>
      </c>
      <c r="AI162" s="897">
        <f t="shared" si="101"/>
        <v>0.59838586916616687</v>
      </c>
    </row>
    <row r="163" spans="1:35" x14ac:dyDescent="0.2">
      <c r="A163" s="339">
        <v>2042</v>
      </c>
      <c r="B163" s="353">
        <v>0.35834143656904227</v>
      </c>
      <c r="C163" s="354">
        <v>0.45634227729087784</v>
      </c>
      <c r="D163" s="354">
        <v>0.46411870374813341</v>
      </c>
      <c r="E163" s="354">
        <v>0.39366317320318311</v>
      </c>
      <c r="F163" s="354">
        <v>0.33011427416847022</v>
      </c>
      <c r="G163" s="354">
        <v>0.31905000054521315</v>
      </c>
      <c r="H163" s="354">
        <v>0</v>
      </c>
      <c r="I163" s="354">
        <v>0.29442906238356675</v>
      </c>
      <c r="J163" s="354">
        <v>0.28804521023503843</v>
      </c>
      <c r="K163" s="354">
        <v>0.28426329277769297</v>
      </c>
      <c r="L163" s="365">
        <v>0</v>
      </c>
      <c r="M163" s="305">
        <f t="shared" si="94"/>
        <v>0.16599093052724351</v>
      </c>
      <c r="N163" s="307">
        <f t="shared" si="95"/>
        <v>0.14838621123488802</v>
      </c>
      <c r="O163" s="353">
        <v>0.382466597422084</v>
      </c>
      <c r="P163" s="354">
        <v>0.45816498091165941</v>
      </c>
      <c r="Q163" s="354">
        <v>0.47263074377391412</v>
      </c>
      <c r="R163" s="354">
        <v>0.42158681177737706</v>
      </c>
      <c r="S163" s="354">
        <v>0.39099463068672846</v>
      </c>
      <c r="T163" s="354">
        <v>0.38300494575734578</v>
      </c>
      <c r="U163" s="354">
        <v>0</v>
      </c>
      <c r="V163" s="354">
        <v>0</v>
      </c>
      <c r="W163" s="354">
        <v>0</v>
      </c>
      <c r="X163" s="354">
        <v>0</v>
      </c>
      <c r="Y163" s="365">
        <v>0</v>
      </c>
      <c r="Z163" s="305">
        <f t="shared" si="92"/>
        <v>0.25380839562221308</v>
      </c>
      <c r="AA163" s="307">
        <f t="shared" si="93"/>
        <v>0.26601000677520997</v>
      </c>
      <c r="AB163" s="91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1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920">
        <f t="shared" si="96"/>
        <v>0</v>
      </c>
      <c r="AE163" s="897">
        <f t="shared" si="102"/>
        <v>0.16599093052724351</v>
      </c>
      <c r="AF163" s="897">
        <f t="shared" si="103"/>
        <v>0.25380839562221308</v>
      </c>
      <c r="AG163" s="897">
        <f t="shared" si="104"/>
        <v>0.41979932614945659</v>
      </c>
      <c r="AH163" s="1113">
        <f t="shared" si="100"/>
        <v>0.39540542394331418</v>
      </c>
      <c r="AI163" s="897">
        <f t="shared" si="101"/>
        <v>0.60459457605668576</v>
      </c>
    </row>
    <row r="164" spans="1:35" x14ac:dyDescent="0.2">
      <c r="A164" s="339">
        <v>2043</v>
      </c>
      <c r="B164" s="353">
        <v>0.43105027629463816</v>
      </c>
      <c r="C164" s="354">
        <v>0.43037955516518889</v>
      </c>
      <c r="D164" s="354">
        <v>0.424500652038653</v>
      </c>
      <c r="E164" s="354">
        <v>0.36003236173423336</v>
      </c>
      <c r="F164" s="354">
        <v>0.30896304267865932</v>
      </c>
      <c r="G164" s="354">
        <v>0.29941210728953882</v>
      </c>
      <c r="H164" s="354">
        <v>0</v>
      </c>
      <c r="I164" s="354">
        <v>0.28433437217062785</v>
      </c>
      <c r="J164" s="354">
        <v>0.27908892034853611</v>
      </c>
      <c r="K164" s="354">
        <v>0.2763419301681514</v>
      </c>
      <c r="L164" s="365">
        <v>0</v>
      </c>
      <c r="M164" s="305">
        <f t="shared" si="94"/>
        <v>0.16166013360267248</v>
      </c>
      <c r="N164" s="307">
        <f t="shared" si="95"/>
        <v>0.15277843536993146</v>
      </c>
      <c r="O164" s="353">
        <v>0.4448234375211228</v>
      </c>
      <c r="P164" s="354">
        <v>0.42759586366234587</v>
      </c>
      <c r="Q164" s="354">
        <v>0.44848367880036427</v>
      </c>
      <c r="R164" s="354">
        <v>0.40010738467804285</v>
      </c>
      <c r="S164" s="354">
        <v>0.37483757976769227</v>
      </c>
      <c r="T164" s="354">
        <v>0.36774984771450836</v>
      </c>
      <c r="U164" s="354">
        <v>0</v>
      </c>
      <c r="V164" s="354">
        <v>0</v>
      </c>
      <c r="W164" s="354">
        <v>0</v>
      </c>
      <c r="X164" s="354">
        <v>0</v>
      </c>
      <c r="Y164" s="365">
        <v>0</v>
      </c>
      <c r="Z164" s="305">
        <f t="shared" si="92"/>
        <v>0.25073815352131901</v>
      </c>
      <c r="AA164" s="307">
        <f t="shared" si="93"/>
        <v>0.2771846027722295</v>
      </c>
      <c r="AB164" s="91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1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920">
        <f t="shared" si="96"/>
        <v>0</v>
      </c>
      <c r="AE164" s="897">
        <f t="shared" si="102"/>
        <v>0.16166013360267248</v>
      </c>
      <c r="AF164" s="897">
        <f t="shared" si="103"/>
        <v>0.25073815352131901</v>
      </c>
      <c r="AG164" s="897">
        <f t="shared" si="104"/>
        <v>0.41239828712399151</v>
      </c>
      <c r="AH164" s="1113">
        <f t="shared" si="100"/>
        <v>0.3920000122456081</v>
      </c>
      <c r="AI164" s="897">
        <f t="shared" si="101"/>
        <v>0.60799998775439179</v>
      </c>
    </row>
    <row r="165" spans="1:35" x14ac:dyDescent="0.2">
      <c r="A165" s="339">
        <v>2044</v>
      </c>
      <c r="B165" s="353">
        <v>0.47554358443091826</v>
      </c>
      <c r="C165" s="354">
        <v>0.39935534096126868</v>
      </c>
      <c r="D165" s="354">
        <v>0.38715647595777364</v>
      </c>
      <c r="E165" s="354">
        <v>0.33072657588705157</v>
      </c>
      <c r="F165" s="354">
        <v>0.29329300236470929</v>
      </c>
      <c r="G165" s="354">
        <v>0.2871851113879077</v>
      </c>
      <c r="H165" s="354">
        <v>0</v>
      </c>
      <c r="I165" s="354">
        <v>0.27506280707944075</v>
      </c>
      <c r="J165" s="354">
        <v>0.27307582749697429</v>
      </c>
      <c r="K165" s="354">
        <v>0.27155653570486155</v>
      </c>
      <c r="L165" s="365">
        <v>0</v>
      </c>
      <c r="M165" s="305">
        <f t="shared" si="94"/>
        <v>0.15531173405797008</v>
      </c>
      <c r="N165" s="307">
        <f t="shared" si="95"/>
        <v>0.15253232552325419</v>
      </c>
      <c r="O165" s="353">
        <v>0.48591450414138876</v>
      </c>
      <c r="P165" s="354">
        <v>0.39237772160584838</v>
      </c>
      <c r="Q165" s="354">
        <v>0.42034113946204438</v>
      </c>
      <c r="R165" s="354">
        <v>0.38310946482661112</v>
      </c>
      <c r="S165" s="354">
        <v>0.3635394454998554</v>
      </c>
      <c r="T165" s="354">
        <v>0.35729359650875092</v>
      </c>
      <c r="U165" s="354">
        <v>0</v>
      </c>
      <c r="V165" s="354">
        <v>0</v>
      </c>
      <c r="W165" s="354">
        <v>0</v>
      </c>
      <c r="X165" s="354">
        <v>0</v>
      </c>
      <c r="Y165" s="365">
        <v>0</v>
      </c>
      <c r="Z165" s="305">
        <f t="shared" si="92"/>
        <v>0.24380216478003036</v>
      </c>
      <c r="AA165" s="307">
        <f t="shared" si="93"/>
        <v>0.28046222302388818</v>
      </c>
      <c r="AB165" s="91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1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920">
        <f t="shared" si="96"/>
        <v>0</v>
      </c>
      <c r="AE165" s="897">
        <f t="shared" si="102"/>
        <v>0.15531173405797008</v>
      </c>
      <c r="AF165" s="897">
        <f t="shared" si="103"/>
        <v>0.24380216478003036</v>
      </c>
      <c r="AG165" s="897">
        <f t="shared" si="104"/>
        <v>0.39911389883800041</v>
      </c>
      <c r="AH165" s="1113">
        <f t="shared" si="100"/>
        <v>0.38914138172123847</v>
      </c>
      <c r="AI165" s="897">
        <f t="shared" si="101"/>
        <v>0.61085861827876153</v>
      </c>
    </row>
    <row r="166" spans="1:35" ht="13.5" thickBot="1" x14ac:dyDescent="0.25">
      <c r="A166" s="337">
        <v>2045</v>
      </c>
      <c r="B166" s="355">
        <v>0.49837881066292261</v>
      </c>
      <c r="C166" s="356">
        <v>0.36145030632231462</v>
      </c>
      <c r="D166" s="356">
        <v>0.35763987263018976</v>
      </c>
      <c r="E166" s="356">
        <v>0.31029481671107173</v>
      </c>
      <c r="F166" s="356">
        <v>0.28242956967465505</v>
      </c>
      <c r="G166" s="356">
        <v>0.27739106853721002</v>
      </c>
      <c r="H166" s="356">
        <v>0</v>
      </c>
      <c r="I166" s="356">
        <v>0.27011850537950588</v>
      </c>
      <c r="J166" s="356">
        <v>0.26859597113076183</v>
      </c>
      <c r="K166" s="356">
        <v>0.26758536233049363</v>
      </c>
      <c r="L166" s="366">
        <v>0</v>
      </c>
      <c r="M166" s="319">
        <f t="shared" si="94"/>
        <v>0.1473956673087527</v>
      </c>
      <c r="N166" s="321">
        <f t="shared" si="95"/>
        <v>0.14849222995178787</v>
      </c>
      <c r="O166" s="355">
        <v>0.51292111715639543</v>
      </c>
      <c r="P166" s="356">
        <v>0.35701775898591886</v>
      </c>
      <c r="Q166" s="356">
        <v>0.39866224378668663</v>
      </c>
      <c r="R166" s="356">
        <v>0.36715362590283035</v>
      </c>
      <c r="S166" s="356">
        <v>0.35321683909982393</v>
      </c>
      <c r="T166" s="356">
        <v>0.35047395386577879</v>
      </c>
      <c r="U166" s="356">
        <v>0</v>
      </c>
      <c r="V166" s="356">
        <v>0</v>
      </c>
      <c r="W166" s="356">
        <v>0</v>
      </c>
      <c r="X166" s="356">
        <v>0</v>
      </c>
      <c r="Y166" s="366">
        <v>0</v>
      </c>
      <c r="Z166" s="319">
        <f t="shared" si="92"/>
        <v>0.23555891632853806</v>
      </c>
      <c r="AA166" s="321">
        <f t="shared" si="93"/>
        <v>0.27951715381820763</v>
      </c>
      <c r="AB166" s="91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1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920">
        <f t="shared" si="96"/>
        <v>0</v>
      </c>
      <c r="AE166" s="897">
        <f t="shared" si="102"/>
        <v>0.1473956673087527</v>
      </c>
      <c r="AF166" s="897">
        <f t="shared" si="103"/>
        <v>0.23555891632853806</v>
      </c>
      <c r="AG166" s="897">
        <f t="shared" si="104"/>
        <v>0.38295458363729074</v>
      </c>
      <c r="AH166" s="1113">
        <f t="shared" si="100"/>
        <v>0.38489072492302673</v>
      </c>
      <c r="AI166" s="897">
        <f t="shared" si="101"/>
        <v>0.61510927507697333</v>
      </c>
    </row>
    <row r="167" spans="1:35" x14ac:dyDescent="0.2">
      <c r="A167" s="338">
        <v>2046</v>
      </c>
      <c r="B167" s="351">
        <v>0.49885504519565727</v>
      </c>
      <c r="C167" s="352">
        <v>0.33426583763413481</v>
      </c>
      <c r="D167" s="352">
        <v>0.33580972134681297</v>
      </c>
      <c r="E167" s="352">
        <v>0.29777684826727563</v>
      </c>
      <c r="F167" s="352">
        <v>0.27697269666291019</v>
      </c>
      <c r="G167" s="352">
        <v>0.27250952210708851</v>
      </c>
      <c r="H167" s="352">
        <v>0</v>
      </c>
      <c r="I167" s="352">
        <v>0.26655409640350225</v>
      </c>
      <c r="J167" s="352">
        <v>0.26554208213388086</v>
      </c>
      <c r="K167" s="352">
        <v>0.26513422541367515</v>
      </c>
      <c r="L167" s="364">
        <v>0</v>
      </c>
      <c r="M167" s="291">
        <f t="shared" si="94"/>
        <v>0.14083562583019124</v>
      </c>
      <c r="N167" s="293">
        <f t="shared" si="95"/>
        <v>0.14334806072722522</v>
      </c>
      <c r="O167" s="351">
        <v>0.5075797566108522</v>
      </c>
      <c r="P167" s="352">
        <v>0.33734606040758591</v>
      </c>
      <c r="Q167" s="352">
        <v>0.38569716620040756</v>
      </c>
      <c r="R167" s="352">
        <v>0.35931733309760949</v>
      </c>
      <c r="S167" s="352">
        <v>0.3464347642908861</v>
      </c>
      <c r="T167" s="352">
        <v>0.34397333689125481</v>
      </c>
      <c r="U167" s="352">
        <v>0</v>
      </c>
      <c r="V167" s="352">
        <v>0</v>
      </c>
      <c r="W167" s="352">
        <v>0</v>
      </c>
      <c r="X167" s="352">
        <v>0</v>
      </c>
      <c r="Y167" s="364">
        <v>0</v>
      </c>
      <c r="Z167" s="291">
        <f t="shared" si="92"/>
        <v>0.22804119830828201</v>
      </c>
      <c r="AA167" s="293">
        <f t="shared" si="93"/>
        <v>0.27240271916710596</v>
      </c>
      <c r="AB167" s="91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1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920">
        <f t="shared" si="96"/>
        <v>0</v>
      </c>
      <c r="AE167" s="897">
        <f t="shared" si="102"/>
        <v>0.14083562583019124</v>
      </c>
      <c r="AF167" s="897">
        <f t="shared" si="103"/>
        <v>0.22804119830828201</v>
      </c>
      <c r="AG167" s="897">
        <f t="shared" si="104"/>
        <v>0.36887682413847322</v>
      </c>
      <c r="AH167" s="1113">
        <f t="shared" si="100"/>
        <v>0.38179580991329165</v>
      </c>
      <c r="AI167" s="897">
        <f t="shared" si="101"/>
        <v>0.61820419008670846</v>
      </c>
    </row>
    <row r="168" spans="1:35" x14ac:dyDescent="0.2">
      <c r="A168" s="339">
        <v>2047</v>
      </c>
      <c r="B168" s="353">
        <v>0.48836294406238212</v>
      </c>
      <c r="C168" s="354">
        <v>0.31555028898935972</v>
      </c>
      <c r="D168" s="354">
        <v>0.32182609726890771</v>
      </c>
      <c r="E168" s="354">
        <v>0.2915847464876547</v>
      </c>
      <c r="F168" s="354">
        <v>0.272541568437005</v>
      </c>
      <c r="G168" s="354">
        <v>0.2686884801646493</v>
      </c>
      <c r="H168" s="354">
        <v>0</v>
      </c>
      <c r="I168" s="354">
        <v>0.26516539030405845</v>
      </c>
      <c r="J168" s="354">
        <v>0.26415245526621289</v>
      </c>
      <c r="K168" s="354">
        <v>0.26374424089079973</v>
      </c>
      <c r="L168" s="365">
        <v>0</v>
      </c>
      <c r="M168" s="305">
        <f t="shared" si="94"/>
        <v>0.13580269869515496</v>
      </c>
      <c r="N168" s="307">
        <f t="shared" si="95"/>
        <v>0.13832326247383189</v>
      </c>
      <c r="O168" s="353">
        <v>0.49565090879333612</v>
      </c>
      <c r="P168" s="354">
        <v>0.31910111805808872</v>
      </c>
      <c r="Q168" s="354">
        <v>0.37276923468510159</v>
      </c>
      <c r="R168" s="354">
        <v>0.34849938235945732</v>
      </c>
      <c r="S168" s="354">
        <v>0.33968715557214441</v>
      </c>
      <c r="T168" s="354">
        <v>0.33754241621370717</v>
      </c>
      <c r="U168" s="354">
        <v>0</v>
      </c>
      <c r="V168" s="354">
        <v>0</v>
      </c>
      <c r="W168" s="354">
        <v>0</v>
      </c>
      <c r="X168" s="354">
        <v>0</v>
      </c>
      <c r="Y168" s="365">
        <v>0</v>
      </c>
      <c r="Z168" s="305">
        <f t="shared" si="92"/>
        <v>0.21976345259131422</v>
      </c>
      <c r="AA168" s="307">
        <f t="shared" si="93"/>
        <v>0.26342384062189916</v>
      </c>
      <c r="AB168" s="91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1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920">
        <f t="shared" si="96"/>
        <v>0</v>
      </c>
      <c r="AE168" s="897">
        <f t="shared" si="102"/>
        <v>0.13580269869515496</v>
      </c>
      <c r="AF168" s="897">
        <f t="shared" si="103"/>
        <v>0.21976345259131422</v>
      </c>
      <c r="AG168" s="897">
        <f t="shared" si="104"/>
        <v>0.35556615128646918</v>
      </c>
      <c r="AH168" s="1113">
        <f t="shared" si="100"/>
        <v>0.38193370826724932</v>
      </c>
      <c r="AI168" s="897">
        <f t="shared" si="101"/>
        <v>0.61806629173275063</v>
      </c>
    </row>
    <row r="169" spans="1:35" x14ac:dyDescent="0.2">
      <c r="A169" s="339">
        <v>2048</v>
      </c>
      <c r="B169" s="353">
        <v>0.48028158292711548</v>
      </c>
      <c r="C169" s="354">
        <v>0.30150372343364373</v>
      </c>
      <c r="D169" s="354">
        <v>0.31192472631822193</v>
      </c>
      <c r="E169" s="354">
        <v>0.28613968061016559</v>
      </c>
      <c r="F169" s="354">
        <v>0.27019403310916024</v>
      </c>
      <c r="G169" s="354">
        <v>0.26775351753667798</v>
      </c>
      <c r="H169" s="354">
        <v>0</v>
      </c>
      <c r="I169" s="354">
        <v>0.26321464073312345</v>
      </c>
      <c r="J169" s="354">
        <v>0.26280620122442638</v>
      </c>
      <c r="K169" s="354">
        <v>0.26280620122442638</v>
      </c>
      <c r="L169" s="365">
        <v>0</v>
      </c>
      <c r="M169" s="305">
        <f t="shared" si="94"/>
        <v>0.13204928064364979</v>
      </c>
      <c r="N169" s="307">
        <f t="shared" si="95"/>
        <v>0.13454057099666408</v>
      </c>
      <c r="O169" s="353">
        <v>0.46743260909611184</v>
      </c>
      <c r="P169" s="354">
        <v>0.30951907240435927</v>
      </c>
      <c r="Q169" s="354">
        <v>0.36417605380315687</v>
      </c>
      <c r="R169" s="354">
        <v>0.34360498017105412</v>
      </c>
      <c r="S169" s="354">
        <v>0.33470858620940563</v>
      </c>
      <c r="T169" s="354">
        <v>0.33102990125346693</v>
      </c>
      <c r="U169" s="354">
        <v>0</v>
      </c>
      <c r="V169" s="354">
        <v>0</v>
      </c>
      <c r="W169" s="354">
        <v>0</v>
      </c>
      <c r="X169" s="354">
        <v>0</v>
      </c>
      <c r="Y169" s="365">
        <v>0</v>
      </c>
      <c r="Z169" s="305">
        <f t="shared" si="92"/>
        <v>0.21215011980396409</v>
      </c>
      <c r="AA169" s="307">
        <f t="shared" si="93"/>
        <v>0.25155604942901494</v>
      </c>
      <c r="AB169" s="91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1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920">
        <f t="shared" si="96"/>
        <v>0</v>
      </c>
      <c r="AE169" s="897">
        <f t="shared" si="102"/>
        <v>0.13204928064364979</v>
      </c>
      <c r="AF169" s="897">
        <f t="shared" si="103"/>
        <v>0.21215011980396409</v>
      </c>
      <c r="AG169" s="897">
        <f t="shared" si="104"/>
        <v>0.34419940044761388</v>
      </c>
      <c r="AH169" s="1113">
        <f t="shared" si="100"/>
        <v>0.38364180899771005</v>
      </c>
      <c r="AI169" s="897">
        <f t="shared" si="101"/>
        <v>0.61635819100228995</v>
      </c>
    </row>
    <row r="170" spans="1:35" x14ac:dyDescent="0.2">
      <c r="A170" s="339">
        <v>2049</v>
      </c>
      <c r="B170" s="353">
        <v>0.46331017385515483</v>
      </c>
      <c r="C170" s="354">
        <v>0.29164441775170336</v>
      </c>
      <c r="D170" s="354">
        <v>0.3055920481071801</v>
      </c>
      <c r="E170" s="354">
        <v>0.28133357431735001</v>
      </c>
      <c r="F170" s="354">
        <v>0.26712840625989465</v>
      </c>
      <c r="G170" s="354">
        <v>0.26612949747311521</v>
      </c>
      <c r="H170" s="354">
        <v>0</v>
      </c>
      <c r="I170" s="354">
        <v>0.26258770433658535</v>
      </c>
      <c r="J170" s="354">
        <v>0.26217912165844776</v>
      </c>
      <c r="K170" s="354">
        <v>0.26217912165844776</v>
      </c>
      <c r="L170" s="365">
        <v>0</v>
      </c>
      <c r="M170" s="305">
        <f t="shared" si="94"/>
        <v>0.12870151348916453</v>
      </c>
      <c r="N170" s="307">
        <f t="shared" si="95"/>
        <v>0.13027105911950493</v>
      </c>
      <c r="O170" s="353">
        <v>0.45908260140820462</v>
      </c>
      <c r="P170" s="354">
        <v>0.30013268212315564</v>
      </c>
      <c r="Q170" s="354">
        <v>0.35512523791341605</v>
      </c>
      <c r="R170" s="354">
        <v>0.33532153765837835</v>
      </c>
      <c r="S170" s="354">
        <v>0.3276088175009676</v>
      </c>
      <c r="T170" s="354">
        <v>0.32579090779959441</v>
      </c>
      <c r="U170" s="354">
        <v>0</v>
      </c>
      <c r="V170" s="354">
        <v>0</v>
      </c>
      <c r="W170" s="354">
        <v>0</v>
      </c>
      <c r="X170" s="354">
        <v>0</v>
      </c>
      <c r="Y170" s="365">
        <v>0</v>
      </c>
      <c r="Z170" s="305">
        <f t="shared" si="92"/>
        <v>0.20703162089922902</v>
      </c>
      <c r="AA170" s="307">
        <f t="shared" si="93"/>
        <v>0.24599914688886759</v>
      </c>
      <c r="AB170" s="91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1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920">
        <f t="shared" si="96"/>
        <v>0</v>
      </c>
      <c r="AE170" s="897">
        <f t="shared" si="102"/>
        <v>0.12870151348916453</v>
      </c>
      <c r="AF170" s="897">
        <f t="shared" si="103"/>
        <v>0.20703162089922902</v>
      </c>
      <c r="AG170" s="897">
        <f t="shared" si="104"/>
        <v>0.33573313438839358</v>
      </c>
      <c r="AH170" s="1113">
        <f t="shared" si="100"/>
        <v>0.38334468751087258</v>
      </c>
      <c r="AI170" s="897">
        <f t="shared" si="101"/>
        <v>0.61665531248912731</v>
      </c>
    </row>
    <row r="171" spans="1:35" ht="13.5" thickBot="1" x14ac:dyDescent="0.25">
      <c r="A171" s="337">
        <v>2050</v>
      </c>
      <c r="B171" s="355">
        <v>0.43477704016667112</v>
      </c>
      <c r="C171" s="356">
        <v>0.27818079108437588</v>
      </c>
      <c r="D171" s="356">
        <v>0.29894174371867871</v>
      </c>
      <c r="E171" s="356">
        <v>0.27813331025460591</v>
      </c>
      <c r="F171" s="356">
        <v>0.26490119221723962</v>
      </c>
      <c r="G171" s="356">
        <v>0.26390091778455244</v>
      </c>
      <c r="H171" s="356">
        <v>0</v>
      </c>
      <c r="I171" s="356">
        <v>0.26115362452541452</v>
      </c>
      <c r="J171" s="356">
        <v>0.26094859645674356</v>
      </c>
      <c r="K171" s="356">
        <v>0.26094859645674356</v>
      </c>
      <c r="L171" s="366">
        <v>0</v>
      </c>
      <c r="M171" s="319">
        <f t="shared" si="94"/>
        <v>0.1239946869681762</v>
      </c>
      <c r="N171" s="321">
        <f t="shared" si="95"/>
        <v>0.12377511101538188</v>
      </c>
      <c r="O171" s="355">
        <v>0.42263285137321904</v>
      </c>
      <c r="P171" s="356">
        <v>0.28785637091410832</v>
      </c>
      <c r="Q171" s="356">
        <v>0.34407720733261282</v>
      </c>
      <c r="R171" s="356">
        <v>0.32607517078846293</v>
      </c>
      <c r="S171" s="356">
        <v>0.32081778787062154</v>
      </c>
      <c r="T171" s="356">
        <v>0.31905861936704072</v>
      </c>
      <c r="U171" s="356">
        <v>0</v>
      </c>
      <c r="V171" s="356">
        <v>0</v>
      </c>
      <c r="W171" s="356">
        <v>0</v>
      </c>
      <c r="X171" s="356">
        <v>0</v>
      </c>
      <c r="Y171" s="366">
        <v>0</v>
      </c>
      <c r="Z171" s="319">
        <f t="shared" si="92"/>
        <v>0.19704626539574305</v>
      </c>
      <c r="AA171" s="321">
        <f t="shared" si="93"/>
        <v>0.2306238435401321</v>
      </c>
      <c r="AB171" s="921">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22">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923">
        <f t="shared" si="96"/>
        <v>0</v>
      </c>
      <c r="AE171" s="897">
        <f t="shared" si="102"/>
        <v>0.1239946869681762</v>
      </c>
      <c r="AF171" s="897">
        <f t="shared" si="103"/>
        <v>0.19704626539574305</v>
      </c>
      <c r="AG171" s="897">
        <f t="shared" si="104"/>
        <v>0.32104095236391927</v>
      </c>
      <c r="AH171" s="1113">
        <f t="shared" si="100"/>
        <v>0.38622700952998901</v>
      </c>
      <c r="AI171" s="897">
        <f t="shared" si="101"/>
        <v>0.61377299047001088</v>
      </c>
    </row>
    <row r="172" spans="1:35" x14ac:dyDescent="0.2">
      <c r="B172" s="236" t="str">
        <f>B$120</f>
        <v>Output generated: 11/04/2020 14:43</v>
      </c>
      <c r="O172" s="236" t="str">
        <f>O$120</f>
        <v>Output generated: 11/04/2020 14:43</v>
      </c>
      <c r="AE172" s="897">
        <f t="shared" si="102"/>
        <v>0</v>
      </c>
      <c r="AF172" s="897">
        <f t="shared" si="103"/>
        <v>0</v>
      </c>
      <c r="AG172" s="897">
        <f t="shared" si="104"/>
        <v>0</v>
      </c>
      <c r="AH172" s="1113">
        <f t="shared" si="100"/>
        <v>0</v>
      </c>
      <c r="AI172" s="897">
        <f t="shared" si="101"/>
        <v>0</v>
      </c>
    </row>
    <row r="173" spans="1:35" ht="13.5" thickBot="1" x14ac:dyDescent="0.25">
      <c r="AE173" s="897"/>
      <c r="AF173" s="897"/>
      <c r="AG173" s="897"/>
      <c r="AH173" s="897"/>
      <c r="AI173" s="897"/>
    </row>
    <row r="174" spans="1:35" ht="15" x14ac:dyDescent="0.25">
      <c r="A174" s="342"/>
      <c r="B174" s="1643" t="s">
        <v>310</v>
      </c>
      <c r="C174" s="1644"/>
      <c r="D174" s="1644"/>
      <c r="E174" s="1644"/>
      <c r="F174" s="1644"/>
      <c r="G174" s="1644"/>
      <c r="H174" s="1644"/>
      <c r="I174" s="1644"/>
      <c r="J174" s="1644"/>
      <c r="K174" s="1644"/>
      <c r="L174" s="1644"/>
      <c r="M174" s="1644"/>
      <c r="N174" s="1645"/>
      <c r="O174" s="1643" t="s">
        <v>311</v>
      </c>
      <c r="P174" s="1644"/>
      <c r="Q174" s="1644"/>
      <c r="R174" s="1644"/>
      <c r="S174" s="1644"/>
      <c r="T174" s="1644"/>
      <c r="U174" s="1644"/>
      <c r="V174" s="1644"/>
      <c r="W174" s="1644"/>
      <c r="X174" s="1644"/>
      <c r="Y174" s="1644"/>
      <c r="Z174" s="1644"/>
      <c r="AA174" s="1645"/>
      <c r="AE174" s="897"/>
      <c r="AF174" s="897"/>
      <c r="AG174" s="897"/>
      <c r="AH174" s="897"/>
      <c r="AI174" s="897"/>
    </row>
    <row r="175" spans="1:35" x14ac:dyDescent="0.2">
      <c r="A175" s="333"/>
      <c r="B175" s="1641" t="s">
        <v>125</v>
      </c>
      <c r="C175" s="1642"/>
      <c r="D175" s="1642"/>
      <c r="E175" s="1642"/>
      <c r="F175" s="1642"/>
      <c r="G175" s="1642"/>
      <c r="H175" s="1642"/>
      <c r="I175" s="1642"/>
      <c r="J175" s="1642"/>
      <c r="K175" s="1642"/>
      <c r="L175" s="1642"/>
      <c r="M175" s="367"/>
      <c r="N175" s="334"/>
      <c r="O175" s="1641" t="s">
        <v>125</v>
      </c>
      <c r="P175" s="1642"/>
      <c r="Q175" s="1642"/>
      <c r="R175" s="1642"/>
      <c r="S175" s="1642"/>
      <c r="T175" s="1642"/>
      <c r="U175" s="1642"/>
      <c r="V175" s="1642"/>
      <c r="W175" s="1642"/>
      <c r="X175" s="1642"/>
      <c r="Y175" s="1642"/>
      <c r="Z175" s="367"/>
      <c r="AA175" s="334"/>
      <c r="AC175" s="925" t="s">
        <v>211</v>
      </c>
      <c r="AD175" s="243" t="b">
        <f>INDEX(TECH_OPT_FUEL2_Cls2,MATCH(RIGHT(O174),TECH_OPT_ROWS_Cls2,0))&lt;&gt;"N/A"</f>
        <v>0</v>
      </c>
      <c r="AE175" s="897"/>
      <c r="AF175" s="897"/>
      <c r="AG175" s="897"/>
      <c r="AH175" s="897"/>
      <c r="AI175" s="897"/>
    </row>
    <row r="176" spans="1:35" ht="13.5" thickBot="1" x14ac:dyDescent="0.25">
      <c r="A176" s="340"/>
      <c r="B176" s="347" t="s">
        <v>31</v>
      </c>
      <c r="C176" s="348" t="s">
        <v>32</v>
      </c>
      <c r="D176" s="348" t="s">
        <v>33</v>
      </c>
      <c r="E176" s="348" t="s">
        <v>34</v>
      </c>
      <c r="F176" s="348" t="s">
        <v>35</v>
      </c>
      <c r="G176" s="348" t="s">
        <v>36</v>
      </c>
      <c r="H176" s="348" t="s">
        <v>37</v>
      </c>
      <c r="I176" s="348" t="s">
        <v>38</v>
      </c>
      <c r="J176" s="348" t="s">
        <v>39</v>
      </c>
      <c r="K176" s="348" t="s">
        <v>40</v>
      </c>
      <c r="L176" s="362" t="s">
        <v>41</v>
      </c>
      <c r="M176" s="368" t="s">
        <v>126</v>
      </c>
      <c r="N176" s="341" t="s">
        <v>127</v>
      </c>
      <c r="O176" s="347" t="s">
        <v>31</v>
      </c>
      <c r="P176" s="348" t="s">
        <v>32</v>
      </c>
      <c r="Q176" s="348" t="s">
        <v>33</v>
      </c>
      <c r="R176" s="348" t="s">
        <v>34</v>
      </c>
      <c r="S176" s="348" t="s">
        <v>35</v>
      </c>
      <c r="T176" s="348" t="s">
        <v>36</v>
      </c>
      <c r="U176" s="348" t="s">
        <v>37</v>
      </c>
      <c r="V176" s="348" t="s">
        <v>38</v>
      </c>
      <c r="W176" s="348" t="s">
        <v>39</v>
      </c>
      <c r="X176" s="348" t="s">
        <v>40</v>
      </c>
      <c r="Y176" s="362" t="s">
        <v>41</v>
      </c>
      <c r="Z176" s="368" t="s">
        <v>126</v>
      </c>
      <c r="AA176" s="341" t="s">
        <v>127</v>
      </c>
      <c r="AB176" s="896"/>
      <c r="AC176" s="925" t="s">
        <v>212</v>
      </c>
      <c r="AD176" s="243">
        <f>MATCH(RIGHT(O174),TECH_OPT_ROWS_Cls2,0)</f>
        <v>4</v>
      </c>
      <c r="AE176" s="897"/>
      <c r="AF176" s="897"/>
      <c r="AG176" s="897"/>
      <c r="AH176" s="897"/>
      <c r="AI176" s="897"/>
    </row>
    <row r="177" spans="1:47" ht="14.25" thickTop="1" thickBot="1" x14ac:dyDescent="0.25">
      <c r="A177" s="357" t="s">
        <v>128</v>
      </c>
      <c r="B177" s="349">
        <f t="array" ref="B177:L177">TRANSPOSE(Cls2CentTruckShr)</f>
        <v>0.14301387566993123</v>
      </c>
      <c r="C177" s="350">
        <v>0.15922037604799255</v>
      </c>
      <c r="D177" s="350">
        <v>2.9955708879143464E-2</v>
      </c>
      <c r="E177" s="350">
        <v>1.2051872071306563E-2</v>
      </c>
      <c r="F177" s="350">
        <v>2.5101991276529922E-3</v>
      </c>
      <c r="G177" s="350">
        <v>6.9082025480011917E-3</v>
      </c>
      <c r="H177" s="350">
        <v>0</v>
      </c>
      <c r="I177" s="350">
        <v>5.0829911580039175E-3</v>
      </c>
      <c r="J177" s="350">
        <v>4.1774531135091424E-3</v>
      </c>
      <c r="K177" s="350">
        <v>3.4985640210313297E-4</v>
      </c>
      <c r="L177" s="363">
        <v>0</v>
      </c>
      <c r="M177" s="1170"/>
      <c r="N177" s="1171"/>
      <c r="O177" s="349">
        <f t="array" ref="O177:Y177">TRANSPOSE(Cls2NCentTruckShr)</f>
        <v>0.32168658911174963</v>
      </c>
      <c r="P177" s="350">
        <v>0.22951996662284996</v>
      </c>
      <c r="Q177" s="350">
        <v>4.4589165182040112E-2</v>
      </c>
      <c r="R177" s="350">
        <v>2.5203556385104318E-2</v>
      </c>
      <c r="S177" s="350">
        <v>1.1662976711256823E-2</v>
      </c>
      <c r="T177" s="350">
        <v>4.0672109693550701E-3</v>
      </c>
      <c r="U177" s="350">
        <v>0</v>
      </c>
      <c r="V177" s="350">
        <v>0</v>
      </c>
      <c r="W177" s="350">
        <v>0</v>
      </c>
      <c r="X177" s="350">
        <v>0</v>
      </c>
      <c r="Y177" s="1172">
        <v>0</v>
      </c>
      <c r="Z177" s="1170"/>
      <c r="AA177" s="1171"/>
    </row>
    <row r="178" spans="1:47" x14ac:dyDescent="0.2">
      <c r="A178" s="340" t="s">
        <v>129</v>
      </c>
      <c r="B178" s="886">
        <f t="array" ref="B178:L178">TRANSPOSE(Cls2CentVMTShr)</f>
        <v>6.2596304675174685E-2</v>
      </c>
      <c r="C178" s="887">
        <v>0.17123619514715344</v>
      </c>
      <c r="D178" s="887">
        <v>5.4462640341289378E-2</v>
      </c>
      <c r="E178" s="887">
        <v>3.0079969757749035E-2</v>
      </c>
      <c r="F178" s="887">
        <v>8.9582541075343674E-3</v>
      </c>
      <c r="G178" s="887">
        <v>2.7354452536373829E-2</v>
      </c>
      <c r="H178" s="887">
        <v>0</v>
      </c>
      <c r="I178" s="887">
        <v>2.7838813346236703E-2</v>
      </c>
      <c r="J178" s="887">
        <v>2.6638291118281053E-2</v>
      </c>
      <c r="K178" s="887">
        <v>2.6207591632366194E-3</v>
      </c>
      <c r="L178" s="1167">
        <v>0</v>
      </c>
      <c r="M178" s="1168"/>
      <c r="N178" s="1169"/>
      <c r="O178" s="886">
        <f t="array" ref="O178:Y178">TRANSPOSE(Cls2NCentVMTShr)</f>
        <v>0.1395246673448009</v>
      </c>
      <c r="P178" s="887">
        <v>0.24520988200363547</v>
      </c>
      <c r="Q178" s="887">
        <v>8.1490070736109921E-2</v>
      </c>
      <c r="R178" s="887">
        <v>6.583288215049983E-2</v>
      </c>
      <c r="S178" s="887">
        <v>4.0172226503060141E-2</v>
      </c>
      <c r="T178" s="887">
        <v>1.5984591068864695E-2</v>
      </c>
      <c r="U178" s="887">
        <v>0</v>
      </c>
      <c r="V178" s="887">
        <v>0</v>
      </c>
      <c r="W178" s="887">
        <v>0</v>
      </c>
      <c r="X178" s="887">
        <v>0</v>
      </c>
      <c r="Y178" s="888">
        <v>0</v>
      </c>
      <c r="Z178" s="1168"/>
      <c r="AA178" s="1169"/>
      <c r="AB178" s="1630" t="str">
        <f>"% of miles on f2 for Tech "&amp; RIGHT(O173)&amp;" adopters"</f>
        <v>% of miles on f2 for Tech  adopters</v>
      </c>
      <c r="AC178" s="1631"/>
      <c r="AD178" s="1632"/>
      <c r="AE178" s="897" t="s">
        <v>248</v>
      </c>
      <c r="AF178" s="897"/>
      <c r="AG178" s="897"/>
      <c r="AH178" s="1113" t="s">
        <v>249</v>
      </c>
      <c r="AI178" s="897"/>
    </row>
    <row r="179" spans="1:47" ht="13.5" thickBot="1" x14ac:dyDescent="0.25">
      <c r="A179" s="902" t="s">
        <v>210</v>
      </c>
      <c r="B179" s="893">
        <f t="array" ref="B179:L179">TRANSPOSE(Cls2CentVMT/OPDAYS_Cls2)</f>
        <v>47.272432262826776</v>
      </c>
      <c r="C179" s="894">
        <v>116.15404879045298</v>
      </c>
      <c r="D179" s="894">
        <v>196.36158066360434</v>
      </c>
      <c r="E179" s="894">
        <v>269.56301851798423</v>
      </c>
      <c r="F179" s="894">
        <v>385.43631601986891</v>
      </c>
      <c r="G179" s="894">
        <v>427.66173492444818</v>
      </c>
      <c r="H179" s="894">
        <v>520</v>
      </c>
      <c r="I179" s="894">
        <v>591.51912876803578</v>
      </c>
      <c r="J179" s="894">
        <v>688.70336552103913</v>
      </c>
      <c r="K179" s="894">
        <v>809.04879618738505</v>
      </c>
      <c r="L179" s="895">
        <v>800</v>
      </c>
      <c r="M179" s="891"/>
      <c r="N179" s="892"/>
      <c r="O179" s="893">
        <f t="array" ref="O179:Y179">TRANSPOSE(Cls2NCentVMT/OPDAYS_Cls2)</f>
        <v>46.84416138890699</v>
      </c>
      <c r="P179" s="894">
        <v>115.38648000770841</v>
      </c>
      <c r="Q179" s="894">
        <v>197.38438010908374</v>
      </c>
      <c r="R179" s="894">
        <v>282.10999329750342</v>
      </c>
      <c r="S179" s="894">
        <v>372.00940778680217</v>
      </c>
      <c r="T179" s="894">
        <v>424.46536474865826</v>
      </c>
      <c r="U179" s="894">
        <v>520</v>
      </c>
      <c r="V179" s="894">
        <v>600</v>
      </c>
      <c r="W179" s="894">
        <v>680</v>
      </c>
      <c r="X179" s="894">
        <v>760</v>
      </c>
      <c r="Y179" s="1173">
        <v>800</v>
      </c>
      <c r="Z179" s="903"/>
      <c r="AA179" s="892"/>
      <c r="AB179" s="915" t="s">
        <v>174</v>
      </c>
      <c r="AC179" s="916" t="s">
        <v>15</v>
      </c>
      <c r="AD179" s="917" t="s">
        <v>20</v>
      </c>
      <c r="AE179" s="897" t="s">
        <v>174</v>
      </c>
      <c r="AF179" s="897" t="s">
        <v>15</v>
      </c>
      <c r="AG179" s="897" t="s">
        <v>20</v>
      </c>
      <c r="AH179" s="1113" t="s">
        <v>174</v>
      </c>
      <c r="AI179" s="897" t="s">
        <v>15</v>
      </c>
      <c r="AJ179"/>
      <c r="AK179"/>
      <c r="AL179"/>
      <c r="AM179"/>
      <c r="AN179"/>
      <c r="AO179"/>
      <c r="AP179"/>
      <c r="AQ179"/>
      <c r="AR179"/>
      <c r="AS179"/>
      <c r="AT179"/>
      <c r="AU179"/>
    </row>
    <row r="180" spans="1:47" ht="13.5" thickTop="1" x14ac:dyDescent="0.2">
      <c r="A180" s="335">
        <v>2007</v>
      </c>
      <c r="B180" s="351">
        <v>0</v>
      </c>
      <c r="C180" s="352">
        <v>0</v>
      </c>
      <c r="D180" s="352">
        <v>0</v>
      </c>
      <c r="E180" s="352">
        <v>0</v>
      </c>
      <c r="F180" s="352">
        <v>0</v>
      </c>
      <c r="G180" s="352">
        <v>0</v>
      </c>
      <c r="H180" s="352">
        <v>0</v>
      </c>
      <c r="I180" s="352">
        <v>0</v>
      </c>
      <c r="J180" s="352">
        <v>0</v>
      </c>
      <c r="K180" s="352">
        <v>0</v>
      </c>
      <c r="L180" s="364">
        <v>0</v>
      </c>
      <c r="M180" s="291">
        <f>SUMPRODUCT($B$178:$L$178,$B180:$L180)</f>
        <v>0</v>
      </c>
      <c r="N180" s="293">
        <f>SUMPRODUCT($B$177:$L$177,$B180:$L180)</f>
        <v>0</v>
      </c>
      <c r="O180" s="351">
        <v>0</v>
      </c>
      <c r="P180" s="352">
        <v>0</v>
      </c>
      <c r="Q180" s="352">
        <v>0</v>
      </c>
      <c r="R180" s="352">
        <v>0</v>
      </c>
      <c r="S180" s="352">
        <v>0</v>
      </c>
      <c r="T180" s="352">
        <v>0</v>
      </c>
      <c r="U180" s="352">
        <v>0</v>
      </c>
      <c r="V180" s="352">
        <v>0</v>
      </c>
      <c r="W180" s="352">
        <v>0</v>
      </c>
      <c r="X180" s="352">
        <v>0</v>
      </c>
      <c r="Y180" s="364">
        <v>0</v>
      </c>
      <c r="Z180" s="372">
        <f>SUMPRODUCT($O$178:$Y$178,$O180:$Y180)</f>
        <v>0</v>
      </c>
      <c r="AA180" s="293">
        <f>SUMPRODUCT($O$177:$Y$177,$O180:$Y180)</f>
        <v>0</v>
      </c>
      <c r="AB180" s="91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1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174">
        <f>AB180*AH180+AC180*AI180</f>
        <v>0</v>
      </c>
      <c r="AE180" s="897">
        <f t="shared" ref="AE180:AE194" si="105">SUMPRODUCT($B$74:$L$74,B180:L180)</f>
        <v>0</v>
      </c>
      <c r="AF180" s="897">
        <f t="shared" ref="AF180:AF194" si="106">SUMPRODUCT($O$74:$Y$74,O180:Y180)</f>
        <v>0</v>
      </c>
      <c r="AG180" s="897">
        <f t="shared" ref="AG180:AG194" si="107">SUM(AE180:AF180)</f>
        <v>0</v>
      </c>
      <c r="AH180" s="1113">
        <f>IF(AG180&gt;0,AE180/AG180,0)</f>
        <v>0</v>
      </c>
      <c r="AI180" s="897">
        <f>IF(AG180&gt;0,AF180/AG180,0)</f>
        <v>0</v>
      </c>
    </row>
    <row r="181" spans="1:47" x14ac:dyDescent="0.2">
      <c r="A181" s="336">
        <v>2008</v>
      </c>
      <c r="B181" s="353">
        <v>0</v>
      </c>
      <c r="C181" s="354">
        <v>0</v>
      </c>
      <c r="D181" s="354">
        <v>0</v>
      </c>
      <c r="E181" s="354">
        <v>0</v>
      </c>
      <c r="F181" s="354">
        <v>0</v>
      </c>
      <c r="G181" s="354">
        <v>0</v>
      </c>
      <c r="H181" s="354">
        <v>0</v>
      </c>
      <c r="I181" s="354">
        <v>0</v>
      </c>
      <c r="J181" s="354">
        <v>0</v>
      </c>
      <c r="K181" s="354">
        <v>0</v>
      </c>
      <c r="L181" s="365">
        <v>0</v>
      </c>
      <c r="M181" s="305">
        <f t="shared" ref="M181:M223" si="108">SUMPRODUCT($B$178:$L$178,$B181:$L181)</f>
        <v>0</v>
      </c>
      <c r="N181" s="307">
        <f t="shared" ref="N181:N223" si="109">SUMPRODUCT($B$177:$L$177,$B181:$L181)</f>
        <v>0</v>
      </c>
      <c r="O181" s="353">
        <v>0</v>
      </c>
      <c r="P181" s="354">
        <v>0</v>
      </c>
      <c r="Q181" s="354">
        <v>0</v>
      </c>
      <c r="R181" s="354">
        <v>0</v>
      </c>
      <c r="S181" s="354">
        <v>0</v>
      </c>
      <c r="T181" s="354">
        <v>0</v>
      </c>
      <c r="U181" s="354">
        <v>0</v>
      </c>
      <c r="V181" s="354">
        <v>0</v>
      </c>
      <c r="W181" s="354">
        <v>0</v>
      </c>
      <c r="X181" s="354">
        <v>0</v>
      </c>
      <c r="Y181" s="365">
        <v>0</v>
      </c>
      <c r="Z181" s="305">
        <f t="shared" ref="Z181:Z223" si="110">SUMPRODUCT($O$178:$Y$178,$O181:$Y181)</f>
        <v>0</v>
      </c>
      <c r="AA181" s="307">
        <f t="shared" ref="AA181:AA223" si="111">SUMPRODUCT($O$177:$Y$177,$O181:$Y181)</f>
        <v>0</v>
      </c>
      <c r="AB181" s="91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1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920">
        <f t="shared" ref="AD181:AD223" si="112">AB181*AH181+AC181*AI181</f>
        <v>0</v>
      </c>
      <c r="AE181" s="897">
        <f t="shared" si="105"/>
        <v>0</v>
      </c>
      <c r="AF181" s="897">
        <f t="shared" si="106"/>
        <v>0</v>
      </c>
      <c r="AG181" s="897">
        <f t="shared" si="107"/>
        <v>0</v>
      </c>
      <c r="AH181" s="1113">
        <f t="shared" ref="AH181:AH222" si="113">IF(AG181&gt;0,AE181/AG181,0)</f>
        <v>0</v>
      </c>
      <c r="AI181" s="897">
        <f t="shared" ref="AI181:AI222" si="114">IF(AG181&gt;0,AF181/AG181,0)</f>
        <v>0</v>
      </c>
    </row>
    <row r="182" spans="1:47" x14ac:dyDescent="0.2">
      <c r="A182" s="336">
        <v>2009</v>
      </c>
      <c r="B182" s="353">
        <v>0</v>
      </c>
      <c r="C182" s="354">
        <v>0</v>
      </c>
      <c r="D182" s="354">
        <v>0</v>
      </c>
      <c r="E182" s="354">
        <v>0</v>
      </c>
      <c r="F182" s="354">
        <v>0</v>
      </c>
      <c r="G182" s="354">
        <v>0</v>
      </c>
      <c r="H182" s="354">
        <v>0</v>
      </c>
      <c r="I182" s="354">
        <v>0</v>
      </c>
      <c r="J182" s="354">
        <v>0</v>
      </c>
      <c r="K182" s="354">
        <v>0</v>
      </c>
      <c r="L182" s="365">
        <v>0</v>
      </c>
      <c r="M182" s="305">
        <f t="shared" si="108"/>
        <v>0</v>
      </c>
      <c r="N182" s="307">
        <f t="shared" si="109"/>
        <v>0</v>
      </c>
      <c r="O182" s="353">
        <v>0</v>
      </c>
      <c r="P182" s="354">
        <v>0</v>
      </c>
      <c r="Q182" s="354">
        <v>0</v>
      </c>
      <c r="R182" s="354">
        <v>0</v>
      </c>
      <c r="S182" s="354">
        <v>0</v>
      </c>
      <c r="T182" s="354">
        <v>0</v>
      </c>
      <c r="U182" s="354">
        <v>0</v>
      </c>
      <c r="V182" s="354">
        <v>0</v>
      </c>
      <c r="W182" s="354">
        <v>0</v>
      </c>
      <c r="X182" s="354">
        <v>0</v>
      </c>
      <c r="Y182" s="365">
        <v>0</v>
      </c>
      <c r="Z182" s="305">
        <f t="shared" si="110"/>
        <v>0</v>
      </c>
      <c r="AA182" s="307">
        <f t="shared" si="111"/>
        <v>0</v>
      </c>
      <c r="AB182" s="91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1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920">
        <f t="shared" si="112"/>
        <v>0</v>
      </c>
      <c r="AE182" s="897">
        <f t="shared" si="105"/>
        <v>0</v>
      </c>
      <c r="AF182" s="897">
        <f t="shared" si="106"/>
        <v>0</v>
      </c>
      <c r="AG182" s="897">
        <f t="shared" si="107"/>
        <v>0</v>
      </c>
      <c r="AH182" s="1113">
        <f t="shared" si="113"/>
        <v>0</v>
      </c>
      <c r="AI182" s="897">
        <f t="shared" si="114"/>
        <v>0</v>
      </c>
    </row>
    <row r="183" spans="1:47" ht="13.5" thickBot="1" x14ac:dyDescent="0.25">
      <c r="A183" s="337">
        <v>2010</v>
      </c>
      <c r="B183" s="355">
        <v>0</v>
      </c>
      <c r="C183" s="356">
        <v>0</v>
      </c>
      <c r="D183" s="356">
        <v>0</v>
      </c>
      <c r="E183" s="356">
        <v>0</v>
      </c>
      <c r="F183" s="356">
        <v>0</v>
      </c>
      <c r="G183" s="356">
        <v>0</v>
      </c>
      <c r="H183" s="356">
        <v>0</v>
      </c>
      <c r="I183" s="356">
        <v>0</v>
      </c>
      <c r="J183" s="356">
        <v>0</v>
      </c>
      <c r="K183" s="356">
        <v>0</v>
      </c>
      <c r="L183" s="366">
        <v>0</v>
      </c>
      <c r="M183" s="319">
        <f t="shared" si="108"/>
        <v>0</v>
      </c>
      <c r="N183" s="321">
        <f t="shared" si="109"/>
        <v>0</v>
      </c>
      <c r="O183" s="355">
        <v>0</v>
      </c>
      <c r="P183" s="356">
        <v>0</v>
      </c>
      <c r="Q183" s="356">
        <v>0</v>
      </c>
      <c r="R183" s="356">
        <v>0</v>
      </c>
      <c r="S183" s="356">
        <v>0</v>
      </c>
      <c r="T183" s="356">
        <v>0</v>
      </c>
      <c r="U183" s="356">
        <v>0</v>
      </c>
      <c r="V183" s="356">
        <v>0</v>
      </c>
      <c r="W183" s="356">
        <v>0</v>
      </c>
      <c r="X183" s="356">
        <v>0</v>
      </c>
      <c r="Y183" s="366">
        <v>0</v>
      </c>
      <c r="Z183" s="319">
        <f t="shared" si="110"/>
        <v>0</v>
      </c>
      <c r="AA183" s="321">
        <f t="shared" si="111"/>
        <v>0</v>
      </c>
      <c r="AB183" s="91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1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920">
        <f t="shared" si="112"/>
        <v>0</v>
      </c>
      <c r="AE183" s="897">
        <f t="shared" si="105"/>
        <v>0</v>
      </c>
      <c r="AF183" s="897">
        <f t="shared" si="106"/>
        <v>0</v>
      </c>
      <c r="AG183" s="897">
        <f t="shared" si="107"/>
        <v>0</v>
      </c>
      <c r="AH183" s="1113">
        <f t="shared" si="113"/>
        <v>0</v>
      </c>
      <c r="AI183" s="897">
        <f t="shared" si="114"/>
        <v>0</v>
      </c>
    </row>
    <row r="184" spans="1:47" x14ac:dyDescent="0.2">
      <c r="A184" s="338">
        <v>2011</v>
      </c>
      <c r="B184" s="351">
        <v>0</v>
      </c>
      <c r="C184" s="352">
        <v>0</v>
      </c>
      <c r="D184" s="352">
        <v>0</v>
      </c>
      <c r="E184" s="352">
        <v>0</v>
      </c>
      <c r="F184" s="352">
        <v>0</v>
      </c>
      <c r="G184" s="352">
        <v>0</v>
      </c>
      <c r="H184" s="352">
        <v>0</v>
      </c>
      <c r="I184" s="352">
        <v>0</v>
      </c>
      <c r="J184" s="352">
        <v>0</v>
      </c>
      <c r="K184" s="352">
        <v>0</v>
      </c>
      <c r="L184" s="364">
        <v>0</v>
      </c>
      <c r="M184" s="291">
        <f t="shared" si="108"/>
        <v>0</v>
      </c>
      <c r="N184" s="293">
        <f t="shared" si="109"/>
        <v>0</v>
      </c>
      <c r="O184" s="351">
        <v>0</v>
      </c>
      <c r="P184" s="352">
        <v>0</v>
      </c>
      <c r="Q184" s="352">
        <v>0</v>
      </c>
      <c r="R184" s="352">
        <v>0</v>
      </c>
      <c r="S184" s="352">
        <v>0</v>
      </c>
      <c r="T184" s="352">
        <v>0</v>
      </c>
      <c r="U184" s="352">
        <v>0</v>
      </c>
      <c r="V184" s="352">
        <v>0</v>
      </c>
      <c r="W184" s="352">
        <v>0</v>
      </c>
      <c r="X184" s="352">
        <v>0</v>
      </c>
      <c r="Y184" s="364">
        <v>0</v>
      </c>
      <c r="Z184" s="291">
        <f t="shared" si="110"/>
        <v>0</v>
      </c>
      <c r="AA184" s="293">
        <f t="shared" si="111"/>
        <v>0</v>
      </c>
      <c r="AB184" s="91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1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920">
        <f t="shared" si="112"/>
        <v>0</v>
      </c>
      <c r="AE184" s="897">
        <f t="shared" si="105"/>
        <v>0</v>
      </c>
      <c r="AF184" s="897">
        <f t="shared" si="106"/>
        <v>0</v>
      </c>
      <c r="AG184" s="897">
        <f t="shared" si="107"/>
        <v>0</v>
      </c>
      <c r="AH184" s="1113">
        <f t="shared" si="113"/>
        <v>0</v>
      </c>
      <c r="AI184" s="897">
        <f t="shared" si="114"/>
        <v>0</v>
      </c>
    </row>
    <row r="185" spans="1:47" x14ac:dyDescent="0.2">
      <c r="A185" s="339">
        <v>2012</v>
      </c>
      <c r="B185" s="353">
        <v>0</v>
      </c>
      <c r="C185" s="354">
        <v>0</v>
      </c>
      <c r="D185" s="354">
        <v>0</v>
      </c>
      <c r="E185" s="354">
        <v>0</v>
      </c>
      <c r="F185" s="354">
        <v>0</v>
      </c>
      <c r="G185" s="354">
        <v>0</v>
      </c>
      <c r="H185" s="354">
        <v>0</v>
      </c>
      <c r="I185" s="354">
        <v>0</v>
      </c>
      <c r="J185" s="354">
        <v>0</v>
      </c>
      <c r="K185" s="354">
        <v>0</v>
      </c>
      <c r="L185" s="365">
        <v>0</v>
      </c>
      <c r="M185" s="305">
        <f t="shared" si="108"/>
        <v>0</v>
      </c>
      <c r="N185" s="307">
        <f t="shared" si="109"/>
        <v>0</v>
      </c>
      <c r="O185" s="353">
        <v>0</v>
      </c>
      <c r="P185" s="354">
        <v>0</v>
      </c>
      <c r="Q185" s="354">
        <v>0</v>
      </c>
      <c r="R185" s="354">
        <v>0</v>
      </c>
      <c r="S185" s="354">
        <v>0</v>
      </c>
      <c r="T185" s="354">
        <v>0</v>
      </c>
      <c r="U185" s="354">
        <v>0</v>
      </c>
      <c r="V185" s="354">
        <v>0</v>
      </c>
      <c r="W185" s="354">
        <v>0</v>
      </c>
      <c r="X185" s="354">
        <v>0</v>
      </c>
      <c r="Y185" s="365">
        <v>0</v>
      </c>
      <c r="Z185" s="305">
        <f t="shared" si="110"/>
        <v>0</v>
      </c>
      <c r="AA185" s="307">
        <f t="shared" si="111"/>
        <v>0</v>
      </c>
      <c r="AB185" s="91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1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920">
        <f t="shared" si="112"/>
        <v>0</v>
      </c>
      <c r="AE185" s="897">
        <f t="shared" si="105"/>
        <v>0</v>
      </c>
      <c r="AF185" s="897">
        <f t="shared" si="106"/>
        <v>0</v>
      </c>
      <c r="AG185" s="897">
        <f t="shared" si="107"/>
        <v>0</v>
      </c>
      <c r="AH185" s="1113">
        <f t="shared" si="113"/>
        <v>0</v>
      </c>
      <c r="AI185" s="897">
        <f t="shared" si="114"/>
        <v>0</v>
      </c>
    </row>
    <row r="186" spans="1:47" x14ac:dyDescent="0.2">
      <c r="A186" s="339">
        <v>2013</v>
      </c>
      <c r="B186" s="353">
        <v>0</v>
      </c>
      <c r="C186" s="354">
        <v>0</v>
      </c>
      <c r="D186" s="354">
        <v>0</v>
      </c>
      <c r="E186" s="354">
        <v>0</v>
      </c>
      <c r="F186" s="354">
        <v>0</v>
      </c>
      <c r="G186" s="354">
        <v>0</v>
      </c>
      <c r="H186" s="354">
        <v>0</v>
      </c>
      <c r="I186" s="354">
        <v>0</v>
      </c>
      <c r="J186" s="354">
        <v>0</v>
      </c>
      <c r="K186" s="354">
        <v>0</v>
      </c>
      <c r="L186" s="365">
        <v>0</v>
      </c>
      <c r="M186" s="305">
        <f t="shared" si="108"/>
        <v>0</v>
      </c>
      <c r="N186" s="307">
        <f t="shared" si="109"/>
        <v>0</v>
      </c>
      <c r="O186" s="353">
        <v>0</v>
      </c>
      <c r="P186" s="354">
        <v>0</v>
      </c>
      <c r="Q186" s="354">
        <v>0</v>
      </c>
      <c r="R186" s="354">
        <v>0</v>
      </c>
      <c r="S186" s="354">
        <v>0</v>
      </c>
      <c r="T186" s="354">
        <v>0</v>
      </c>
      <c r="U186" s="354">
        <v>0</v>
      </c>
      <c r="V186" s="354">
        <v>0</v>
      </c>
      <c r="W186" s="354">
        <v>0</v>
      </c>
      <c r="X186" s="354">
        <v>0</v>
      </c>
      <c r="Y186" s="365">
        <v>0</v>
      </c>
      <c r="Z186" s="305">
        <f t="shared" si="110"/>
        <v>0</v>
      </c>
      <c r="AA186" s="307">
        <f t="shared" si="111"/>
        <v>0</v>
      </c>
      <c r="AB186" s="91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1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920">
        <f t="shared" si="112"/>
        <v>0</v>
      </c>
      <c r="AE186" s="897">
        <f t="shared" si="105"/>
        <v>0</v>
      </c>
      <c r="AF186" s="897">
        <f t="shared" si="106"/>
        <v>0</v>
      </c>
      <c r="AG186" s="897">
        <f t="shared" si="107"/>
        <v>0</v>
      </c>
      <c r="AH186" s="1113">
        <f t="shared" si="113"/>
        <v>0</v>
      </c>
      <c r="AI186" s="897">
        <f t="shared" si="114"/>
        <v>0</v>
      </c>
    </row>
    <row r="187" spans="1:47" x14ac:dyDescent="0.2">
      <c r="A187" s="339">
        <v>2014</v>
      </c>
      <c r="B187" s="353">
        <v>0</v>
      </c>
      <c r="C187" s="354">
        <v>0</v>
      </c>
      <c r="D187" s="354">
        <v>0</v>
      </c>
      <c r="E187" s="354">
        <v>0</v>
      </c>
      <c r="F187" s="354">
        <v>0</v>
      </c>
      <c r="G187" s="354">
        <v>0</v>
      </c>
      <c r="H187" s="354">
        <v>0</v>
      </c>
      <c r="I187" s="354">
        <v>0</v>
      </c>
      <c r="J187" s="354">
        <v>0</v>
      </c>
      <c r="K187" s="354">
        <v>0</v>
      </c>
      <c r="L187" s="365">
        <v>0</v>
      </c>
      <c r="M187" s="305">
        <f t="shared" si="108"/>
        <v>0</v>
      </c>
      <c r="N187" s="307">
        <f t="shared" si="109"/>
        <v>0</v>
      </c>
      <c r="O187" s="353">
        <v>0</v>
      </c>
      <c r="P187" s="354">
        <v>0</v>
      </c>
      <c r="Q187" s="354">
        <v>0</v>
      </c>
      <c r="R187" s="354">
        <v>0</v>
      </c>
      <c r="S187" s="354">
        <v>0</v>
      </c>
      <c r="T187" s="354">
        <v>0</v>
      </c>
      <c r="U187" s="354">
        <v>0</v>
      </c>
      <c r="V187" s="354">
        <v>0</v>
      </c>
      <c r="W187" s="354">
        <v>0</v>
      </c>
      <c r="X187" s="354">
        <v>0</v>
      </c>
      <c r="Y187" s="365">
        <v>0</v>
      </c>
      <c r="Z187" s="305">
        <f t="shared" si="110"/>
        <v>0</v>
      </c>
      <c r="AA187" s="307">
        <f t="shared" si="111"/>
        <v>0</v>
      </c>
      <c r="AB187" s="91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1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920">
        <f t="shared" si="112"/>
        <v>0</v>
      </c>
      <c r="AE187" s="897">
        <f t="shared" si="105"/>
        <v>0</v>
      </c>
      <c r="AF187" s="897">
        <f t="shared" si="106"/>
        <v>0</v>
      </c>
      <c r="AG187" s="897">
        <f t="shared" si="107"/>
        <v>0</v>
      </c>
      <c r="AH187" s="1113">
        <f t="shared" si="113"/>
        <v>0</v>
      </c>
      <c r="AI187" s="897">
        <f t="shared" si="114"/>
        <v>0</v>
      </c>
    </row>
    <row r="188" spans="1:47" ht="13.5" thickBot="1" x14ac:dyDescent="0.25">
      <c r="A188" s="337">
        <v>2015</v>
      </c>
      <c r="B188" s="355">
        <v>0</v>
      </c>
      <c r="C188" s="356">
        <v>0</v>
      </c>
      <c r="D188" s="356">
        <v>0</v>
      </c>
      <c r="E188" s="356">
        <v>0</v>
      </c>
      <c r="F188" s="356">
        <v>0</v>
      </c>
      <c r="G188" s="356">
        <v>0</v>
      </c>
      <c r="H188" s="356">
        <v>0</v>
      </c>
      <c r="I188" s="356">
        <v>0</v>
      </c>
      <c r="J188" s="356">
        <v>0</v>
      </c>
      <c r="K188" s="356">
        <v>0</v>
      </c>
      <c r="L188" s="366">
        <v>0</v>
      </c>
      <c r="M188" s="319">
        <f t="shared" si="108"/>
        <v>0</v>
      </c>
      <c r="N188" s="321">
        <f t="shared" si="109"/>
        <v>0</v>
      </c>
      <c r="O188" s="355">
        <v>0</v>
      </c>
      <c r="P188" s="356">
        <v>0</v>
      </c>
      <c r="Q188" s="356">
        <v>0</v>
      </c>
      <c r="R188" s="356">
        <v>0</v>
      </c>
      <c r="S188" s="356">
        <v>0</v>
      </c>
      <c r="T188" s="356">
        <v>0</v>
      </c>
      <c r="U188" s="356">
        <v>0</v>
      </c>
      <c r="V188" s="356">
        <v>0</v>
      </c>
      <c r="W188" s="356">
        <v>0</v>
      </c>
      <c r="X188" s="356">
        <v>0</v>
      </c>
      <c r="Y188" s="366">
        <v>0</v>
      </c>
      <c r="Z188" s="319">
        <f t="shared" si="110"/>
        <v>0</v>
      </c>
      <c r="AA188" s="321">
        <f t="shared" si="111"/>
        <v>0</v>
      </c>
      <c r="AB188" s="91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1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920">
        <f t="shared" si="112"/>
        <v>0</v>
      </c>
      <c r="AE188" s="897">
        <f t="shared" si="105"/>
        <v>0</v>
      </c>
      <c r="AF188" s="897">
        <f t="shared" si="106"/>
        <v>0</v>
      </c>
      <c r="AG188" s="897">
        <f t="shared" si="107"/>
        <v>0</v>
      </c>
      <c r="AH188" s="1113">
        <f t="shared" si="113"/>
        <v>0</v>
      </c>
      <c r="AI188" s="897">
        <f t="shared" si="114"/>
        <v>0</v>
      </c>
    </row>
    <row r="189" spans="1:47" x14ac:dyDescent="0.2">
      <c r="A189" s="338">
        <v>2016</v>
      </c>
      <c r="B189" s="351">
        <v>0</v>
      </c>
      <c r="C189" s="352">
        <v>0</v>
      </c>
      <c r="D189" s="352">
        <v>0</v>
      </c>
      <c r="E189" s="352">
        <v>0</v>
      </c>
      <c r="F189" s="352">
        <v>0</v>
      </c>
      <c r="G189" s="352">
        <v>0</v>
      </c>
      <c r="H189" s="352">
        <v>0</v>
      </c>
      <c r="I189" s="352">
        <v>0</v>
      </c>
      <c r="J189" s="352">
        <v>0</v>
      </c>
      <c r="K189" s="352">
        <v>0</v>
      </c>
      <c r="L189" s="364">
        <v>0</v>
      </c>
      <c r="M189" s="291">
        <f t="shared" si="108"/>
        <v>0</v>
      </c>
      <c r="N189" s="293">
        <f t="shared" si="109"/>
        <v>0</v>
      </c>
      <c r="O189" s="351">
        <v>0</v>
      </c>
      <c r="P189" s="352">
        <v>0</v>
      </c>
      <c r="Q189" s="352">
        <v>0</v>
      </c>
      <c r="R189" s="352">
        <v>0</v>
      </c>
      <c r="S189" s="352">
        <v>0</v>
      </c>
      <c r="T189" s="352">
        <v>0</v>
      </c>
      <c r="U189" s="352">
        <v>0</v>
      </c>
      <c r="V189" s="352">
        <v>0</v>
      </c>
      <c r="W189" s="352">
        <v>0</v>
      </c>
      <c r="X189" s="352">
        <v>0</v>
      </c>
      <c r="Y189" s="364">
        <v>0</v>
      </c>
      <c r="Z189" s="291">
        <f t="shared" si="110"/>
        <v>0</v>
      </c>
      <c r="AA189" s="293">
        <f t="shared" si="111"/>
        <v>0</v>
      </c>
      <c r="AB189" s="91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1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920">
        <f t="shared" si="112"/>
        <v>0</v>
      </c>
      <c r="AE189" s="897">
        <f t="shared" si="105"/>
        <v>0</v>
      </c>
      <c r="AF189" s="897">
        <f t="shared" si="106"/>
        <v>0</v>
      </c>
      <c r="AG189" s="897">
        <f t="shared" si="107"/>
        <v>0</v>
      </c>
      <c r="AH189" s="1113">
        <f t="shared" si="113"/>
        <v>0</v>
      </c>
      <c r="AI189" s="897">
        <f t="shared" si="114"/>
        <v>0</v>
      </c>
    </row>
    <row r="190" spans="1:47" x14ac:dyDescent="0.2">
      <c r="A190" s="339">
        <v>2017</v>
      </c>
      <c r="B190" s="353">
        <v>0</v>
      </c>
      <c r="C190" s="354">
        <v>0</v>
      </c>
      <c r="D190" s="354">
        <v>0</v>
      </c>
      <c r="E190" s="354">
        <v>0</v>
      </c>
      <c r="F190" s="354">
        <v>0</v>
      </c>
      <c r="G190" s="354">
        <v>0</v>
      </c>
      <c r="H190" s="354">
        <v>0</v>
      </c>
      <c r="I190" s="354">
        <v>0</v>
      </c>
      <c r="J190" s="354">
        <v>0</v>
      </c>
      <c r="K190" s="354">
        <v>0</v>
      </c>
      <c r="L190" s="365">
        <v>0</v>
      </c>
      <c r="M190" s="305">
        <f t="shared" si="108"/>
        <v>0</v>
      </c>
      <c r="N190" s="307">
        <f t="shared" si="109"/>
        <v>0</v>
      </c>
      <c r="O190" s="353">
        <v>0</v>
      </c>
      <c r="P190" s="354">
        <v>0</v>
      </c>
      <c r="Q190" s="354">
        <v>0</v>
      </c>
      <c r="R190" s="354">
        <v>0</v>
      </c>
      <c r="S190" s="354">
        <v>0</v>
      </c>
      <c r="T190" s="354">
        <v>0</v>
      </c>
      <c r="U190" s="354">
        <v>0</v>
      </c>
      <c r="V190" s="354">
        <v>0</v>
      </c>
      <c r="W190" s="354">
        <v>0</v>
      </c>
      <c r="X190" s="354">
        <v>0</v>
      </c>
      <c r="Y190" s="365">
        <v>0</v>
      </c>
      <c r="Z190" s="305">
        <f t="shared" si="110"/>
        <v>0</v>
      </c>
      <c r="AA190" s="307">
        <f t="shared" si="111"/>
        <v>0</v>
      </c>
      <c r="AB190" s="91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1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920">
        <f t="shared" si="112"/>
        <v>0</v>
      </c>
      <c r="AE190" s="897">
        <f t="shared" si="105"/>
        <v>0</v>
      </c>
      <c r="AF190" s="897">
        <f t="shared" si="106"/>
        <v>0</v>
      </c>
      <c r="AG190" s="897">
        <f t="shared" si="107"/>
        <v>0</v>
      </c>
      <c r="AH190" s="1113">
        <f t="shared" si="113"/>
        <v>0</v>
      </c>
      <c r="AI190" s="897">
        <f t="shared" si="114"/>
        <v>0</v>
      </c>
    </row>
    <row r="191" spans="1:47" x14ac:dyDescent="0.2">
      <c r="A191" s="339">
        <v>2018</v>
      </c>
      <c r="B191" s="353">
        <v>0</v>
      </c>
      <c r="C191" s="354">
        <v>0</v>
      </c>
      <c r="D191" s="354">
        <v>0</v>
      </c>
      <c r="E191" s="354">
        <v>0</v>
      </c>
      <c r="F191" s="354">
        <v>0</v>
      </c>
      <c r="G191" s="354">
        <v>0</v>
      </c>
      <c r="H191" s="354">
        <v>0</v>
      </c>
      <c r="I191" s="354">
        <v>0</v>
      </c>
      <c r="J191" s="354">
        <v>0</v>
      </c>
      <c r="K191" s="354">
        <v>0</v>
      </c>
      <c r="L191" s="365">
        <v>0</v>
      </c>
      <c r="M191" s="305">
        <f t="shared" si="108"/>
        <v>0</v>
      </c>
      <c r="N191" s="307">
        <f t="shared" si="109"/>
        <v>0</v>
      </c>
      <c r="O191" s="353">
        <v>0</v>
      </c>
      <c r="P191" s="354">
        <v>0</v>
      </c>
      <c r="Q191" s="354">
        <v>0</v>
      </c>
      <c r="R191" s="354">
        <v>0</v>
      </c>
      <c r="S191" s="354">
        <v>0</v>
      </c>
      <c r="T191" s="354">
        <v>0</v>
      </c>
      <c r="U191" s="354">
        <v>0</v>
      </c>
      <c r="V191" s="354">
        <v>0</v>
      </c>
      <c r="W191" s="354">
        <v>0</v>
      </c>
      <c r="X191" s="354">
        <v>0</v>
      </c>
      <c r="Y191" s="365">
        <v>0</v>
      </c>
      <c r="Z191" s="305">
        <f t="shared" si="110"/>
        <v>0</v>
      </c>
      <c r="AA191" s="307">
        <f t="shared" si="111"/>
        <v>0</v>
      </c>
      <c r="AB191" s="91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1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920">
        <f t="shared" si="112"/>
        <v>0</v>
      </c>
      <c r="AE191" s="897">
        <f t="shared" si="105"/>
        <v>0</v>
      </c>
      <c r="AF191" s="897">
        <f t="shared" si="106"/>
        <v>0</v>
      </c>
      <c r="AG191" s="897">
        <f t="shared" si="107"/>
        <v>0</v>
      </c>
      <c r="AH191" s="1113">
        <f t="shared" si="113"/>
        <v>0</v>
      </c>
      <c r="AI191" s="897">
        <f t="shared" si="114"/>
        <v>0</v>
      </c>
    </row>
    <row r="192" spans="1:47" x14ac:dyDescent="0.2">
      <c r="A192" s="339">
        <v>2019</v>
      </c>
      <c r="B192" s="353">
        <v>0</v>
      </c>
      <c r="C192" s="354">
        <v>0</v>
      </c>
      <c r="D192" s="354">
        <v>0</v>
      </c>
      <c r="E192" s="354">
        <v>0</v>
      </c>
      <c r="F192" s="354">
        <v>0</v>
      </c>
      <c r="G192" s="354">
        <v>0</v>
      </c>
      <c r="H192" s="354">
        <v>0</v>
      </c>
      <c r="I192" s="354">
        <v>0</v>
      </c>
      <c r="J192" s="354">
        <v>0</v>
      </c>
      <c r="K192" s="354">
        <v>0</v>
      </c>
      <c r="L192" s="365">
        <v>0</v>
      </c>
      <c r="M192" s="305">
        <f t="shared" si="108"/>
        <v>0</v>
      </c>
      <c r="N192" s="307">
        <f t="shared" si="109"/>
        <v>0</v>
      </c>
      <c r="O192" s="353">
        <v>0</v>
      </c>
      <c r="P192" s="354">
        <v>0</v>
      </c>
      <c r="Q192" s="354">
        <v>0</v>
      </c>
      <c r="R192" s="354">
        <v>0</v>
      </c>
      <c r="S192" s="354">
        <v>0</v>
      </c>
      <c r="T192" s="354">
        <v>0</v>
      </c>
      <c r="U192" s="354">
        <v>0</v>
      </c>
      <c r="V192" s="354">
        <v>0</v>
      </c>
      <c r="W192" s="354">
        <v>0</v>
      </c>
      <c r="X192" s="354">
        <v>0</v>
      </c>
      <c r="Y192" s="365">
        <v>0</v>
      </c>
      <c r="Z192" s="305">
        <f t="shared" si="110"/>
        <v>0</v>
      </c>
      <c r="AA192" s="307">
        <f t="shared" si="111"/>
        <v>0</v>
      </c>
      <c r="AB192" s="91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1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920">
        <f t="shared" si="112"/>
        <v>0</v>
      </c>
      <c r="AE192" s="897">
        <f t="shared" si="105"/>
        <v>0</v>
      </c>
      <c r="AF192" s="897">
        <f t="shared" si="106"/>
        <v>0</v>
      </c>
      <c r="AG192" s="897">
        <f t="shared" si="107"/>
        <v>0</v>
      </c>
      <c r="AH192" s="1113">
        <f t="shared" si="113"/>
        <v>0</v>
      </c>
      <c r="AI192" s="897">
        <f t="shared" si="114"/>
        <v>0</v>
      </c>
    </row>
    <row r="193" spans="1:35" ht="13.5" thickBot="1" x14ac:dyDescent="0.25">
      <c r="A193" s="337">
        <v>2020</v>
      </c>
      <c r="B193" s="355">
        <v>0</v>
      </c>
      <c r="C193" s="356">
        <v>0</v>
      </c>
      <c r="D193" s="356">
        <v>0</v>
      </c>
      <c r="E193" s="356">
        <v>0</v>
      </c>
      <c r="F193" s="356">
        <v>0</v>
      </c>
      <c r="G193" s="356">
        <v>0</v>
      </c>
      <c r="H193" s="356">
        <v>0</v>
      </c>
      <c r="I193" s="356">
        <v>0</v>
      </c>
      <c r="J193" s="356">
        <v>0</v>
      </c>
      <c r="K193" s="356">
        <v>0</v>
      </c>
      <c r="L193" s="366">
        <v>0</v>
      </c>
      <c r="M193" s="319">
        <f t="shared" si="108"/>
        <v>0</v>
      </c>
      <c r="N193" s="321">
        <f t="shared" si="109"/>
        <v>0</v>
      </c>
      <c r="O193" s="355">
        <v>0</v>
      </c>
      <c r="P193" s="356">
        <v>0</v>
      </c>
      <c r="Q193" s="356">
        <v>0</v>
      </c>
      <c r="R193" s="356">
        <v>0</v>
      </c>
      <c r="S193" s="356">
        <v>0</v>
      </c>
      <c r="T193" s="356">
        <v>0</v>
      </c>
      <c r="U193" s="356">
        <v>0</v>
      </c>
      <c r="V193" s="356">
        <v>0</v>
      </c>
      <c r="W193" s="356">
        <v>0</v>
      </c>
      <c r="X193" s="356">
        <v>0</v>
      </c>
      <c r="Y193" s="366">
        <v>0</v>
      </c>
      <c r="Z193" s="319">
        <f t="shared" si="110"/>
        <v>0</v>
      </c>
      <c r="AA193" s="321">
        <f t="shared" si="111"/>
        <v>0</v>
      </c>
      <c r="AB193" s="91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1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920">
        <f t="shared" si="112"/>
        <v>0</v>
      </c>
      <c r="AE193" s="897">
        <f t="shared" si="105"/>
        <v>0</v>
      </c>
      <c r="AF193" s="897">
        <f t="shared" si="106"/>
        <v>0</v>
      </c>
      <c r="AG193" s="897">
        <f t="shared" si="107"/>
        <v>0</v>
      </c>
      <c r="AH193" s="1113">
        <f t="shared" si="113"/>
        <v>0</v>
      </c>
      <c r="AI193" s="897">
        <f t="shared" si="114"/>
        <v>0</v>
      </c>
    </row>
    <row r="194" spans="1:35" x14ac:dyDescent="0.2">
      <c r="A194" s="338">
        <v>2021</v>
      </c>
      <c r="B194" s="351">
        <v>0</v>
      </c>
      <c r="C194" s="352">
        <v>0</v>
      </c>
      <c r="D194" s="352">
        <v>0</v>
      </c>
      <c r="E194" s="352">
        <v>0</v>
      </c>
      <c r="F194" s="352">
        <v>0</v>
      </c>
      <c r="G194" s="352">
        <v>0</v>
      </c>
      <c r="H194" s="352">
        <v>0</v>
      </c>
      <c r="I194" s="352">
        <v>0</v>
      </c>
      <c r="J194" s="352">
        <v>0</v>
      </c>
      <c r="K194" s="352">
        <v>0</v>
      </c>
      <c r="L194" s="364">
        <v>0</v>
      </c>
      <c r="M194" s="291">
        <f t="shared" si="108"/>
        <v>0</v>
      </c>
      <c r="N194" s="293">
        <f t="shared" si="109"/>
        <v>0</v>
      </c>
      <c r="O194" s="351">
        <v>0</v>
      </c>
      <c r="P194" s="352">
        <v>0</v>
      </c>
      <c r="Q194" s="352">
        <v>0</v>
      </c>
      <c r="R194" s="352">
        <v>0</v>
      </c>
      <c r="S194" s="352">
        <v>0</v>
      </c>
      <c r="T194" s="352">
        <v>0</v>
      </c>
      <c r="U194" s="352">
        <v>0</v>
      </c>
      <c r="V194" s="352">
        <v>0</v>
      </c>
      <c r="W194" s="352">
        <v>0</v>
      </c>
      <c r="X194" s="352">
        <v>0</v>
      </c>
      <c r="Y194" s="364">
        <v>0</v>
      </c>
      <c r="Z194" s="291">
        <f t="shared" si="110"/>
        <v>0</v>
      </c>
      <c r="AA194" s="293">
        <f t="shared" si="111"/>
        <v>0</v>
      </c>
      <c r="AB194" s="91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1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920">
        <f t="shared" si="112"/>
        <v>0</v>
      </c>
      <c r="AE194" s="897">
        <f t="shared" si="105"/>
        <v>0</v>
      </c>
      <c r="AF194" s="897">
        <f t="shared" si="106"/>
        <v>0</v>
      </c>
      <c r="AG194" s="897">
        <f t="shared" si="107"/>
        <v>0</v>
      </c>
      <c r="AH194" s="1113">
        <f t="shared" si="113"/>
        <v>0</v>
      </c>
      <c r="AI194" s="897">
        <f t="shared" si="114"/>
        <v>0</v>
      </c>
    </row>
    <row r="195" spans="1:35" x14ac:dyDescent="0.2">
      <c r="A195" s="339">
        <v>2022</v>
      </c>
      <c r="B195" s="353">
        <v>0</v>
      </c>
      <c r="C195" s="354">
        <v>0</v>
      </c>
      <c r="D195" s="354">
        <v>0</v>
      </c>
      <c r="E195" s="354">
        <v>0</v>
      </c>
      <c r="F195" s="354">
        <v>0</v>
      </c>
      <c r="G195" s="354">
        <v>0</v>
      </c>
      <c r="H195" s="354">
        <v>0</v>
      </c>
      <c r="I195" s="354">
        <v>0</v>
      </c>
      <c r="J195" s="354">
        <v>0</v>
      </c>
      <c r="K195" s="354">
        <v>0</v>
      </c>
      <c r="L195" s="365">
        <v>0</v>
      </c>
      <c r="M195" s="305">
        <f t="shared" si="108"/>
        <v>0</v>
      </c>
      <c r="N195" s="307">
        <f t="shared" si="109"/>
        <v>0</v>
      </c>
      <c r="O195" s="353">
        <v>0</v>
      </c>
      <c r="P195" s="354">
        <v>0</v>
      </c>
      <c r="Q195" s="354">
        <v>0</v>
      </c>
      <c r="R195" s="354">
        <v>0</v>
      </c>
      <c r="S195" s="354">
        <v>0</v>
      </c>
      <c r="T195" s="354">
        <v>0</v>
      </c>
      <c r="U195" s="354">
        <v>0</v>
      </c>
      <c r="V195" s="354">
        <v>0</v>
      </c>
      <c r="W195" s="354">
        <v>0</v>
      </c>
      <c r="X195" s="354">
        <v>0</v>
      </c>
      <c r="Y195" s="365">
        <v>0</v>
      </c>
      <c r="Z195" s="305">
        <f t="shared" si="110"/>
        <v>0</v>
      </c>
      <c r="AA195" s="307">
        <f t="shared" si="111"/>
        <v>0</v>
      </c>
      <c r="AB195" s="91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1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920">
        <f t="shared" si="112"/>
        <v>0</v>
      </c>
      <c r="AE195" s="897">
        <f>SUMPRODUCT($B$74:$L$74,B195:L195)</f>
        <v>0</v>
      </c>
      <c r="AF195" s="897">
        <f>SUMPRODUCT($O$74:$Y$74,O195:Y195)</f>
        <v>0</v>
      </c>
      <c r="AG195" s="897">
        <f>SUM(AE195:AF195)</f>
        <v>0</v>
      </c>
      <c r="AH195" s="1113">
        <f t="shared" si="113"/>
        <v>0</v>
      </c>
      <c r="AI195" s="897">
        <f t="shared" si="114"/>
        <v>0</v>
      </c>
    </row>
    <row r="196" spans="1:35" x14ac:dyDescent="0.2">
      <c r="A196" s="339">
        <v>2023</v>
      </c>
      <c r="B196" s="353">
        <v>0</v>
      </c>
      <c r="C196" s="354">
        <v>0</v>
      </c>
      <c r="D196" s="354">
        <v>0</v>
      </c>
      <c r="E196" s="354">
        <v>0</v>
      </c>
      <c r="F196" s="354">
        <v>0</v>
      </c>
      <c r="G196" s="354">
        <v>0</v>
      </c>
      <c r="H196" s="354">
        <v>0</v>
      </c>
      <c r="I196" s="354">
        <v>0</v>
      </c>
      <c r="J196" s="354">
        <v>0</v>
      </c>
      <c r="K196" s="354">
        <v>0</v>
      </c>
      <c r="L196" s="365">
        <v>0</v>
      </c>
      <c r="M196" s="305">
        <f t="shared" si="108"/>
        <v>0</v>
      </c>
      <c r="N196" s="307">
        <f t="shared" si="109"/>
        <v>0</v>
      </c>
      <c r="O196" s="353">
        <v>0</v>
      </c>
      <c r="P196" s="354">
        <v>0</v>
      </c>
      <c r="Q196" s="354">
        <v>0</v>
      </c>
      <c r="R196" s="354">
        <v>0</v>
      </c>
      <c r="S196" s="354">
        <v>0</v>
      </c>
      <c r="T196" s="354">
        <v>0</v>
      </c>
      <c r="U196" s="354">
        <v>0</v>
      </c>
      <c r="V196" s="354">
        <v>0</v>
      </c>
      <c r="W196" s="354">
        <v>0</v>
      </c>
      <c r="X196" s="354">
        <v>0</v>
      </c>
      <c r="Y196" s="365">
        <v>0</v>
      </c>
      <c r="Z196" s="305">
        <f t="shared" si="110"/>
        <v>0</v>
      </c>
      <c r="AA196" s="307">
        <f t="shared" si="111"/>
        <v>0</v>
      </c>
      <c r="AB196" s="91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1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920">
        <f t="shared" si="112"/>
        <v>0</v>
      </c>
      <c r="AE196" s="897">
        <f t="shared" ref="AE196:AE222" si="115">SUMPRODUCT($B$74:$L$74,B196:L196)</f>
        <v>0</v>
      </c>
      <c r="AF196" s="897">
        <f t="shared" ref="AF196:AF222" si="116">SUMPRODUCT($O$74:$Y$74,O196:Y196)</f>
        <v>0</v>
      </c>
      <c r="AG196" s="897">
        <f t="shared" ref="AG196:AG222" si="117">SUM(AE196:AF196)</f>
        <v>0</v>
      </c>
      <c r="AH196" s="1113">
        <f t="shared" si="113"/>
        <v>0</v>
      </c>
      <c r="AI196" s="897">
        <f t="shared" si="114"/>
        <v>0</v>
      </c>
    </row>
    <row r="197" spans="1:35" x14ac:dyDescent="0.2">
      <c r="A197" s="339">
        <v>2024</v>
      </c>
      <c r="B197" s="353">
        <v>0</v>
      </c>
      <c r="C197" s="354">
        <v>0</v>
      </c>
      <c r="D197" s="354">
        <v>0</v>
      </c>
      <c r="E197" s="354">
        <v>0</v>
      </c>
      <c r="F197" s="354">
        <v>0</v>
      </c>
      <c r="G197" s="354">
        <v>0</v>
      </c>
      <c r="H197" s="354">
        <v>0</v>
      </c>
      <c r="I197" s="354">
        <v>0</v>
      </c>
      <c r="J197" s="354">
        <v>0</v>
      </c>
      <c r="K197" s="354">
        <v>0</v>
      </c>
      <c r="L197" s="365">
        <v>0</v>
      </c>
      <c r="M197" s="305">
        <f t="shared" si="108"/>
        <v>0</v>
      </c>
      <c r="N197" s="307">
        <f t="shared" si="109"/>
        <v>0</v>
      </c>
      <c r="O197" s="353">
        <v>0</v>
      </c>
      <c r="P197" s="354">
        <v>0</v>
      </c>
      <c r="Q197" s="354">
        <v>0</v>
      </c>
      <c r="R197" s="354">
        <v>0</v>
      </c>
      <c r="S197" s="354">
        <v>0</v>
      </c>
      <c r="T197" s="354">
        <v>0</v>
      </c>
      <c r="U197" s="354">
        <v>0</v>
      </c>
      <c r="V197" s="354">
        <v>0</v>
      </c>
      <c r="W197" s="354">
        <v>0</v>
      </c>
      <c r="X197" s="354">
        <v>0</v>
      </c>
      <c r="Y197" s="365">
        <v>0</v>
      </c>
      <c r="Z197" s="305">
        <f t="shared" si="110"/>
        <v>0</v>
      </c>
      <c r="AA197" s="307">
        <f t="shared" si="111"/>
        <v>0</v>
      </c>
      <c r="AB197" s="91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1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920">
        <f t="shared" si="112"/>
        <v>0</v>
      </c>
      <c r="AE197" s="897">
        <f t="shared" si="115"/>
        <v>0</v>
      </c>
      <c r="AF197" s="897">
        <f t="shared" si="116"/>
        <v>0</v>
      </c>
      <c r="AG197" s="897">
        <f t="shared" si="117"/>
        <v>0</v>
      </c>
      <c r="AH197" s="1113">
        <f t="shared" si="113"/>
        <v>0</v>
      </c>
      <c r="AI197" s="897">
        <f t="shared" si="114"/>
        <v>0</v>
      </c>
    </row>
    <row r="198" spans="1:35" ht="13.5" thickBot="1" x14ac:dyDescent="0.25">
      <c r="A198" s="337">
        <v>2025</v>
      </c>
      <c r="B198" s="355">
        <v>0</v>
      </c>
      <c r="C198" s="356">
        <v>0</v>
      </c>
      <c r="D198" s="356">
        <v>0</v>
      </c>
      <c r="E198" s="356">
        <v>0</v>
      </c>
      <c r="F198" s="356">
        <v>0</v>
      </c>
      <c r="G198" s="356">
        <v>0</v>
      </c>
      <c r="H198" s="356">
        <v>0</v>
      </c>
      <c r="I198" s="356">
        <v>0</v>
      </c>
      <c r="J198" s="356">
        <v>0</v>
      </c>
      <c r="K198" s="356">
        <v>0</v>
      </c>
      <c r="L198" s="366">
        <v>0</v>
      </c>
      <c r="M198" s="319">
        <f t="shared" si="108"/>
        <v>0</v>
      </c>
      <c r="N198" s="321">
        <f t="shared" si="109"/>
        <v>0</v>
      </c>
      <c r="O198" s="355">
        <v>0</v>
      </c>
      <c r="P198" s="356">
        <v>0</v>
      </c>
      <c r="Q198" s="356">
        <v>0</v>
      </c>
      <c r="R198" s="356">
        <v>0</v>
      </c>
      <c r="S198" s="356">
        <v>0</v>
      </c>
      <c r="T198" s="356">
        <v>0</v>
      </c>
      <c r="U198" s="356">
        <v>0</v>
      </c>
      <c r="V198" s="356">
        <v>0</v>
      </c>
      <c r="W198" s="356">
        <v>0</v>
      </c>
      <c r="X198" s="356">
        <v>0</v>
      </c>
      <c r="Y198" s="366">
        <v>0</v>
      </c>
      <c r="Z198" s="319">
        <f t="shared" si="110"/>
        <v>0</v>
      </c>
      <c r="AA198" s="321">
        <f t="shared" si="111"/>
        <v>0</v>
      </c>
      <c r="AB198" s="91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1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920">
        <f t="shared" si="112"/>
        <v>0</v>
      </c>
      <c r="AE198" s="897">
        <f t="shared" si="115"/>
        <v>0</v>
      </c>
      <c r="AF198" s="897">
        <f t="shared" si="116"/>
        <v>0</v>
      </c>
      <c r="AG198" s="897">
        <f t="shared" si="117"/>
        <v>0</v>
      </c>
      <c r="AH198" s="1113">
        <f t="shared" si="113"/>
        <v>0</v>
      </c>
      <c r="AI198" s="897">
        <f t="shared" si="114"/>
        <v>0</v>
      </c>
    </row>
    <row r="199" spans="1:35" x14ac:dyDescent="0.2">
      <c r="A199" s="338">
        <v>2026</v>
      </c>
      <c r="B199" s="351">
        <v>0</v>
      </c>
      <c r="C199" s="352">
        <v>0</v>
      </c>
      <c r="D199" s="352">
        <v>0</v>
      </c>
      <c r="E199" s="352">
        <v>0</v>
      </c>
      <c r="F199" s="352">
        <v>0</v>
      </c>
      <c r="G199" s="352">
        <v>0</v>
      </c>
      <c r="H199" s="352">
        <v>0</v>
      </c>
      <c r="I199" s="352">
        <v>0</v>
      </c>
      <c r="J199" s="352">
        <v>0</v>
      </c>
      <c r="K199" s="352">
        <v>0</v>
      </c>
      <c r="L199" s="364">
        <v>0</v>
      </c>
      <c r="M199" s="291">
        <f t="shared" si="108"/>
        <v>0</v>
      </c>
      <c r="N199" s="293">
        <f t="shared" si="109"/>
        <v>0</v>
      </c>
      <c r="O199" s="351">
        <v>0</v>
      </c>
      <c r="P199" s="352">
        <v>0</v>
      </c>
      <c r="Q199" s="352">
        <v>0</v>
      </c>
      <c r="R199" s="352">
        <v>0</v>
      </c>
      <c r="S199" s="352">
        <v>0</v>
      </c>
      <c r="T199" s="352">
        <v>0</v>
      </c>
      <c r="U199" s="352">
        <v>0</v>
      </c>
      <c r="V199" s="352">
        <v>0</v>
      </c>
      <c r="W199" s="352">
        <v>0</v>
      </c>
      <c r="X199" s="352">
        <v>0</v>
      </c>
      <c r="Y199" s="364">
        <v>0</v>
      </c>
      <c r="Z199" s="291">
        <f t="shared" si="110"/>
        <v>0</v>
      </c>
      <c r="AA199" s="293">
        <f t="shared" si="111"/>
        <v>0</v>
      </c>
      <c r="AB199" s="91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1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920">
        <f t="shared" si="112"/>
        <v>0</v>
      </c>
      <c r="AE199" s="897">
        <f t="shared" si="115"/>
        <v>0</v>
      </c>
      <c r="AF199" s="897">
        <f t="shared" si="116"/>
        <v>0</v>
      </c>
      <c r="AG199" s="897">
        <f t="shared" si="117"/>
        <v>0</v>
      </c>
      <c r="AH199" s="1113">
        <f t="shared" si="113"/>
        <v>0</v>
      </c>
      <c r="AI199" s="897">
        <f t="shared" si="114"/>
        <v>0</v>
      </c>
    </row>
    <row r="200" spans="1:35" x14ac:dyDescent="0.2">
      <c r="A200" s="339">
        <v>2027</v>
      </c>
      <c r="B200" s="353">
        <v>0</v>
      </c>
      <c r="C200" s="354">
        <v>0</v>
      </c>
      <c r="D200" s="354">
        <v>0</v>
      </c>
      <c r="E200" s="354">
        <v>0</v>
      </c>
      <c r="F200" s="354">
        <v>0</v>
      </c>
      <c r="G200" s="354">
        <v>0</v>
      </c>
      <c r="H200" s="354">
        <v>0</v>
      </c>
      <c r="I200" s="354">
        <v>0</v>
      </c>
      <c r="J200" s="354">
        <v>0</v>
      </c>
      <c r="K200" s="354">
        <v>0</v>
      </c>
      <c r="L200" s="365">
        <v>0</v>
      </c>
      <c r="M200" s="305">
        <f t="shared" si="108"/>
        <v>0</v>
      </c>
      <c r="N200" s="307">
        <f t="shared" si="109"/>
        <v>0</v>
      </c>
      <c r="O200" s="353">
        <v>0</v>
      </c>
      <c r="P200" s="354">
        <v>0</v>
      </c>
      <c r="Q200" s="354">
        <v>0</v>
      </c>
      <c r="R200" s="354">
        <v>0</v>
      </c>
      <c r="S200" s="354">
        <v>0</v>
      </c>
      <c r="T200" s="354">
        <v>0</v>
      </c>
      <c r="U200" s="354">
        <v>0</v>
      </c>
      <c r="V200" s="354">
        <v>0</v>
      </c>
      <c r="W200" s="354">
        <v>0</v>
      </c>
      <c r="X200" s="354">
        <v>0</v>
      </c>
      <c r="Y200" s="365">
        <v>0</v>
      </c>
      <c r="Z200" s="305">
        <f t="shared" si="110"/>
        <v>0</v>
      </c>
      <c r="AA200" s="307">
        <f t="shared" si="111"/>
        <v>0</v>
      </c>
      <c r="AB200" s="91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1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920">
        <f t="shared" si="112"/>
        <v>0</v>
      </c>
      <c r="AE200" s="897">
        <f t="shared" si="115"/>
        <v>0</v>
      </c>
      <c r="AF200" s="897">
        <f t="shared" si="116"/>
        <v>0</v>
      </c>
      <c r="AG200" s="897">
        <f t="shared" si="117"/>
        <v>0</v>
      </c>
      <c r="AH200" s="1113">
        <f t="shared" si="113"/>
        <v>0</v>
      </c>
      <c r="AI200" s="897">
        <f t="shared" si="114"/>
        <v>0</v>
      </c>
    </row>
    <row r="201" spans="1:35" x14ac:dyDescent="0.2">
      <c r="A201" s="339">
        <v>2028</v>
      </c>
      <c r="B201" s="353">
        <v>0</v>
      </c>
      <c r="C201" s="354">
        <v>0</v>
      </c>
      <c r="D201" s="354">
        <v>0</v>
      </c>
      <c r="E201" s="354">
        <v>0</v>
      </c>
      <c r="F201" s="354">
        <v>0</v>
      </c>
      <c r="G201" s="354">
        <v>0</v>
      </c>
      <c r="H201" s="354">
        <v>0</v>
      </c>
      <c r="I201" s="354">
        <v>0</v>
      </c>
      <c r="J201" s="354">
        <v>0</v>
      </c>
      <c r="K201" s="354">
        <v>0</v>
      </c>
      <c r="L201" s="365">
        <v>0</v>
      </c>
      <c r="M201" s="305">
        <f t="shared" si="108"/>
        <v>0</v>
      </c>
      <c r="N201" s="307">
        <f t="shared" si="109"/>
        <v>0</v>
      </c>
      <c r="O201" s="353">
        <v>0</v>
      </c>
      <c r="P201" s="354">
        <v>0</v>
      </c>
      <c r="Q201" s="354">
        <v>0</v>
      </c>
      <c r="R201" s="354">
        <v>0</v>
      </c>
      <c r="S201" s="354">
        <v>0</v>
      </c>
      <c r="T201" s="354">
        <v>0</v>
      </c>
      <c r="U201" s="354">
        <v>0</v>
      </c>
      <c r="V201" s="354">
        <v>0</v>
      </c>
      <c r="W201" s="354">
        <v>0</v>
      </c>
      <c r="X201" s="354">
        <v>0</v>
      </c>
      <c r="Y201" s="365">
        <v>0</v>
      </c>
      <c r="Z201" s="305">
        <f t="shared" si="110"/>
        <v>0</v>
      </c>
      <c r="AA201" s="307">
        <f t="shared" si="111"/>
        <v>0</v>
      </c>
      <c r="AB201" s="91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1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920">
        <f t="shared" si="112"/>
        <v>0</v>
      </c>
      <c r="AE201" s="897">
        <f t="shared" si="115"/>
        <v>0</v>
      </c>
      <c r="AF201" s="897">
        <f t="shared" si="116"/>
        <v>0</v>
      </c>
      <c r="AG201" s="897">
        <f t="shared" si="117"/>
        <v>0</v>
      </c>
      <c r="AH201" s="1113">
        <f t="shared" si="113"/>
        <v>0</v>
      </c>
      <c r="AI201" s="897">
        <f t="shared" si="114"/>
        <v>0</v>
      </c>
    </row>
    <row r="202" spans="1:35" x14ac:dyDescent="0.2">
      <c r="A202" s="339">
        <v>2029</v>
      </c>
      <c r="B202" s="353">
        <v>0</v>
      </c>
      <c r="C202" s="354">
        <v>0</v>
      </c>
      <c r="D202" s="354">
        <v>0</v>
      </c>
      <c r="E202" s="354">
        <v>0</v>
      </c>
      <c r="F202" s="354">
        <v>0</v>
      </c>
      <c r="G202" s="354">
        <v>0</v>
      </c>
      <c r="H202" s="354">
        <v>0</v>
      </c>
      <c r="I202" s="354">
        <v>0</v>
      </c>
      <c r="J202" s="354">
        <v>0</v>
      </c>
      <c r="K202" s="354">
        <v>0</v>
      </c>
      <c r="L202" s="365">
        <v>0</v>
      </c>
      <c r="M202" s="305">
        <f t="shared" si="108"/>
        <v>0</v>
      </c>
      <c r="N202" s="307">
        <f t="shared" si="109"/>
        <v>0</v>
      </c>
      <c r="O202" s="353">
        <v>0</v>
      </c>
      <c r="P202" s="354">
        <v>0</v>
      </c>
      <c r="Q202" s="354">
        <v>0</v>
      </c>
      <c r="R202" s="354">
        <v>0</v>
      </c>
      <c r="S202" s="354">
        <v>0</v>
      </c>
      <c r="T202" s="354">
        <v>0</v>
      </c>
      <c r="U202" s="354">
        <v>0</v>
      </c>
      <c r="V202" s="354">
        <v>0</v>
      </c>
      <c r="W202" s="354">
        <v>0</v>
      </c>
      <c r="X202" s="354">
        <v>0</v>
      </c>
      <c r="Y202" s="365">
        <v>0</v>
      </c>
      <c r="Z202" s="305">
        <f t="shared" si="110"/>
        <v>0</v>
      </c>
      <c r="AA202" s="307">
        <f t="shared" si="111"/>
        <v>0</v>
      </c>
      <c r="AB202" s="91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1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920">
        <f t="shared" si="112"/>
        <v>0</v>
      </c>
      <c r="AE202" s="897">
        <f t="shared" si="115"/>
        <v>0</v>
      </c>
      <c r="AF202" s="897">
        <f t="shared" si="116"/>
        <v>0</v>
      </c>
      <c r="AG202" s="897">
        <f t="shared" si="117"/>
        <v>0</v>
      </c>
      <c r="AH202" s="1113">
        <f t="shared" si="113"/>
        <v>0</v>
      </c>
      <c r="AI202" s="897">
        <f t="shared" si="114"/>
        <v>0</v>
      </c>
    </row>
    <row r="203" spans="1:35" ht="13.5" thickBot="1" x14ac:dyDescent="0.25">
      <c r="A203" s="337">
        <v>2030</v>
      </c>
      <c r="B203" s="355">
        <v>0</v>
      </c>
      <c r="C203" s="356">
        <v>0</v>
      </c>
      <c r="D203" s="356">
        <v>0</v>
      </c>
      <c r="E203" s="356">
        <v>0</v>
      </c>
      <c r="F203" s="356">
        <v>0</v>
      </c>
      <c r="G203" s="356">
        <v>0</v>
      </c>
      <c r="H203" s="356">
        <v>0</v>
      </c>
      <c r="I203" s="356">
        <v>0</v>
      </c>
      <c r="J203" s="356">
        <v>0</v>
      </c>
      <c r="K203" s="356">
        <v>0</v>
      </c>
      <c r="L203" s="366">
        <v>0</v>
      </c>
      <c r="M203" s="319">
        <f t="shared" si="108"/>
        <v>0</v>
      </c>
      <c r="N203" s="321">
        <f t="shared" si="109"/>
        <v>0</v>
      </c>
      <c r="O203" s="355">
        <v>0</v>
      </c>
      <c r="P203" s="356">
        <v>0</v>
      </c>
      <c r="Q203" s="356">
        <v>0</v>
      </c>
      <c r="R203" s="356">
        <v>0</v>
      </c>
      <c r="S203" s="356">
        <v>0</v>
      </c>
      <c r="T203" s="356">
        <v>0</v>
      </c>
      <c r="U203" s="356">
        <v>0</v>
      </c>
      <c r="V203" s="356">
        <v>0</v>
      </c>
      <c r="W203" s="356">
        <v>0</v>
      </c>
      <c r="X203" s="356">
        <v>0</v>
      </c>
      <c r="Y203" s="366">
        <v>0</v>
      </c>
      <c r="Z203" s="319">
        <f t="shared" si="110"/>
        <v>0</v>
      </c>
      <c r="AA203" s="321">
        <f t="shared" si="111"/>
        <v>0</v>
      </c>
      <c r="AB203" s="91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1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920">
        <f t="shared" si="112"/>
        <v>0</v>
      </c>
      <c r="AE203" s="897">
        <f t="shared" si="115"/>
        <v>0</v>
      </c>
      <c r="AF203" s="897">
        <f t="shared" si="116"/>
        <v>0</v>
      </c>
      <c r="AG203" s="897">
        <f t="shared" si="117"/>
        <v>0</v>
      </c>
      <c r="AH203" s="1113">
        <f t="shared" si="113"/>
        <v>0</v>
      </c>
      <c r="AI203" s="897">
        <f t="shared" si="114"/>
        <v>0</v>
      </c>
    </row>
    <row r="204" spans="1:35" x14ac:dyDescent="0.2">
      <c r="A204" s="338">
        <v>2031</v>
      </c>
      <c r="B204" s="351">
        <v>0</v>
      </c>
      <c r="C204" s="352">
        <v>0</v>
      </c>
      <c r="D204" s="352">
        <v>0</v>
      </c>
      <c r="E204" s="352">
        <v>0</v>
      </c>
      <c r="F204" s="352">
        <v>0</v>
      </c>
      <c r="G204" s="352">
        <v>0</v>
      </c>
      <c r="H204" s="352">
        <v>0</v>
      </c>
      <c r="I204" s="352">
        <v>0</v>
      </c>
      <c r="J204" s="352">
        <v>0</v>
      </c>
      <c r="K204" s="352">
        <v>0</v>
      </c>
      <c r="L204" s="364">
        <v>0</v>
      </c>
      <c r="M204" s="291">
        <f t="shared" si="108"/>
        <v>0</v>
      </c>
      <c r="N204" s="293">
        <f t="shared" si="109"/>
        <v>0</v>
      </c>
      <c r="O204" s="351">
        <v>0</v>
      </c>
      <c r="P204" s="352">
        <v>0</v>
      </c>
      <c r="Q204" s="352">
        <v>0</v>
      </c>
      <c r="R204" s="352">
        <v>0</v>
      </c>
      <c r="S204" s="352">
        <v>0</v>
      </c>
      <c r="T204" s="352">
        <v>0</v>
      </c>
      <c r="U204" s="352">
        <v>0</v>
      </c>
      <c r="V204" s="352">
        <v>0</v>
      </c>
      <c r="W204" s="352">
        <v>0</v>
      </c>
      <c r="X204" s="352">
        <v>0</v>
      </c>
      <c r="Y204" s="364">
        <v>0</v>
      </c>
      <c r="Z204" s="291">
        <f t="shared" si="110"/>
        <v>0</v>
      </c>
      <c r="AA204" s="293">
        <f t="shared" si="111"/>
        <v>0</v>
      </c>
      <c r="AB204" s="91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1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920">
        <f t="shared" si="112"/>
        <v>0</v>
      </c>
      <c r="AE204" s="897">
        <f t="shared" si="115"/>
        <v>0</v>
      </c>
      <c r="AF204" s="897">
        <f t="shared" si="116"/>
        <v>0</v>
      </c>
      <c r="AG204" s="897">
        <f t="shared" si="117"/>
        <v>0</v>
      </c>
      <c r="AH204" s="1113">
        <f t="shared" si="113"/>
        <v>0</v>
      </c>
      <c r="AI204" s="897">
        <f t="shared" si="114"/>
        <v>0</v>
      </c>
    </row>
    <row r="205" spans="1:35" x14ac:dyDescent="0.2">
      <c r="A205" s="339">
        <v>2032</v>
      </c>
      <c r="B205" s="353">
        <v>0</v>
      </c>
      <c r="C205" s="354">
        <v>0</v>
      </c>
      <c r="D205" s="354">
        <v>0</v>
      </c>
      <c r="E205" s="354">
        <v>0</v>
      </c>
      <c r="F205" s="354">
        <v>0</v>
      </c>
      <c r="G205" s="354">
        <v>0</v>
      </c>
      <c r="H205" s="354">
        <v>0</v>
      </c>
      <c r="I205" s="354">
        <v>0</v>
      </c>
      <c r="J205" s="354">
        <v>0</v>
      </c>
      <c r="K205" s="354">
        <v>0</v>
      </c>
      <c r="L205" s="365">
        <v>0</v>
      </c>
      <c r="M205" s="305">
        <f t="shared" si="108"/>
        <v>0</v>
      </c>
      <c r="N205" s="307">
        <f t="shared" si="109"/>
        <v>0</v>
      </c>
      <c r="O205" s="353">
        <v>0</v>
      </c>
      <c r="P205" s="354">
        <v>0</v>
      </c>
      <c r="Q205" s="354">
        <v>0</v>
      </c>
      <c r="R205" s="354">
        <v>0</v>
      </c>
      <c r="S205" s="354">
        <v>0</v>
      </c>
      <c r="T205" s="354">
        <v>0</v>
      </c>
      <c r="U205" s="354">
        <v>0</v>
      </c>
      <c r="V205" s="354">
        <v>0</v>
      </c>
      <c r="W205" s="354">
        <v>0</v>
      </c>
      <c r="X205" s="354">
        <v>0</v>
      </c>
      <c r="Y205" s="365">
        <v>0</v>
      </c>
      <c r="Z205" s="305">
        <f t="shared" si="110"/>
        <v>0</v>
      </c>
      <c r="AA205" s="307">
        <f t="shared" si="111"/>
        <v>0</v>
      </c>
      <c r="AB205" s="91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1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920">
        <f t="shared" si="112"/>
        <v>0</v>
      </c>
      <c r="AE205" s="897">
        <f t="shared" si="115"/>
        <v>0</v>
      </c>
      <c r="AF205" s="897">
        <f t="shared" si="116"/>
        <v>0</v>
      </c>
      <c r="AG205" s="897">
        <f t="shared" si="117"/>
        <v>0</v>
      </c>
      <c r="AH205" s="1113">
        <f t="shared" si="113"/>
        <v>0</v>
      </c>
      <c r="AI205" s="897">
        <f t="shared" si="114"/>
        <v>0</v>
      </c>
    </row>
    <row r="206" spans="1:35" x14ac:dyDescent="0.2">
      <c r="A206" s="339">
        <v>2033</v>
      </c>
      <c r="B206" s="353">
        <v>0</v>
      </c>
      <c r="C206" s="354">
        <v>0</v>
      </c>
      <c r="D206" s="354">
        <v>0</v>
      </c>
      <c r="E206" s="354">
        <v>0</v>
      </c>
      <c r="F206" s="354">
        <v>0</v>
      </c>
      <c r="G206" s="354">
        <v>0</v>
      </c>
      <c r="H206" s="354">
        <v>0</v>
      </c>
      <c r="I206" s="354">
        <v>0</v>
      </c>
      <c r="J206" s="354">
        <v>0</v>
      </c>
      <c r="K206" s="354">
        <v>0</v>
      </c>
      <c r="L206" s="365">
        <v>0</v>
      </c>
      <c r="M206" s="305">
        <f t="shared" si="108"/>
        <v>0</v>
      </c>
      <c r="N206" s="307">
        <f t="shared" si="109"/>
        <v>0</v>
      </c>
      <c r="O206" s="353">
        <v>0</v>
      </c>
      <c r="P206" s="354">
        <v>0</v>
      </c>
      <c r="Q206" s="354">
        <v>0</v>
      </c>
      <c r="R206" s="354">
        <v>0</v>
      </c>
      <c r="S206" s="354">
        <v>0</v>
      </c>
      <c r="T206" s="354">
        <v>0</v>
      </c>
      <c r="U206" s="354">
        <v>0</v>
      </c>
      <c r="V206" s="354">
        <v>0</v>
      </c>
      <c r="W206" s="354">
        <v>0</v>
      </c>
      <c r="X206" s="354">
        <v>0</v>
      </c>
      <c r="Y206" s="365">
        <v>0</v>
      </c>
      <c r="Z206" s="305">
        <f t="shared" si="110"/>
        <v>0</v>
      </c>
      <c r="AA206" s="307">
        <f t="shared" si="111"/>
        <v>0</v>
      </c>
      <c r="AB206" s="91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1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920">
        <f t="shared" si="112"/>
        <v>0</v>
      </c>
      <c r="AE206" s="897">
        <f t="shared" si="115"/>
        <v>0</v>
      </c>
      <c r="AF206" s="897">
        <f t="shared" si="116"/>
        <v>0</v>
      </c>
      <c r="AG206" s="897">
        <f t="shared" si="117"/>
        <v>0</v>
      </c>
      <c r="AH206" s="1113">
        <f t="shared" si="113"/>
        <v>0</v>
      </c>
      <c r="AI206" s="897">
        <f t="shared" si="114"/>
        <v>0</v>
      </c>
    </row>
    <row r="207" spans="1:35" x14ac:dyDescent="0.2">
      <c r="A207" s="339">
        <v>2034</v>
      </c>
      <c r="B207" s="353">
        <v>0</v>
      </c>
      <c r="C207" s="354">
        <v>0</v>
      </c>
      <c r="D207" s="354">
        <v>0</v>
      </c>
      <c r="E207" s="354">
        <v>0</v>
      </c>
      <c r="F207" s="354">
        <v>0</v>
      </c>
      <c r="G207" s="354">
        <v>0</v>
      </c>
      <c r="H207" s="354">
        <v>0</v>
      </c>
      <c r="I207" s="354">
        <v>0</v>
      </c>
      <c r="J207" s="354">
        <v>0</v>
      </c>
      <c r="K207" s="354">
        <v>0</v>
      </c>
      <c r="L207" s="365">
        <v>0</v>
      </c>
      <c r="M207" s="305">
        <f t="shared" si="108"/>
        <v>0</v>
      </c>
      <c r="N207" s="307">
        <f t="shared" si="109"/>
        <v>0</v>
      </c>
      <c r="O207" s="353">
        <v>0</v>
      </c>
      <c r="P207" s="354">
        <v>0</v>
      </c>
      <c r="Q207" s="354">
        <v>0</v>
      </c>
      <c r="R207" s="354">
        <v>0</v>
      </c>
      <c r="S207" s="354">
        <v>0</v>
      </c>
      <c r="T207" s="354">
        <v>0</v>
      </c>
      <c r="U207" s="354">
        <v>0</v>
      </c>
      <c r="V207" s="354">
        <v>0</v>
      </c>
      <c r="W207" s="354">
        <v>0</v>
      </c>
      <c r="X207" s="354">
        <v>0</v>
      </c>
      <c r="Y207" s="365">
        <v>0</v>
      </c>
      <c r="Z207" s="305">
        <f t="shared" si="110"/>
        <v>0</v>
      </c>
      <c r="AA207" s="307">
        <f t="shared" si="111"/>
        <v>0</v>
      </c>
      <c r="AB207" s="91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1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920">
        <f t="shared" si="112"/>
        <v>0</v>
      </c>
      <c r="AE207" s="897">
        <f t="shared" si="115"/>
        <v>0</v>
      </c>
      <c r="AF207" s="897">
        <f t="shared" si="116"/>
        <v>0</v>
      </c>
      <c r="AG207" s="897">
        <f t="shared" si="117"/>
        <v>0</v>
      </c>
      <c r="AH207" s="1113">
        <f t="shared" si="113"/>
        <v>0</v>
      </c>
      <c r="AI207" s="897">
        <f t="shared" si="114"/>
        <v>0</v>
      </c>
    </row>
    <row r="208" spans="1:35" ht="13.5" thickBot="1" x14ac:dyDescent="0.25">
      <c r="A208" s="337">
        <v>2035</v>
      </c>
      <c r="B208" s="355">
        <v>0</v>
      </c>
      <c r="C208" s="356">
        <v>0</v>
      </c>
      <c r="D208" s="356">
        <v>0</v>
      </c>
      <c r="E208" s="356">
        <v>0</v>
      </c>
      <c r="F208" s="356">
        <v>0</v>
      </c>
      <c r="G208" s="356">
        <v>0</v>
      </c>
      <c r="H208" s="356">
        <v>0</v>
      </c>
      <c r="I208" s="356">
        <v>0</v>
      </c>
      <c r="J208" s="356">
        <v>0</v>
      </c>
      <c r="K208" s="356">
        <v>0</v>
      </c>
      <c r="L208" s="366">
        <v>0</v>
      </c>
      <c r="M208" s="319">
        <f t="shared" si="108"/>
        <v>0</v>
      </c>
      <c r="N208" s="321">
        <f t="shared" si="109"/>
        <v>0</v>
      </c>
      <c r="O208" s="355">
        <v>0</v>
      </c>
      <c r="P208" s="356">
        <v>0</v>
      </c>
      <c r="Q208" s="356">
        <v>0</v>
      </c>
      <c r="R208" s="356">
        <v>0</v>
      </c>
      <c r="S208" s="356">
        <v>0</v>
      </c>
      <c r="T208" s="356">
        <v>0</v>
      </c>
      <c r="U208" s="356">
        <v>0</v>
      </c>
      <c r="V208" s="356">
        <v>0</v>
      </c>
      <c r="W208" s="356">
        <v>0</v>
      </c>
      <c r="X208" s="356">
        <v>0</v>
      </c>
      <c r="Y208" s="366">
        <v>0</v>
      </c>
      <c r="Z208" s="319">
        <f t="shared" si="110"/>
        <v>0</v>
      </c>
      <c r="AA208" s="321">
        <f t="shared" si="111"/>
        <v>0</v>
      </c>
      <c r="AB208" s="91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1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920">
        <f t="shared" si="112"/>
        <v>0</v>
      </c>
      <c r="AE208" s="897">
        <f t="shared" si="115"/>
        <v>0</v>
      </c>
      <c r="AF208" s="897">
        <f t="shared" si="116"/>
        <v>0</v>
      </c>
      <c r="AG208" s="897">
        <f t="shared" si="117"/>
        <v>0</v>
      </c>
      <c r="AH208" s="1113">
        <f t="shared" si="113"/>
        <v>0</v>
      </c>
      <c r="AI208" s="897">
        <f t="shared" si="114"/>
        <v>0</v>
      </c>
    </row>
    <row r="209" spans="1:35" x14ac:dyDescent="0.2">
      <c r="A209" s="338">
        <v>2036</v>
      </c>
      <c r="B209" s="351">
        <v>0</v>
      </c>
      <c r="C209" s="352">
        <v>6.7323203618681099E-5</v>
      </c>
      <c r="D209" s="352">
        <v>0</v>
      </c>
      <c r="E209" s="352">
        <v>0</v>
      </c>
      <c r="F209" s="352">
        <v>0</v>
      </c>
      <c r="G209" s="352">
        <v>0</v>
      </c>
      <c r="H209" s="352">
        <v>0</v>
      </c>
      <c r="I209" s="352">
        <v>0</v>
      </c>
      <c r="J209" s="352">
        <v>0</v>
      </c>
      <c r="K209" s="352">
        <v>0</v>
      </c>
      <c r="L209" s="364">
        <v>0</v>
      </c>
      <c r="M209" s="291">
        <f t="shared" si="108"/>
        <v>1.1528169232780024E-5</v>
      </c>
      <c r="N209" s="293">
        <f t="shared" si="109"/>
        <v>1.0719225796921977E-5</v>
      </c>
      <c r="O209" s="351">
        <v>0</v>
      </c>
      <c r="P209" s="352">
        <v>1.2501397293135724E-4</v>
      </c>
      <c r="Q209" s="352">
        <v>0</v>
      </c>
      <c r="R209" s="352">
        <v>0</v>
      </c>
      <c r="S209" s="352">
        <v>0</v>
      </c>
      <c r="T209" s="352">
        <v>0</v>
      </c>
      <c r="U209" s="352">
        <v>0</v>
      </c>
      <c r="V209" s="352">
        <v>0</v>
      </c>
      <c r="W209" s="352">
        <v>0</v>
      </c>
      <c r="X209" s="352">
        <v>0</v>
      </c>
      <c r="Y209" s="364">
        <v>0</v>
      </c>
      <c r="Z209" s="291">
        <f t="shared" si="110"/>
        <v>3.0654661551303791E-5</v>
      </c>
      <c r="AA209" s="293">
        <f t="shared" si="111"/>
        <v>2.8693202894594983E-5</v>
      </c>
      <c r="AB209" s="91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1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920">
        <f t="shared" si="112"/>
        <v>0</v>
      </c>
      <c r="AE209" s="897">
        <f t="shared" si="115"/>
        <v>1.1528169232780024E-5</v>
      </c>
      <c r="AF209" s="897">
        <f t="shared" si="116"/>
        <v>3.0654661551303791E-5</v>
      </c>
      <c r="AG209" s="897">
        <f t="shared" si="117"/>
        <v>4.2182830784083818E-5</v>
      </c>
      <c r="AH209" s="1113">
        <f t="shared" si="113"/>
        <v>0.27329055491291887</v>
      </c>
      <c r="AI209" s="897">
        <f t="shared" si="114"/>
        <v>0.72670944508708102</v>
      </c>
    </row>
    <row r="210" spans="1:35" x14ac:dyDescent="0.2">
      <c r="A210" s="339">
        <v>2037</v>
      </c>
      <c r="B210" s="353">
        <v>0</v>
      </c>
      <c r="C210" s="354">
        <v>2.1771441704040824E-4</v>
      </c>
      <c r="D210" s="354">
        <v>0</v>
      </c>
      <c r="E210" s="354">
        <v>0</v>
      </c>
      <c r="F210" s="354">
        <v>0</v>
      </c>
      <c r="G210" s="354">
        <v>0</v>
      </c>
      <c r="H210" s="354">
        <v>0</v>
      </c>
      <c r="I210" s="354">
        <v>0</v>
      </c>
      <c r="J210" s="354">
        <v>0</v>
      </c>
      <c r="K210" s="354">
        <v>0</v>
      </c>
      <c r="L210" s="365">
        <v>0</v>
      </c>
      <c r="M210" s="305">
        <f t="shared" si="108"/>
        <v>3.7280588402680091E-5</v>
      </c>
      <c r="N210" s="307">
        <f t="shared" si="109"/>
        <v>3.466457135224328E-5</v>
      </c>
      <c r="O210" s="353">
        <v>0</v>
      </c>
      <c r="P210" s="354">
        <v>3.3971709834106442E-4</v>
      </c>
      <c r="Q210" s="354">
        <v>0</v>
      </c>
      <c r="R210" s="354">
        <v>0</v>
      </c>
      <c r="S210" s="354">
        <v>0</v>
      </c>
      <c r="T210" s="354">
        <v>0</v>
      </c>
      <c r="U210" s="354">
        <v>0</v>
      </c>
      <c r="V210" s="354">
        <v>0</v>
      </c>
      <c r="W210" s="354">
        <v>0</v>
      </c>
      <c r="X210" s="354">
        <v>0</v>
      </c>
      <c r="Y210" s="365">
        <v>0</v>
      </c>
      <c r="Z210" s="305">
        <f t="shared" si="110"/>
        <v>8.3301989598829837E-5</v>
      </c>
      <c r="AA210" s="307">
        <f t="shared" si="111"/>
        <v>7.7971857072452536E-5</v>
      </c>
      <c r="AB210" s="91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1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920">
        <f t="shared" si="112"/>
        <v>0</v>
      </c>
      <c r="AE210" s="897">
        <f t="shared" si="115"/>
        <v>3.7280588402680091E-5</v>
      </c>
      <c r="AF210" s="897">
        <f t="shared" si="116"/>
        <v>8.3301989598829837E-5</v>
      </c>
      <c r="AG210" s="897">
        <f t="shared" si="117"/>
        <v>1.2058257800150993E-4</v>
      </c>
      <c r="AH210" s="1113">
        <f t="shared" si="113"/>
        <v>0.30917060342011649</v>
      </c>
      <c r="AI210" s="897">
        <f t="shared" si="114"/>
        <v>0.69082939657988351</v>
      </c>
    </row>
    <row r="211" spans="1:35" x14ac:dyDescent="0.2">
      <c r="A211" s="339">
        <v>2038</v>
      </c>
      <c r="B211" s="353">
        <v>0</v>
      </c>
      <c r="C211" s="354">
        <v>6.5359200067895596E-4</v>
      </c>
      <c r="D211" s="354">
        <v>0</v>
      </c>
      <c r="E211" s="354">
        <v>0</v>
      </c>
      <c r="F211" s="354">
        <v>0</v>
      </c>
      <c r="G211" s="354">
        <v>0</v>
      </c>
      <c r="H211" s="354">
        <v>0</v>
      </c>
      <c r="I211" s="354">
        <v>0</v>
      </c>
      <c r="J211" s="354">
        <v>0</v>
      </c>
      <c r="K211" s="354">
        <v>0</v>
      </c>
      <c r="L211" s="365">
        <v>0</v>
      </c>
      <c r="M211" s="305">
        <f t="shared" si="108"/>
        <v>1.1191860737488015E-4</v>
      </c>
      <c r="N211" s="307">
        <f t="shared" si="109"/>
        <v>1.0406516413006317E-4</v>
      </c>
      <c r="O211" s="353">
        <v>0</v>
      </c>
      <c r="P211" s="354">
        <v>1.207820635347259E-3</v>
      </c>
      <c r="Q211" s="354">
        <v>0</v>
      </c>
      <c r="R211" s="354">
        <v>0</v>
      </c>
      <c r="S211" s="354">
        <v>0</v>
      </c>
      <c r="T211" s="354">
        <v>0</v>
      </c>
      <c r="U211" s="354">
        <v>0</v>
      </c>
      <c r="V211" s="354">
        <v>0</v>
      </c>
      <c r="W211" s="354">
        <v>0</v>
      </c>
      <c r="X211" s="354">
        <v>0</v>
      </c>
      <c r="Y211" s="365">
        <v>0</v>
      </c>
      <c r="Z211" s="305">
        <f t="shared" si="110"/>
        <v>2.9616955547505743E-4</v>
      </c>
      <c r="AA211" s="307">
        <f t="shared" si="111"/>
        <v>2.7721895191129233E-4</v>
      </c>
      <c r="AB211" s="91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1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920">
        <f t="shared" si="112"/>
        <v>0</v>
      </c>
      <c r="AE211" s="897">
        <f t="shared" si="115"/>
        <v>1.1191860737488015E-4</v>
      </c>
      <c r="AF211" s="897">
        <f t="shared" si="116"/>
        <v>2.9616955547505743E-4</v>
      </c>
      <c r="AG211" s="897">
        <f t="shared" si="117"/>
        <v>4.0808816284993756E-4</v>
      </c>
      <c r="AH211" s="1113">
        <f t="shared" si="113"/>
        <v>0.27425105054084831</v>
      </c>
      <c r="AI211" s="897">
        <f t="shared" si="114"/>
        <v>0.7257489494591518</v>
      </c>
    </row>
    <row r="212" spans="1:35" x14ac:dyDescent="0.2">
      <c r="A212" s="339">
        <v>2039</v>
      </c>
      <c r="B212" s="353">
        <v>0</v>
      </c>
      <c r="C212" s="354">
        <v>2.5457932359151296E-3</v>
      </c>
      <c r="D212" s="354">
        <v>0</v>
      </c>
      <c r="E212" s="354">
        <v>0</v>
      </c>
      <c r="F212" s="354">
        <v>0</v>
      </c>
      <c r="G212" s="354">
        <v>0</v>
      </c>
      <c r="H212" s="354">
        <v>0</v>
      </c>
      <c r="I212" s="354">
        <v>0</v>
      </c>
      <c r="J212" s="354">
        <v>0</v>
      </c>
      <c r="K212" s="354">
        <v>0</v>
      </c>
      <c r="L212" s="365">
        <v>0</v>
      </c>
      <c r="M212" s="305">
        <f t="shared" si="108"/>
        <v>4.3593194734946637E-4</v>
      </c>
      <c r="N212" s="307">
        <f t="shared" si="109"/>
        <v>4.0534215636284275E-4</v>
      </c>
      <c r="O212" s="353">
        <v>0</v>
      </c>
      <c r="P212" s="354">
        <v>3.862490874234235E-3</v>
      </c>
      <c r="Q212" s="354">
        <v>0</v>
      </c>
      <c r="R212" s="354">
        <v>0</v>
      </c>
      <c r="S212" s="354">
        <v>0</v>
      </c>
      <c r="T212" s="354">
        <v>0</v>
      </c>
      <c r="U212" s="354">
        <v>0</v>
      </c>
      <c r="V212" s="354">
        <v>0</v>
      </c>
      <c r="W212" s="354">
        <v>0</v>
      </c>
      <c r="X212" s="354">
        <v>0</v>
      </c>
      <c r="Y212" s="365">
        <v>0</v>
      </c>
      <c r="Z212" s="305">
        <f t="shared" si="110"/>
        <v>9.4712093151109555E-4</v>
      </c>
      <c r="AA212" s="307">
        <f t="shared" si="111"/>
        <v>8.8651877653530414E-4</v>
      </c>
      <c r="AB212" s="91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1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920">
        <f t="shared" si="112"/>
        <v>0</v>
      </c>
      <c r="AE212" s="897">
        <f t="shared" si="115"/>
        <v>4.3593194734946637E-4</v>
      </c>
      <c r="AF212" s="897">
        <f t="shared" si="116"/>
        <v>9.4712093151109555E-4</v>
      </c>
      <c r="AG212" s="897">
        <f t="shared" si="117"/>
        <v>1.3830528788605619E-3</v>
      </c>
      <c r="AH212" s="1113">
        <f t="shared" si="113"/>
        <v>0.31519543035014835</v>
      </c>
      <c r="AI212" s="897">
        <f t="shared" si="114"/>
        <v>0.6848045696498517</v>
      </c>
    </row>
    <row r="213" spans="1:35" ht="13.5" thickBot="1" x14ac:dyDescent="0.25">
      <c r="A213" s="337">
        <v>2040</v>
      </c>
      <c r="B213" s="355">
        <v>0</v>
      </c>
      <c r="C213" s="356">
        <v>8.7529782367894802E-3</v>
      </c>
      <c r="D213" s="356">
        <v>0</v>
      </c>
      <c r="E213" s="356">
        <v>0</v>
      </c>
      <c r="F213" s="356">
        <v>0</v>
      </c>
      <c r="G213" s="356">
        <v>0</v>
      </c>
      <c r="H213" s="356">
        <v>0</v>
      </c>
      <c r="I213" s="356">
        <v>0</v>
      </c>
      <c r="J213" s="356">
        <v>0</v>
      </c>
      <c r="K213" s="356">
        <v>0</v>
      </c>
      <c r="L213" s="366">
        <v>0</v>
      </c>
      <c r="M213" s="319">
        <f t="shared" si="108"/>
        <v>1.4988266894736704E-3</v>
      </c>
      <c r="N213" s="321">
        <f t="shared" si="109"/>
        <v>1.3936524864015159E-3</v>
      </c>
      <c r="O213" s="355">
        <v>0</v>
      </c>
      <c r="P213" s="356">
        <v>1.2642085808240101E-2</v>
      </c>
      <c r="Q213" s="356">
        <v>0</v>
      </c>
      <c r="R213" s="356">
        <v>0</v>
      </c>
      <c r="S213" s="356">
        <v>0</v>
      </c>
      <c r="T213" s="356">
        <v>0</v>
      </c>
      <c r="U213" s="356">
        <v>0</v>
      </c>
      <c r="V213" s="356">
        <v>0</v>
      </c>
      <c r="W213" s="356">
        <v>0</v>
      </c>
      <c r="X213" s="356">
        <v>0</v>
      </c>
      <c r="Y213" s="366">
        <v>0</v>
      </c>
      <c r="Z213" s="319">
        <f t="shared" si="110"/>
        <v>3.0999643693183899E-3</v>
      </c>
      <c r="AA213" s="321">
        <f t="shared" si="111"/>
        <v>2.9016111127504731E-3</v>
      </c>
      <c r="AB213" s="91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1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920">
        <f t="shared" si="112"/>
        <v>0</v>
      </c>
      <c r="AE213" s="897">
        <f t="shared" si="115"/>
        <v>1.4988266894736704E-3</v>
      </c>
      <c r="AF213" s="897">
        <f t="shared" si="116"/>
        <v>3.0999643693183899E-3</v>
      </c>
      <c r="AG213" s="897">
        <f t="shared" si="117"/>
        <v>4.5987910587920603E-3</v>
      </c>
      <c r="AH213" s="1113">
        <f t="shared" si="113"/>
        <v>0.32591754448338844</v>
      </c>
      <c r="AI213" s="897">
        <f t="shared" si="114"/>
        <v>0.6740824555166115</v>
      </c>
    </row>
    <row r="214" spans="1:35" x14ac:dyDescent="0.2">
      <c r="A214" s="338">
        <v>2041</v>
      </c>
      <c r="B214" s="351">
        <v>0</v>
      </c>
      <c r="C214" s="352">
        <v>2.8451209879026291E-2</v>
      </c>
      <c r="D214" s="352">
        <v>0</v>
      </c>
      <c r="E214" s="352">
        <v>0</v>
      </c>
      <c r="F214" s="352">
        <v>0</v>
      </c>
      <c r="G214" s="352">
        <v>0</v>
      </c>
      <c r="H214" s="352">
        <v>0</v>
      </c>
      <c r="I214" s="352">
        <v>0</v>
      </c>
      <c r="J214" s="352">
        <v>0</v>
      </c>
      <c r="K214" s="352">
        <v>0</v>
      </c>
      <c r="L214" s="364">
        <v>0</v>
      </c>
      <c r="M214" s="291">
        <f t="shared" si="108"/>
        <v>4.8718769270175658E-3</v>
      </c>
      <c r="N214" s="293">
        <f t="shared" si="109"/>
        <v>4.5300123359589264E-3</v>
      </c>
      <c r="O214" s="351">
        <v>0</v>
      </c>
      <c r="P214" s="352">
        <v>3.5146565936311762E-2</v>
      </c>
      <c r="Q214" s="352">
        <v>0</v>
      </c>
      <c r="R214" s="352">
        <v>0</v>
      </c>
      <c r="S214" s="352">
        <v>0</v>
      </c>
      <c r="T214" s="352">
        <v>0</v>
      </c>
      <c r="U214" s="352">
        <v>0</v>
      </c>
      <c r="V214" s="352">
        <v>0</v>
      </c>
      <c r="W214" s="352">
        <v>0</v>
      </c>
      <c r="X214" s="352">
        <v>0</v>
      </c>
      <c r="Y214" s="364">
        <v>0</v>
      </c>
      <c r="Z214" s="291">
        <f t="shared" si="110"/>
        <v>8.6182852860760013E-3</v>
      </c>
      <c r="AA214" s="293">
        <f t="shared" si="111"/>
        <v>8.0668386406100717E-3</v>
      </c>
      <c r="AB214" s="91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1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920">
        <f t="shared" si="112"/>
        <v>0</v>
      </c>
      <c r="AE214" s="897">
        <f t="shared" si="115"/>
        <v>4.8718769270175658E-3</v>
      </c>
      <c r="AF214" s="897">
        <f t="shared" si="116"/>
        <v>8.6182852860760013E-3</v>
      </c>
      <c r="AG214" s="897">
        <f t="shared" si="117"/>
        <v>1.3490162213093567E-2</v>
      </c>
      <c r="AH214" s="1113">
        <f t="shared" si="113"/>
        <v>0.36114294624929838</v>
      </c>
      <c r="AI214" s="897">
        <f t="shared" si="114"/>
        <v>0.63885705375070168</v>
      </c>
    </row>
    <row r="215" spans="1:35" x14ac:dyDescent="0.2">
      <c r="A215" s="339">
        <v>2042</v>
      </c>
      <c r="B215" s="353">
        <v>0</v>
      </c>
      <c r="C215" s="354">
        <v>7.4487631276934876E-2</v>
      </c>
      <c r="D215" s="354">
        <v>0</v>
      </c>
      <c r="E215" s="354">
        <v>0</v>
      </c>
      <c r="F215" s="354">
        <v>0</v>
      </c>
      <c r="G215" s="354">
        <v>0</v>
      </c>
      <c r="H215" s="354">
        <v>0</v>
      </c>
      <c r="I215" s="354">
        <v>0</v>
      </c>
      <c r="J215" s="354">
        <v>0</v>
      </c>
      <c r="K215" s="354">
        <v>0</v>
      </c>
      <c r="L215" s="365">
        <v>0</v>
      </c>
      <c r="M215" s="305">
        <f t="shared" si="108"/>
        <v>1.2754978565386431E-2</v>
      </c>
      <c r="N215" s="307">
        <f t="shared" si="109"/>
        <v>1.1859948662837783E-2</v>
      </c>
      <c r="O215" s="353">
        <v>0</v>
      </c>
      <c r="P215" s="354">
        <v>8.1177571637319063E-2</v>
      </c>
      <c r="Q215" s="354">
        <v>0</v>
      </c>
      <c r="R215" s="354">
        <v>0</v>
      </c>
      <c r="S215" s="354">
        <v>0</v>
      </c>
      <c r="T215" s="354">
        <v>0</v>
      </c>
      <c r="U215" s="354">
        <v>0</v>
      </c>
      <c r="V215" s="354">
        <v>0</v>
      </c>
      <c r="W215" s="354">
        <v>0</v>
      </c>
      <c r="X215" s="354">
        <v>0</v>
      </c>
      <c r="Y215" s="365">
        <v>0</v>
      </c>
      <c r="Z215" s="305">
        <f t="shared" si="110"/>
        <v>1.9905542762528674E-2</v>
      </c>
      <c r="AA215" s="307">
        <f t="shared" si="111"/>
        <v>1.8631873532721482E-2</v>
      </c>
      <c r="AB215" s="91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1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920">
        <f t="shared" si="112"/>
        <v>0</v>
      </c>
      <c r="AE215" s="897">
        <f t="shared" si="115"/>
        <v>1.2754978565386431E-2</v>
      </c>
      <c r="AF215" s="897">
        <f t="shared" si="116"/>
        <v>1.9905542762528674E-2</v>
      </c>
      <c r="AG215" s="897">
        <f t="shared" si="117"/>
        <v>3.2660521327915103E-2</v>
      </c>
      <c r="AH215" s="1113">
        <f t="shared" si="113"/>
        <v>0.39053199541198658</v>
      </c>
      <c r="AI215" s="897">
        <f t="shared" si="114"/>
        <v>0.60946800458801353</v>
      </c>
    </row>
    <row r="216" spans="1:35" x14ac:dyDescent="0.2">
      <c r="A216" s="339">
        <v>2043</v>
      </c>
      <c r="B216" s="353">
        <v>0</v>
      </c>
      <c r="C216" s="354">
        <v>0.13458879217074959</v>
      </c>
      <c r="D216" s="354">
        <v>0</v>
      </c>
      <c r="E216" s="354">
        <v>0</v>
      </c>
      <c r="F216" s="354">
        <v>0</v>
      </c>
      <c r="G216" s="354">
        <v>0</v>
      </c>
      <c r="H216" s="354">
        <v>0</v>
      </c>
      <c r="I216" s="354">
        <v>0</v>
      </c>
      <c r="J216" s="354">
        <v>0</v>
      </c>
      <c r="K216" s="354">
        <v>0</v>
      </c>
      <c r="L216" s="365">
        <v>0</v>
      </c>
      <c r="M216" s="305">
        <f t="shared" si="108"/>
        <v>2.3046472680770154E-2</v>
      </c>
      <c r="N216" s="307">
        <f t="shared" si="109"/>
        <v>2.1429278101271865E-2</v>
      </c>
      <c r="O216" s="353">
        <v>1.2875025784355021E-4</v>
      </c>
      <c r="P216" s="354">
        <v>0.14345114797568767</v>
      </c>
      <c r="Q216" s="354">
        <v>0</v>
      </c>
      <c r="R216" s="354">
        <v>0</v>
      </c>
      <c r="S216" s="354">
        <v>0</v>
      </c>
      <c r="T216" s="354">
        <v>0</v>
      </c>
      <c r="U216" s="354">
        <v>0</v>
      </c>
      <c r="V216" s="354">
        <v>0</v>
      </c>
      <c r="W216" s="354">
        <v>0</v>
      </c>
      <c r="X216" s="354">
        <v>0</v>
      </c>
      <c r="Y216" s="365">
        <v>0</v>
      </c>
      <c r="Z216" s="305">
        <f t="shared" si="110"/>
        <v>3.5193602905300603E-2</v>
      </c>
      <c r="AA216" s="307">
        <f t="shared" si="111"/>
        <v>3.2966319926682294E-2</v>
      </c>
      <c r="AB216" s="91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1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920">
        <f t="shared" si="112"/>
        <v>0</v>
      </c>
      <c r="AE216" s="897">
        <f t="shared" si="115"/>
        <v>2.3046472680770154E-2</v>
      </c>
      <c r="AF216" s="897">
        <f t="shared" si="116"/>
        <v>3.5193602905300603E-2</v>
      </c>
      <c r="AG216" s="897">
        <f t="shared" si="117"/>
        <v>5.8240075586070757E-2</v>
      </c>
      <c r="AH216" s="1113">
        <f t="shared" si="113"/>
        <v>0.39571502009317727</v>
      </c>
      <c r="AI216" s="897">
        <f t="shared" si="114"/>
        <v>0.60428497990682273</v>
      </c>
    </row>
    <row r="217" spans="1:35" x14ac:dyDescent="0.2">
      <c r="A217" s="339">
        <v>2044</v>
      </c>
      <c r="B217" s="353">
        <v>1.9523797453293546E-3</v>
      </c>
      <c r="C217" s="354">
        <v>0.18477376254024203</v>
      </c>
      <c r="D217" s="354">
        <v>0</v>
      </c>
      <c r="E217" s="354">
        <v>0</v>
      </c>
      <c r="F217" s="354">
        <v>0</v>
      </c>
      <c r="G217" s="354">
        <v>0</v>
      </c>
      <c r="H217" s="354">
        <v>0</v>
      </c>
      <c r="I217" s="354">
        <v>0</v>
      </c>
      <c r="J217" s="354">
        <v>0</v>
      </c>
      <c r="K217" s="354">
        <v>0</v>
      </c>
      <c r="L217" s="365">
        <v>0</v>
      </c>
      <c r="M217" s="305">
        <f t="shared" si="108"/>
        <v>3.1762167817794944E-2</v>
      </c>
      <c r="N217" s="307">
        <f t="shared" si="109"/>
        <v>2.9698965349618838E-2</v>
      </c>
      <c r="O217" s="353">
        <v>3.103151697827918E-3</v>
      </c>
      <c r="P217" s="354">
        <v>0.19293452146843632</v>
      </c>
      <c r="Q217" s="354">
        <v>0</v>
      </c>
      <c r="R217" s="354">
        <v>0</v>
      </c>
      <c r="S217" s="354">
        <v>0</v>
      </c>
      <c r="T217" s="354">
        <v>0</v>
      </c>
      <c r="U217" s="354">
        <v>0</v>
      </c>
      <c r="V217" s="354">
        <v>0</v>
      </c>
      <c r="W217" s="354">
        <v>0</v>
      </c>
      <c r="X217" s="354">
        <v>0</v>
      </c>
      <c r="Y217" s="365">
        <v>0</v>
      </c>
      <c r="Z217" s="305">
        <f t="shared" si="110"/>
        <v>4.7742417452063035E-2</v>
      </c>
      <c r="AA217" s="307">
        <f t="shared" si="111"/>
        <v>4.5280567213001631E-2</v>
      </c>
      <c r="AB217" s="91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1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920">
        <f t="shared" si="112"/>
        <v>0</v>
      </c>
      <c r="AE217" s="897">
        <f t="shared" si="115"/>
        <v>3.1762167817794944E-2</v>
      </c>
      <c r="AF217" s="897">
        <f t="shared" si="116"/>
        <v>4.7742417452063035E-2</v>
      </c>
      <c r="AG217" s="897">
        <f t="shared" si="117"/>
        <v>7.9504585269857986E-2</v>
      </c>
      <c r="AH217" s="1113">
        <f t="shared" si="113"/>
        <v>0.39950108172989501</v>
      </c>
      <c r="AI217" s="897">
        <f t="shared" si="114"/>
        <v>0.60049891827010493</v>
      </c>
    </row>
    <row r="218" spans="1:35" ht="13.5" thickBot="1" x14ac:dyDescent="0.25">
      <c r="A218" s="337">
        <v>2045</v>
      </c>
      <c r="B218" s="355">
        <v>1.5361781604840911E-2</v>
      </c>
      <c r="C218" s="356">
        <v>0.22846207399135166</v>
      </c>
      <c r="D218" s="356">
        <v>0</v>
      </c>
      <c r="E218" s="356">
        <v>0</v>
      </c>
      <c r="F218" s="356">
        <v>0</v>
      </c>
      <c r="G218" s="356">
        <v>0</v>
      </c>
      <c r="H218" s="356">
        <v>0</v>
      </c>
      <c r="I218" s="356">
        <v>0</v>
      </c>
      <c r="J218" s="356">
        <v>0</v>
      </c>
      <c r="K218" s="356">
        <v>0</v>
      </c>
      <c r="L218" s="366">
        <v>0</v>
      </c>
      <c r="M218" s="319">
        <f t="shared" si="108"/>
        <v>4.0082567047396621E-2</v>
      </c>
      <c r="N218" s="321">
        <f t="shared" si="109"/>
        <v>3.857276525811066E-2</v>
      </c>
      <c r="O218" s="355">
        <v>1.9972568290840216E-2</v>
      </c>
      <c r="P218" s="356">
        <v>0.23659486560008758</v>
      </c>
      <c r="Q218" s="356">
        <v>0</v>
      </c>
      <c r="R218" s="356">
        <v>0</v>
      </c>
      <c r="S218" s="356">
        <v>0</v>
      </c>
      <c r="T218" s="356">
        <v>0</v>
      </c>
      <c r="U218" s="356">
        <v>0</v>
      </c>
      <c r="V218" s="356">
        <v>0</v>
      </c>
      <c r="W218" s="356">
        <v>0</v>
      </c>
      <c r="X218" s="356">
        <v>0</v>
      </c>
      <c r="Y218" s="366">
        <v>0</v>
      </c>
      <c r="Z218" s="319">
        <f t="shared" si="110"/>
        <v>6.0802065023264268E-2</v>
      </c>
      <c r="AA218" s="321">
        <f t="shared" si="111"/>
        <v>6.0728153024951652E-2</v>
      </c>
      <c r="AB218" s="91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1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920">
        <f t="shared" si="112"/>
        <v>0</v>
      </c>
      <c r="AE218" s="897">
        <f t="shared" si="115"/>
        <v>4.0082567047396621E-2</v>
      </c>
      <c r="AF218" s="897">
        <f t="shared" si="116"/>
        <v>6.0802065023264268E-2</v>
      </c>
      <c r="AG218" s="897">
        <f t="shared" si="117"/>
        <v>0.1008846320706609</v>
      </c>
      <c r="AH218" s="1113">
        <f t="shared" si="113"/>
        <v>0.39731093056197375</v>
      </c>
      <c r="AI218" s="897">
        <f t="shared" si="114"/>
        <v>0.60268906943802614</v>
      </c>
    </row>
    <row r="219" spans="1:35" x14ac:dyDescent="0.2">
      <c r="A219" s="338">
        <v>2046</v>
      </c>
      <c r="B219" s="351">
        <v>4.5490500822140234E-2</v>
      </c>
      <c r="C219" s="352">
        <v>0.24676997533026815</v>
      </c>
      <c r="D219" s="352">
        <v>0</v>
      </c>
      <c r="E219" s="352">
        <v>0</v>
      </c>
      <c r="F219" s="352">
        <v>0</v>
      </c>
      <c r="G219" s="352">
        <v>0</v>
      </c>
      <c r="H219" s="352">
        <v>0</v>
      </c>
      <c r="I219" s="352">
        <v>0</v>
      </c>
      <c r="J219" s="352">
        <v>0</v>
      </c>
      <c r="K219" s="352">
        <v>0</v>
      </c>
      <c r="L219" s="364">
        <v>0</v>
      </c>
      <c r="M219" s="291">
        <f t="shared" si="108"/>
        <v>4.5103488901401013E-2</v>
      </c>
      <c r="N219" s="293">
        <f t="shared" si="109"/>
        <v>4.5796581098179606E-2</v>
      </c>
      <c r="O219" s="351">
        <v>5.6364104932688952E-2</v>
      </c>
      <c r="P219" s="352">
        <v>0.24904330902772889</v>
      </c>
      <c r="Q219" s="352">
        <v>0</v>
      </c>
      <c r="R219" s="352">
        <v>0</v>
      </c>
      <c r="S219" s="352">
        <v>0</v>
      </c>
      <c r="T219" s="352">
        <v>0</v>
      </c>
      <c r="U219" s="352">
        <v>0</v>
      </c>
      <c r="V219" s="352">
        <v>0</v>
      </c>
      <c r="W219" s="352">
        <v>0</v>
      </c>
      <c r="X219" s="352">
        <v>0</v>
      </c>
      <c r="Y219" s="364">
        <v>0</v>
      </c>
      <c r="Z219" s="291">
        <f t="shared" si="110"/>
        <v>6.8932063411405203E-2</v>
      </c>
      <c r="AA219" s="293">
        <f t="shared" si="111"/>
        <v>7.5291988639821894E-2</v>
      </c>
      <c r="AB219" s="91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1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920">
        <f t="shared" si="112"/>
        <v>0</v>
      </c>
      <c r="AE219" s="897">
        <f t="shared" si="115"/>
        <v>4.5103488901401013E-2</v>
      </c>
      <c r="AF219" s="897">
        <f t="shared" si="116"/>
        <v>6.8932063411405203E-2</v>
      </c>
      <c r="AG219" s="897">
        <f t="shared" si="117"/>
        <v>0.11403555231280621</v>
      </c>
      <c r="AH219" s="1113">
        <f t="shared" si="113"/>
        <v>0.39552129126958141</v>
      </c>
      <c r="AI219" s="897">
        <f t="shared" si="114"/>
        <v>0.60447870873041865</v>
      </c>
    </row>
    <row r="220" spans="1:35" x14ac:dyDescent="0.2">
      <c r="A220" s="339">
        <v>2047</v>
      </c>
      <c r="B220" s="353">
        <v>9.0751272384328285E-2</v>
      </c>
      <c r="C220" s="354">
        <v>0.25440001132342338</v>
      </c>
      <c r="D220" s="354">
        <v>0</v>
      </c>
      <c r="E220" s="354">
        <v>0</v>
      </c>
      <c r="F220" s="354">
        <v>0</v>
      </c>
      <c r="G220" s="354">
        <v>0</v>
      </c>
      <c r="H220" s="354">
        <v>0</v>
      </c>
      <c r="I220" s="354">
        <v>0</v>
      </c>
      <c r="J220" s="354">
        <v>0</v>
      </c>
      <c r="K220" s="354">
        <v>0</v>
      </c>
      <c r="L220" s="365">
        <v>0</v>
      </c>
      <c r="M220" s="305">
        <f t="shared" si="108"/>
        <v>4.9243184280244948E-2</v>
      </c>
      <c r="N220" s="307">
        <f t="shared" si="109"/>
        <v>5.3484356655189427E-2</v>
      </c>
      <c r="O220" s="353">
        <v>9.9493783000309644E-2</v>
      </c>
      <c r="P220" s="354">
        <v>0.26581095183006048</v>
      </c>
      <c r="Q220" s="354">
        <v>0</v>
      </c>
      <c r="R220" s="354">
        <v>0</v>
      </c>
      <c r="S220" s="354">
        <v>0</v>
      </c>
      <c r="T220" s="354">
        <v>0</v>
      </c>
      <c r="U220" s="354">
        <v>0</v>
      </c>
      <c r="V220" s="354">
        <v>0</v>
      </c>
      <c r="W220" s="354">
        <v>0</v>
      </c>
      <c r="X220" s="354">
        <v>0</v>
      </c>
      <c r="Y220" s="365">
        <v>0</v>
      </c>
      <c r="Z220" s="305">
        <f t="shared" si="110"/>
        <v>7.9061309109517169E-2</v>
      </c>
      <c r="AA220" s="307">
        <f t="shared" si="111"/>
        <v>9.3014736483217647E-2</v>
      </c>
      <c r="AB220" s="91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1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920">
        <f t="shared" si="112"/>
        <v>0</v>
      </c>
      <c r="AE220" s="897">
        <f t="shared" si="115"/>
        <v>4.9243184280244948E-2</v>
      </c>
      <c r="AF220" s="897">
        <f t="shared" si="116"/>
        <v>7.9061309109517169E-2</v>
      </c>
      <c r="AG220" s="897">
        <f t="shared" si="117"/>
        <v>0.12830449338976213</v>
      </c>
      <c r="AH220" s="1113">
        <f t="shared" si="113"/>
        <v>0.38379937427954675</v>
      </c>
      <c r="AI220" s="897">
        <f t="shared" si="114"/>
        <v>0.6162006257204532</v>
      </c>
    </row>
    <row r="221" spans="1:35" x14ac:dyDescent="0.2">
      <c r="A221" s="339">
        <v>2048</v>
      </c>
      <c r="B221" s="353">
        <v>0.12678030730499321</v>
      </c>
      <c r="C221" s="354">
        <v>0.2608977754019069</v>
      </c>
      <c r="D221" s="354">
        <v>0</v>
      </c>
      <c r="E221" s="354">
        <v>0</v>
      </c>
      <c r="F221" s="354">
        <v>0</v>
      </c>
      <c r="G221" s="354">
        <v>0</v>
      </c>
      <c r="H221" s="354">
        <v>0</v>
      </c>
      <c r="I221" s="354">
        <v>0</v>
      </c>
      <c r="J221" s="354">
        <v>0</v>
      </c>
      <c r="K221" s="354">
        <v>0</v>
      </c>
      <c r="L221" s="365">
        <v>0</v>
      </c>
      <c r="M221" s="305">
        <f t="shared" si="108"/>
        <v>5.2611121125054769E-2</v>
      </c>
      <c r="N221" s="307">
        <f t="shared" si="109"/>
        <v>5.967158501588829E-2</v>
      </c>
      <c r="O221" s="353">
        <v>0.13415108691567076</v>
      </c>
      <c r="P221" s="354">
        <v>0.2678335721365086</v>
      </c>
      <c r="Q221" s="354">
        <v>0</v>
      </c>
      <c r="R221" s="354">
        <v>0</v>
      </c>
      <c r="S221" s="354">
        <v>0</v>
      </c>
      <c r="T221" s="354">
        <v>0</v>
      </c>
      <c r="U221" s="354">
        <v>0</v>
      </c>
      <c r="V221" s="354">
        <v>0</v>
      </c>
      <c r="W221" s="354">
        <v>0</v>
      </c>
      <c r="X221" s="354">
        <v>0</v>
      </c>
      <c r="Y221" s="365">
        <v>0</v>
      </c>
      <c r="Z221" s="305">
        <f t="shared" si="110"/>
        <v>8.43928243960579E-2</v>
      </c>
      <c r="AA221" s="307">
        <f t="shared" si="111"/>
        <v>0.10462775811278613</v>
      </c>
      <c r="AB221" s="91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1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920">
        <f t="shared" si="112"/>
        <v>0</v>
      </c>
      <c r="AE221" s="897">
        <f t="shared" si="115"/>
        <v>5.2611121125054769E-2</v>
      </c>
      <c r="AF221" s="897">
        <f t="shared" si="116"/>
        <v>8.43928243960579E-2</v>
      </c>
      <c r="AG221" s="897">
        <f t="shared" si="117"/>
        <v>0.13700394552111267</v>
      </c>
      <c r="AH221" s="1113">
        <f t="shared" si="113"/>
        <v>0.38401172261821653</v>
      </c>
      <c r="AI221" s="897">
        <f t="shared" si="114"/>
        <v>0.61598827738178341</v>
      </c>
    </row>
    <row r="222" spans="1:35" x14ac:dyDescent="0.2">
      <c r="A222" s="339">
        <v>2049</v>
      </c>
      <c r="B222" s="353">
        <v>0.15685943613729852</v>
      </c>
      <c r="C222" s="354">
        <v>0.26049480244845036</v>
      </c>
      <c r="D222" s="354">
        <v>0</v>
      </c>
      <c r="E222" s="354">
        <v>0</v>
      </c>
      <c r="F222" s="354">
        <v>0</v>
      </c>
      <c r="G222" s="354">
        <v>0</v>
      </c>
      <c r="H222" s="354">
        <v>0</v>
      </c>
      <c r="I222" s="354">
        <v>0</v>
      </c>
      <c r="J222" s="354">
        <v>0</v>
      </c>
      <c r="K222" s="354">
        <v>0</v>
      </c>
      <c r="L222" s="365">
        <v>0</v>
      </c>
      <c r="M222" s="305">
        <f t="shared" si="108"/>
        <v>5.4424959882508471E-2</v>
      </c>
      <c r="N222" s="307">
        <f t="shared" si="109"/>
        <v>6.3909156301784925E-2</v>
      </c>
      <c r="O222" s="353">
        <v>0.1656971479201135</v>
      </c>
      <c r="P222" s="354">
        <v>0.26807640188704884</v>
      </c>
      <c r="Q222" s="354">
        <v>0</v>
      </c>
      <c r="R222" s="354">
        <v>0</v>
      </c>
      <c r="S222" s="354">
        <v>0</v>
      </c>
      <c r="T222" s="354">
        <v>0</v>
      </c>
      <c r="U222" s="354">
        <v>0</v>
      </c>
      <c r="V222" s="354">
        <v>0</v>
      </c>
      <c r="W222" s="354">
        <v>0</v>
      </c>
      <c r="X222" s="354">
        <v>0</v>
      </c>
      <c r="Y222" s="365">
        <v>0</v>
      </c>
      <c r="Z222" s="305">
        <f t="shared" si="110"/>
        <v>8.8853822318218506E-2</v>
      </c>
      <c r="AA222" s="307">
        <f t="shared" si="111"/>
        <v>0.11483143715345551</v>
      </c>
      <c r="AB222" s="91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1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920">
        <f t="shared" si="112"/>
        <v>0</v>
      </c>
      <c r="AE222" s="897">
        <f t="shared" si="115"/>
        <v>5.4424959882508471E-2</v>
      </c>
      <c r="AF222" s="897">
        <f t="shared" si="116"/>
        <v>8.8853822318218506E-2</v>
      </c>
      <c r="AG222" s="897">
        <f t="shared" si="117"/>
        <v>0.14327878220072698</v>
      </c>
      <c r="AH222" s="1113">
        <f t="shared" si="113"/>
        <v>0.37985359064722929</v>
      </c>
      <c r="AI222" s="897">
        <f t="shared" si="114"/>
        <v>0.62014640935277066</v>
      </c>
    </row>
    <row r="223" spans="1:35" ht="13.5" thickBot="1" x14ac:dyDescent="0.25">
      <c r="A223" s="337">
        <v>2050</v>
      </c>
      <c r="B223" s="355">
        <v>0.22331763712716596</v>
      </c>
      <c r="C223" s="356">
        <v>0.26180053430479666</v>
      </c>
      <c r="D223" s="356">
        <v>0</v>
      </c>
      <c r="E223" s="356">
        <v>0</v>
      </c>
      <c r="F223" s="356">
        <v>0</v>
      </c>
      <c r="G223" s="356">
        <v>0</v>
      </c>
      <c r="H223" s="356">
        <v>0</v>
      </c>
      <c r="I223" s="356">
        <v>0</v>
      </c>
      <c r="J223" s="356">
        <v>0</v>
      </c>
      <c r="K223" s="356">
        <v>0</v>
      </c>
      <c r="L223" s="366">
        <v>0</v>
      </c>
      <c r="M223" s="319">
        <f t="shared" si="108"/>
        <v>5.8808586234797386E-2</v>
      </c>
      <c r="N223" s="321">
        <f t="shared" si="109"/>
        <v>7.3621500312582439E-2</v>
      </c>
      <c r="O223" s="355">
        <v>0.23071102459866916</v>
      </c>
      <c r="P223" s="356">
        <v>0.27090632122036246</v>
      </c>
      <c r="Q223" s="356">
        <v>0</v>
      </c>
      <c r="R223" s="356">
        <v>0</v>
      </c>
      <c r="S223" s="356">
        <v>0</v>
      </c>
      <c r="T223" s="356">
        <v>0</v>
      </c>
      <c r="U223" s="356">
        <v>0</v>
      </c>
      <c r="V223" s="356">
        <v>0</v>
      </c>
      <c r="W223" s="356">
        <v>0</v>
      </c>
      <c r="X223" s="356">
        <v>0</v>
      </c>
      <c r="Y223" s="366">
        <v>0</v>
      </c>
      <c r="Z223" s="319">
        <f t="shared" si="110"/>
        <v>9.8618786020391536E-2</v>
      </c>
      <c r="AA223" s="321">
        <f t="shared" si="111"/>
        <v>0.13639505237803951</v>
      </c>
      <c r="AB223" s="921">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22">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923">
        <f t="shared" si="112"/>
        <v>0</v>
      </c>
      <c r="AE223" s="897">
        <f t="shared" ref="AE223" si="118">SUMPRODUCT($B$74:$L$74,B223:L223)</f>
        <v>5.8808586234797386E-2</v>
      </c>
      <c r="AF223" s="897">
        <f t="shared" ref="AF223" si="119">SUMPRODUCT($O$74:$Y$74,O223:Y223)</f>
        <v>9.8618786020391536E-2</v>
      </c>
      <c r="AG223" s="897">
        <f t="shared" ref="AG223" si="120">SUM(AE223:AF223)</f>
        <v>0.15742737225518894</v>
      </c>
      <c r="AH223" s="1113">
        <f t="shared" ref="AH223" si="121">IF(AG223&gt;0,AE223/AG223,0)</f>
        <v>0.37356010833661746</v>
      </c>
      <c r="AI223" s="897">
        <f t="shared" ref="AI223" si="122">IF(AG223&gt;0,AF223/AG223,0)</f>
        <v>0.62643989166338243</v>
      </c>
    </row>
    <row r="224" spans="1:35" x14ac:dyDescent="0.2">
      <c r="B224" s="236" t="str">
        <f>B$120</f>
        <v>Output generated: 11/04/2020 14:43</v>
      </c>
      <c r="O224" s="236" t="str">
        <f>O$120</f>
        <v>Output generated: 11/04/2020 14:43</v>
      </c>
      <c r="AE224" s="897"/>
      <c r="AF224" s="897"/>
      <c r="AG224" s="897"/>
      <c r="AH224" s="897"/>
      <c r="AI224" s="897"/>
    </row>
    <row r="225" spans="1:47" x14ac:dyDescent="0.2">
      <c r="AE225" s="897"/>
      <c r="AF225" s="897"/>
      <c r="AG225" s="897"/>
      <c r="AH225" s="897"/>
      <c r="AI225" s="897"/>
    </row>
    <row r="226" spans="1:47" ht="13.5" thickBot="1" x14ac:dyDescent="0.25">
      <c r="AE226" s="897"/>
      <c r="AF226" s="897"/>
      <c r="AG226" s="897"/>
      <c r="AH226" s="897"/>
      <c r="AI226" s="897"/>
    </row>
    <row r="227" spans="1:47" ht="15" x14ac:dyDescent="0.25">
      <c r="A227" s="342"/>
      <c r="B227" s="1643" t="s">
        <v>312</v>
      </c>
      <c r="C227" s="1644"/>
      <c r="D227" s="1644"/>
      <c r="E227" s="1644"/>
      <c r="F227" s="1644"/>
      <c r="G227" s="1644"/>
      <c r="H227" s="1644"/>
      <c r="I227" s="1644"/>
      <c r="J227" s="1644"/>
      <c r="K227" s="1644"/>
      <c r="L227" s="1644"/>
      <c r="M227" s="1644"/>
      <c r="N227" s="1645"/>
      <c r="O227" s="1643" t="s">
        <v>313</v>
      </c>
      <c r="P227" s="1644"/>
      <c r="Q227" s="1644"/>
      <c r="R227" s="1644"/>
      <c r="S227" s="1644"/>
      <c r="T227" s="1644"/>
      <c r="U227" s="1644"/>
      <c r="V227" s="1644"/>
      <c r="W227" s="1644"/>
      <c r="X227" s="1644"/>
      <c r="Y227" s="1644"/>
      <c r="Z227" s="1644"/>
      <c r="AA227" s="1645"/>
      <c r="AE227" s="897"/>
      <c r="AF227" s="897"/>
      <c r="AG227" s="897"/>
      <c r="AH227" s="897"/>
      <c r="AI227" s="897"/>
    </row>
    <row r="228" spans="1:47" x14ac:dyDescent="0.2">
      <c r="A228" s="333"/>
      <c r="B228" s="1641" t="s">
        <v>125</v>
      </c>
      <c r="C228" s="1642"/>
      <c r="D228" s="1642"/>
      <c r="E228" s="1642"/>
      <c r="F228" s="1642"/>
      <c r="G228" s="1642"/>
      <c r="H228" s="1642"/>
      <c r="I228" s="1642"/>
      <c r="J228" s="1642"/>
      <c r="K228" s="1642"/>
      <c r="L228" s="1642"/>
      <c r="M228" s="367"/>
      <c r="N228" s="334"/>
      <c r="O228" s="1641" t="s">
        <v>125</v>
      </c>
      <c r="P228" s="1642"/>
      <c r="Q228" s="1642"/>
      <c r="R228" s="1642"/>
      <c r="S228" s="1642"/>
      <c r="T228" s="1642"/>
      <c r="U228" s="1642"/>
      <c r="V228" s="1642"/>
      <c r="W228" s="1642"/>
      <c r="X228" s="1642"/>
      <c r="Y228" s="1642"/>
      <c r="Z228" s="367"/>
      <c r="AA228" s="334"/>
      <c r="AC228" s="925" t="s">
        <v>211</v>
      </c>
      <c r="AD228" s="243" t="b">
        <f>INDEX(TECH_OPT_FUEL2_Cls2,MATCH(RIGHT(O227),TECH_OPT_ROWS_Cls2,0))&lt;&gt;"N/A"</f>
        <v>0</v>
      </c>
      <c r="AE228" s="897"/>
      <c r="AF228" s="897"/>
      <c r="AG228" s="897"/>
      <c r="AH228" s="897"/>
      <c r="AI228" s="897"/>
    </row>
    <row r="229" spans="1:47" ht="13.5" thickBot="1" x14ac:dyDescent="0.25">
      <c r="A229" s="340"/>
      <c r="B229" s="347" t="s">
        <v>31</v>
      </c>
      <c r="C229" s="348" t="s">
        <v>32</v>
      </c>
      <c r="D229" s="348" t="s">
        <v>33</v>
      </c>
      <c r="E229" s="348" t="s">
        <v>34</v>
      </c>
      <c r="F229" s="348" t="s">
        <v>35</v>
      </c>
      <c r="G229" s="348" t="s">
        <v>36</v>
      </c>
      <c r="H229" s="348" t="s">
        <v>37</v>
      </c>
      <c r="I229" s="348" t="s">
        <v>38</v>
      </c>
      <c r="J229" s="348" t="s">
        <v>39</v>
      </c>
      <c r="K229" s="348" t="s">
        <v>40</v>
      </c>
      <c r="L229" s="362" t="s">
        <v>41</v>
      </c>
      <c r="M229" s="368" t="s">
        <v>126</v>
      </c>
      <c r="N229" s="341" t="s">
        <v>127</v>
      </c>
      <c r="O229" s="347" t="s">
        <v>31</v>
      </c>
      <c r="P229" s="348" t="s">
        <v>32</v>
      </c>
      <c r="Q229" s="348" t="s">
        <v>33</v>
      </c>
      <c r="R229" s="348" t="s">
        <v>34</v>
      </c>
      <c r="S229" s="348" t="s">
        <v>35</v>
      </c>
      <c r="T229" s="348" t="s">
        <v>36</v>
      </c>
      <c r="U229" s="348" t="s">
        <v>37</v>
      </c>
      <c r="V229" s="348" t="s">
        <v>38</v>
      </c>
      <c r="W229" s="348" t="s">
        <v>39</v>
      </c>
      <c r="X229" s="348" t="s">
        <v>40</v>
      </c>
      <c r="Y229" s="362" t="s">
        <v>41</v>
      </c>
      <c r="Z229" s="368" t="s">
        <v>126</v>
      </c>
      <c r="AA229" s="341" t="s">
        <v>127</v>
      </c>
      <c r="AB229" s="896"/>
      <c r="AC229" s="925" t="s">
        <v>212</v>
      </c>
      <c r="AD229" s="243">
        <f>MATCH(RIGHT(O227),TECH_OPT_ROWS_Cls2,0)</f>
        <v>5</v>
      </c>
      <c r="AE229" s="897"/>
      <c r="AF229" s="897"/>
      <c r="AG229" s="897"/>
      <c r="AH229" s="897"/>
      <c r="AI229" s="897"/>
    </row>
    <row r="230" spans="1:47" ht="14.25" thickTop="1" thickBot="1" x14ac:dyDescent="0.25">
      <c r="A230" s="357" t="s">
        <v>128</v>
      </c>
      <c r="B230" s="349">
        <f t="array" ref="B230:L230">TRANSPOSE(Cls2CentTruckShr)</f>
        <v>0.14301387566993123</v>
      </c>
      <c r="C230" s="350">
        <v>0.15922037604799255</v>
      </c>
      <c r="D230" s="350">
        <v>2.9955708879143464E-2</v>
      </c>
      <c r="E230" s="350">
        <v>1.2051872071306563E-2</v>
      </c>
      <c r="F230" s="350">
        <v>2.5101991276529922E-3</v>
      </c>
      <c r="G230" s="350">
        <v>6.9082025480011917E-3</v>
      </c>
      <c r="H230" s="350">
        <v>0</v>
      </c>
      <c r="I230" s="350">
        <v>5.0829911580039175E-3</v>
      </c>
      <c r="J230" s="350">
        <v>4.1774531135091424E-3</v>
      </c>
      <c r="K230" s="350">
        <v>3.4985640210313297E-4</v>
      </c>
      <c r="L230" s="363">
        <v>0</v>
      </c>
      <c r="M230" s="1170"/>
      <c r="N230" s="1171"/>
      <c r="O230" s="349">
        <f t="array" ref="O230:Y230">TRANSPOSE(Cls2NCentTruckShr)</f>
        <v>0.32168658911174963</v>
      </c>
      <c r="P230" s="350">
        <v>0.22951996662284996</v>
      </c>
      <c r="Q230" s="350">
        <v>4.4589165182040112E-2</v>
      </c>
      <c r="R230" s="350">
        <v>2.5203556385104318E-2</v>
      </c>
      <c r="S230" s="350">
        <v>1.1662976711256823E-2</v>
      </c>
      <c r="T230" s="350">
        <v>4.0672109693550701E-3</v>
      </c>
      <c r="U230" s="350">
        <v>0</v>
      </c>
      <c r="V230" s="350">
        <v>0</v>
      </c>
      <c r="W230" s="350">
        <v>0</v>
      </c>
      <c r="X230" s="350">
        <v>0</v>
      </c>
      <c r="Y230" s="1172">
        <v>0</v>
      </c>
      <c r="Z230" s="1170"/>
      <c r="AA230" s="1171"/>
    </row>
    <row r="231" spans="1:47" x14ac:dyDescent="0.2">
      <c r="A231" s="340" t="s">
        <v>129</v>
      </c>
      <c r="B231" s="886">
        <f t="array" ref="B231:L231">TRANSPOSE(Cls2CentVMTShr)</f>
        <v>6.2596304675174685E-2</v>
      </c>
      <c r="C231" s="887">
        <v>0.17123619514715344</v>
      </c>
      <c r="D231" s="887">
        <v>5.4462640341289378E-2</v>
      </c>
      <c r="E231" s="887">
        <v>3.0079969757749035E-2</v>
      </c>
      <c r="F231" s="887">
        <v>8.9582541075343674E-3</v>
      </c>
      <c r="G231" s="887">
        <v>2.7354452536373829E-2</v>
      </c>
      <c r="H231" s="887">
        <v>0</v>
      </c>
      <c r="I231" s="887">
        <v>2.7838813346236703E-2</v>
      </c>
      <c r="J231" s="887">
        <v>2.6638291118281053E-2</v>
      </c>
      <c r="K231" s="887">
        <v>2.6207591632366194E-3</v>
      </c>
      <c r="L231" s="1167">
        <v>0</v>
      </c>
      <c r="M231" s="1168"/>
      <c r="N231" s="1169"/>
      <c r="O231" s="886">
        <f t="array" ref="O231:Y231">TRANSPOSE(Cls2NCentVMTShr)</f>
        <v>0.1395246673448009</v>
      </c>
      <c r="P231" s="887">
        <v>0.24520988200363547</v>
      </c>
      <c r="Q231" s="887">
        <v>8.1490070736109921E-2</v>
      </c>
      <c r="R231" s="887">
        <v>6.583288215049983E-2</v>
      </c>
      <c r="S231" s="887">
        <v>4.0172226503060141E-2</v>
      </c>
      <c r="T231" s="887">
        <v>1.5984591068864695E-2</v>
      </c>
      <c r="U231" s="887">
        <v>0</v>
      </c>
      <c r="V231" s="887">
        <v>0</v>
      </c>
      <c r="W231" s="887">
        <v>0</v>
      </c>
      <c r="X231" s="887">
        <v>0</v>
      </c>
      <c r="Y231" s="888">
        <v>0</v>
      </c>
      <c r="Z231" s="1168"/>
      <c r="AA231" s="1169"/>
      <c r="AB231" s="1630" t="str">
        <f>"% of miles on f2 for Tech "&amp; RIGHT(O226)&amp;" adopters"</f>
        <v>% of miles on f2 for Tech  adopters</v>
      </c>
      <c r="AC231" s="1631"/>
      <c r="AD231" s="1632"/>
      <c r="AE231" s="897" t="s">
        <v>246</v>
      </c>
      <c r="AF231" s="897"/>
      <c r="AG231" s="897"/>
      <c r="AH231" s="1113" t="s">
        <v>247</v>
      </c>
      <c r="AI231" s="897"/>
    </row>
    <row r="232" spans="1:47" ht="13.5" thickBot="1" x14ac:dyDescent="0.25">
      <c r="A232" s="902" t="s">
        <v>210</v>
      </c>
      <c r="B232" s="893">
        <f t="array" ref="B232:L232">TRANSPOSE(Cls2CentVMT/OPDAYS_Cls2)</f>
        <v>47.272432262826776</v>
      </c>
      <c r="C232" s="894">
        <v>116.15404879045298</v>
      </c>
      <c r="D232" s="894">
        <v>196.36158066360434</v>
      </c>
      <c r="E232" s="894">
        <v>269.56301851798423</v>
      </c>
      <c r="F232" s="894">
        <v>385.43631601986891</v>
      </c>
      <c r="G232" s="894">
        <v>427.66173492444818</v>
      </c>
      <c r="H232" s="894">
        <v>520</v>
      </c>
      <c r="I232" s="894">
        <v>591.51912876803578</v>
      </c>
      <c r="J232" s="894">
        <v>688.70336552103913</v>
      </c>
      <c r="K232" s="894">
        <v>809.04879618738505</v>
      </c>
      <c r="L232" s="895">
        <v>800</v>
      </c>
      <c r="M232" s="891"/>
      <c r="N232" s="892"/>
      <c r="O232" s="893">
        <f t="array" ref="O232:Y232">TRANSPOSE(Cls2NCentVMT/OPDAYS_Cls2)</f>
        <v>46.84416138890699</v>
      </c>
      <c r="P232" s="894">
        <v>115.38648000770841</v>
      </c>
      <c r="Q232" s="894">
        <v>197.38438010908374</v>
      </c>
      <c r="R232" s="894">
        <v>282.10999329750342</v>
      </c>
      <c r="S232" s="894">
        <v>372.00940778680217</v>
      </c>
      <c r="T232" s="894">
        <v>424.46536474865826</v>
      </c>
      <c r="U232" s="894">
        <v>520</v>
      </c>
      <c r="V232" s="894">
        <v>600</v>
      </c>
      <c r="W232" s="894">
        <v>680</v>
      </c>
      <c r="X232" s="894">
        <v>760</v>
      </c>
      <c r="Y232" s="1173">
        <v>800</v>
      </c>
      <c r="Z232" s="903"/>
      <c r="AA232" s="892"/>
      <c r="AB232" s="915" t="s">
        <v>174</v>
      </c>
      <c r="AC232" s="916" t="s">
        <v>15</v>
      </c>
      <c r="AD232" s="917" t="s">
        <v>20</v>
      </c>
      <c r="AE232" s="897" t="s">
        <v>174</v>
      </c>
      <c r="AF232" s="897" t="s">
        <v>15</v>
      </c>
      <c r="AG232" s="897" t="s">
        <v>20</v>
      </c>
      <c r="AH232" s="1113" t="s">
        <v>174</v>
      </c>
      <c r="AI232" s="897" t="s">
        <v>15</v>
      </c>
      <c r="AJ232"/>
      <c r="AK232"/>
      <c r="AL232"/>
      <c r="AM232"/>
      <c r="AN232"/>
      <c r="AO232"/>
      <c r="AP232"/>
      <c r="AQ232"/>
      <c r="AR232"/>
      <c r="AS232"/>
      <c r="AT232"/>
      <c r="AU232"/>
    </row>
    <row r="233" spans="1:47" ht="13.5" thickTop="1" x14ac:dyDescent="0.2">
      <c r="A233" s="335">
        <v>2007</v>
      </c>
      <c r="B233" s="351">
        <v>0</v>
      </c>
      <c r="C233" s="352">
        <v>0</v>
      </c>
      <c r="D233" s="352">
        <v>0</v>
      </c>
      <c r="E233" s="352">
        <v>0</v>
      </c>
      <c r="F233" s="352">
        <v>0</v>
      </c>
      <c r="G233" s="352">
        <v>0</v>
      </c>
      <c r="H233" s="352">
        <v>0</v>
      </c>
      <c r="I233" s="352">
        <v>0</v>
      </c>
      <c r="J233" s="352">
        <v>0</v>
      </c>
      <c r="K233" s="352">
        <v>0</v>
      </c>
      <c r="L233" s="364">
        <v>0</v>
      </c>
      <c r="M233" s="291">
        <f>SUMPRODUCT($B$178:$L$178,$B233:$L233)</f>
        <v>0</v>
      </c>
      <c r="N233" s="293">
        <f>SUMPRODUCT($B$177:$L$177,$B233:$L233)</f>
        <v>0</v>
      </c>
      <c r="O233" s="351">
        <v>0</v>
      </c>
      <c r="P233" s="352">
        <v>0</v>
      </c>
      <c r="Q233" s="352">
        <v>0</v>
      </c>
      <c r="R233" s="352">
        <v>0</v>
      </c>
      <c r="S233" s="352">
        <v>0</v>
      </c>
      <c r="T233" s="352">
        <v>0</v>
      </c>
      <c r="U233" s="352">
        <v>0</v>
      </c>
      <c r="V233" s="352">
        <v>0</v>
      </c>
      <c r="W233" s="352">
        <v>0</v>
      </c>
      <c r="X233" s="352">
        <v>0</v>
      </c>
      <c r="Y233" s="364">
        <v>0</v>
      </c>
      <c r="Z233" s="372">
        <f>SUMPRODUCT($O$178:$Y$178,$O233:$Y233)</f>
        <v>0</v>
      </c>
      <c r="AA233" s="293">
        <f>SUMPRODUCT($O$177:$Y$177,$O233:$Y233)</f>
        <v>0</v>
      </c>
      <c r="AB233" s="91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1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174">
        <f>AB233*AH233+AC233*AI233</f>
        <v>0</v>
      </c>
      <c r="AE233" s="897">
        <f t="shared" ref="AE233:AE247" si="123">SUMPRODUCT($B$74:$L$74,B233:L233)</f>
        <v>0</v>
      </c>
      <c r="AF233" s="897">
        <f t="shared" ref="AF233:AF247" si="124">SUMPRODUCT($O$74:$Y$74,O233:Y233)</f>
        <v>0</v>
      </c>
      <c r="AG233" s="897">
        <f t="shared" ref="AG233:AG247" si="125">SUM(AE233:AF233)</f>
        <v>0</v>
      </c>
      <c r="AH233" s="1113">
        <f>IF(AG233&gt;0,AE233/AG233,0)</f>
        <v>0</v>
      </c>
      <c r="AI233" s="897">
        <f>IF(AG233&gt;0,AF233/AG233,0)</f>
        <v>0</v>
      </c>
    </row>
    <row r="234" spans="1:47" x14ac:dyDescent="0.2">
      <c r="A234" s="336">
        <v>2008</v>
      </c>
      <c r="B234" s="353">
        <v>0</v>
      </c>
      <c r="C234" s="354">
        <v>0</v>
      </c>
      <c r="D234" s="354">
        <v>0</v>
      </c>
      <c r="E234" s="354">
        <v>0</v>
      </c>
      <c r="F234" s="354">
        <v>0</v>
      </c>
      <c r="G234" s="354">
        <v>0</v>
      </c>
      <c r="H234" s="354">
        <v>0</v>
      </c>
      <c r="I234" s="354">
        <v>0</v>
      </c>
      <c r="J234" s="354">
        <v>0</v>
      </c>
      <c r="K234" s="354">
        <v>0</v>
      </c>
      <c r="L234" s="365">
        <v>0</v>
      </c>
      <c r="M234" s="305">
        <f t="shared" ref="M234:M276" si="126">SUMPRODUCT($B$178:$L$178,$B234:$L234)</f>
        <v>0</v>
      </c>
      <c r="N234" s="307">
        <f t="shared" ref="N234:N276" si="127">SUMPRODUCT($B$177:$L$177,$B234:$L234)</f>
        <v>0</v>
      </c>
      <c r="O234" s="353">
        <v>0</v>
      </c>
      <c r="P234" s="354">
        <v>0</v>
      </c>
      <c r="Q234" s="354">
        <v>0</v>
      </c>
      <c r="R234" s="354">
        <v>0</v>
      </c>
      <c r="S234" s="354">
        <v>0</v>
      </c>
      <c r="T234" s="354">
        <v>0</v>
      </c>
      <c r="U234" s="354">
        <v>0</v>
      </c>
      <c r="V234" s="354">
        <v>0</v>
      </c>
      <c r="W234" s="354">
        <v>0</v>
      </c>
      <c r="X234" s="354">
        <v>0</v>
      </c>
      <c r="Y234" s="365">
        <v>0</v>
      </c>
      <c r="Z234" s="305">
        <f t="shared" ref="Z234:Z276" si="128">SUMPRODUCT($O$178:$Y$178,$O234:$Y234)</f>
        <v>0</v>
      </c>
      <c r="AA234" s="307">
        <f t="shared" ref="AA234:AA276" si="129">SUMPRODUCT($O$177:$Y$177,$O234:$Y234)</f>
        <v>0</v>
      </c>
      <c r="AB234" s="91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1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920">
        <f t="shared" ref="AD234:AD276" si="130">AB234*AH234+AC234*AI234</f>
        <v>0</v>
      </c>
      <c r="AE234" s="897">
        <f t="shared" si="123"/>
        <v>0</v>
      </c>
      <c r="AF234" s="897">
        <f t="shared" si="124"/>
        <v>0</v>
      </c>
      <c r="AG234" s="897">
        <f t="shared" si="125"/>
        <v>0</v>
      </c>
      <c r="AH234" s="1113">
        <f t="shared" ref="AH234:AH275" si="131">IF(AG234&gt;0,AE234/AG234,0)</f>
        <v>0</v>
      </c>
      <c r="AI234" s="897">
        <f t="shared" ref="AI234:AI275" si="132">IF(AG234&gt;0,AF234/AG234,0)</f>
        <v>0</v>
      </c>
    </row>
    <row r="235" spans="1:47" x14ac:dyDescent="0.2">
      <c r="A235" s="336">
        <v>2009</v>
      </c>
      <c r="B235" s="353">
        <v>0</v>
      </c>
      <c r="C235" s="354">
        <v>0</v>
      </c>
      <c r="D235" s="354">
        <v>0</v>
      </c>
      <c r="E235" s="354">
        <v>0</v>
      </c>
      <c r="F235" s="354">
        <v>0</v>
      </c>
      <c r="G235" s="354">
        <v>0</v>
      </c>
      <c r="H235" s="354">
        <v>0</v>
      </c>
      <c r="I235" s="354">
        <v>0</v>
      </c>
      <c r="J235" s="354">
        <v>0</v>
      </c>
      <c r="K235" s="354">
        <v>0</v>
      </c>
      <c r="L235" s="365">
        <v>0</v>
      </c>
      <c r="M235" s="305">
        <f t="shared" si="126"/>
        <v>0</v>
      </c>
      <c r="N235" s="307">
        <f t="shared" si="127"/>
        <v>0</v>
      </c>
      <c r="O235" s="353">
        <v>0</v>
      </c>
      <c r="P235" s="354">
        <v>0</v>
      </c>
      <c r="Q235" s="354">
        <v>0</v>
      </c>
      <c r="R235" s="354">
        <v>0</v>
      </c>
      <c r="S235" s="354">
        <v>0</v>
      </c>
      <c r="T235" s="354">
        <v>0</v>
      </c>
      <c r="U235" s="354">
        <v>0</v>
      </c>
      <c r="V235" s="354">
        <v>0</v>
      </c>
      <c r="W235" s="354">
        <v>0</v>
      </c>
      <c r="X235" s="354">
        <v>0</v>
      </c>
      <c r="Y235" s="365">
        <v>0</v>
      </c>
      <c r="Z235" s="305">
        <f t="shared" si="128"/>
        <v>0</v>
      </c>
      <c r="AA235" s="307">
        <f t="shared" si="129"/>
        <v>0</v>
      </c>
      <c r="AB235" s="91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1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920">
        <f t="shared" si="130"/>
        <v>0</v>
      </c>
      <c r="AE235" s="897">
        <f t="shared" si="123"/>
        <v>0</v>
      </c>
      <c r="AF235" s="897">
        <f t="shared" si="124"/>
        <v>0</v>
      </c>
      <c r="AG235" s="897">
        <f t="shared" si="125"/>
        <v>0</v>
      </c>
      <c r="AH235" s="1113">
        <f t="shared" si="131"/>
        <v>0</v>
      </c>
      <c r="AI235" s="897">
        <f t="shared" si="132"/>
        <v>0</v>
      </c>
    </row>
    <row r="236" spans="1:47" ht="13.5" thickBot="1" x14ac:dyDescent="0.25">
      <c r="A236" s="337">
        <v>2010</v>
      </c>
      <c r="B236" s="355">
        <v>0</v>
      </c>
      <c r="C236" s="356">
        <v>0</v>
      </c>
      <c r="D236" s="356">
        <v>0</v>
      </c>
      <c r="E236" s="356">
        <v>0</v>
      </c>
      <c r="F236" s="356">
        <v>0</v>
      </c>
      <c r="G236" s="356">
        <v>0</v>
      </c>
      <c r="H236" s="356">
        <v>0</v>
      </c>
      <c r="I236" s="356">
        <v>0</v>
      </c>
      <c r="J236" s="356">
        <v>0</v>
      </c>
      <c r="K236" s="356">
        <v>0</v>
      </c>
      <c r="L236" s="366">
        <v>0</v>
      </c>
      <c r="M236" s="319">
        <f t="shared" si="126"/>
        <v>0</v>
      </c>
      <c r="N236" s="321">
        <f t="shared" si="127"/>
        <v>0</v>
      </c>
      <c r="O236" s="355">
        <v>0</v>
      </c>
      <c r="P236" s="356">
        <v>0</v>
      </c>
      <c r="Q236" s="356">
        <v>0</v>
      </c>
      <c r="R236" s="356">
        <v>0</v>
      </c>
      <c r="S236" s="356">
        <v>0</v>
      </c>
      <c r="T236" s="356">
        <v>0</v>
      </c>
      <c r="U236" s="356">
        <v>0</v>
      </c>
      <c r="V236" s="356">
        <v>0</v>
      </c>
      <c r="W236" s="356">
        <v>0</v>
      </c>
      <c r="X236" s="356">
        <v>0</v>
      </c>
      <c r="Y236" s="366">
        <v>0</v>
      </c>
      <c r="Z236" s="319">
        <f t="shared" si="128"/>
        <v>0</v>
      </c>
      <c r="AA236" s="321">
        <f t="shared" si="129"/>
        <v>0</v>
      </c>
      <c r="AB236" s="91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1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920">
        <f t="shared" si="130"/>
        <v>0</v>
      </c>
      <c r="AE236" s="897">
        <f t="shared" si="123"/>
        <v>0</v>
      </c>
      <c r="AF236" s="897">
        <f t="shared" si="124"/>
        <v>0</v>
      </c>
      <c r="AG236" s="897">
        <f t="shared" si="125"/>
        <v>0</v>
      </c>
      <c r="AH236" s="1113">
        <f t="shared" si="131"/>
        <v>0</v>
      </c>
      <c r="AI236" s="897">
        <f t="shared" si="132"/>
        <v>0</v>
      </c>
    </row>
    <row r="237" spans="1:47" x14ac:dyDescent="0.2">
      <c r="A237" s="338">
        <v>2011</v>
      </c>
      <c r="B237" s="351">
        <v>0</v>
      </c>
      <c r="C237" s="352">
        <v>0</v>
      </c>
      <c r="D237" s="352">
        <v>0</v>
      </c>
      <c r="E237" s="352">
        <v>0</v>
      </c>
      <c r="F237" s="352">
        <v>0</v>
      </c>
      <c r="G237" s="352">
        <v>0</v>
      </c>
      <c r="H237" s="352">
        <v>0</v>
      </c>
      <c r="I237" s="352">
        <v>0</v>
      </c>
      <c r="J237" s="352">
        <v>0</v>
      </c>
      <c r="K237" s="352">
        <v>0</v>
      </c>
      <c r="L237" s="364">
        <v>0</v>
      </c>
      <c r="M237" s="291">
        <f t="shared" si="126"/>
        <v>0</v>
      </c>
      <c r="N237" s="293">
        <f t="shared" si="127"/>
        <v>0</v>
      </c>
      <c r="O237" s="351">
        <v>0</v>
      </c>
      <c r="P237" s="352">
        <v>0</v>
      </c>
      <c r="Q237" s="352">
        <v>0</v>
      </c>
      <c r="R237" s="352">
        <v>0</v>
      </c>
      <c r="S237" s="352">
        <v>0</v>
      </c>
      <c r="T237" s="352">
        <v>0</v>
      </c>
      <c r="U237" s="352">
        <v>0</v>
      </c>
      <c r="V237" s="352">
        <v>0</v>
      </c>
      <c r="W237" s="352">
        <v>0</v>
      </c>
      <c r="X237" s="352">
        <v>0</v>
      </c>
      <c r="Y237" s="364">
        <v>0</v>
      </c>
      <c r="Z237" s="291">
        <f t="shared" si="128"/>
        <v>0</v>
      </c>
      <c r="AA237" s="293">
        <f t="shared" si="129"/>
        <v>0</v>
      </c>
      <c r="AB237" s="91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1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920">
        <f t="shared" si="130"/>
        <v>0</v>
      </c>
      <c r="AE237" s="897">
        <f t="shared" si="123"/>
        <v>0</v>
      </c>
      <c r="AF237" s="897">
        <f t="shared" si="124"/>
        <v>0</v>
      </c>
      <c r="AG237" s="897">
        <f t="shared" si="125"/>
        <v>0</v>
      </c>
      <c r="AH237" s="1113">
        <f t="shared" si="131"/>
        <v>0</v>
      </c>
      <c r="AI237" s="897">
        <f t="shared" si="132"/>
        <v>0</v>
      </c>
    </row>
    <row r="238" spans="1:47" x14ac:dyDescent="0.2">
      <c r="A238" s="339">
        <v>2012</v>
      </c>
      <c r="B238" s="353">
        <v>0</v>
      </c>
      <c r="C238" s="354">
        <v>0</v>
      </c>
      <c r="D238" s="354">
        <v>0</v>
      </c>
      <c r="E238" s="354">
        <v>0</v>
      </c>
      <c r="F238" s="354">
        <v>0</v>
      </c>
      <c r="G238" s="354">
        <v>0</v>
      </c>
      <c r="H238" s="354">
        <v>0</v>
      </c>
      <c r="I238" s="354">
        <v>0</v>
      </c>
      <c r="J238" s="354">
        <v>0</v>
      </c>
      <c r="K238" s="354">
        <v>0</v>
      </c>
      <c r="L238" s="365">
        <v>0</v>
      </c>
      <c r="M238" s="305">
        <f t="shared" si="126"/>
        <v>0</v>
      </c>
      <c r="N238" s="307">
        <f t="shared" si="127"/>
        <v>0</v>
      </c>
      <c r="O238" s="353">
        <v>0</v>
      </c>
      <c r="P238" s="354">
        <v>0</v>
      </c>
      <c r="Q238" s="354">
        <v>0</v>
      </c>
      <c r="R238" s="354">
        <v>0</v>
      </c>
      <c r="S238" s="354">
        <v>0</v>
      </c>
      <c r="T238" s="354">
        <v>0</v>
      </c>
      <c r="U238" s="354">
        <v>0</v>
      </c>
      <c r="V238" s="354">
        <v>0</v>
      </c>
      <c r="W238" s="354">
        <v>0</v>
      </c>
      <c r="X238" s="354">
        <v>0</v>
      </c>
      <c r="Y238" s="365">
        <v>0</v>
      </c>
      <c r="Z238" s="305">
        <f t="shared" si="128"/>
        <v>0</v>
      </c>
      <c r="AA238" s="307">
        <f t="shared" si="129"/>
        <v>0</v>
      </c>
      <c r="AB238" s="91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1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920">
        <f t="shared" si="130"/>
        <v>0</v>
      </c>
      <c r="AE238" s="897">
        <f t="shared" si="123"/>
        <v>0</v>
      </c>
      <c r="AF238" s="897">
        <f t="shared" si="124"/>
        <v>0</v>
      </c>
      <c r="AG238" s="897">
        <f t="shared" si="125"/>
        <v>0</v>
      </c>
      <c r="AH238" s="1113">
        <f t="shared" si="131"/>
        <v>0</v>
      </c>
      <c r="AI238" s="897">
        <f t="shared" si="132"/>
        <v>0</v>
      </c>
    </row>
    <row r="239" spans="1:47" x14ac:dyDescent="0.2">
      <c r="A239" s="339">
        <v>2013</v>
      </c>
      <c r="B239" s="353">
        <v>0</v>
      </c>
      <c r="C239" s="354">
        <v>0</v>
      </c>
      <c r="D239" s="354">
        <v>0</v>
      </c>
      <c r="E239" s="354">
        <v>0</v>
      </c>
      <c r="F239" s="354">
        <v>0</v>
      </c>
      <c r="G239" s="354">
        <v>0</v>
      </c>
      <c r="H239" s="354">
        <v>0</v>
      </c>
      <c r="I239" s="354">
        <v>0</v>
      </c>
      <c r="J239" s="354">
        <v>0</v>
      </c>
      <c r="K239" s="354">
        <v>0</v>
      </c>
      <c r="L239" s="365">
        <v>0</v>
      </c>
      <c r="M239" s="305">
        <f t="shared" si="126"/>
        <v>0</v>
      </c>
      <c r="N239" s="307">
        <f t="shared" si="127"/>
        <v>0</v>
      </c>
      <c r="O239" s="353">
        <v>0</v>
      </c>
      <c r="P239" s="354">
        <v>0</v>
      </c>
      <c r="Q239" s="354">
        <v>0</v>
      </c>
      <c r="R239" s="354">
        <v>0</v>
      </c>
      <c r="S239" s="354">
        <v>0</v>
      </c>
      <c r="T239" s="354">
        <v>0</v>
      </c>
      <c r="U239" s="354">
        <v>0</v>
      </c>
      <c r="V239" s="354">
        <v>0</v>
      </c>
      <c r="W239" s="354">
        <v>0</v>
      </c>
      <c r="X239" s="354">
        <v>0</v>
      </c>
      <c r="Y239" s="365">
        <v>0</v>
      </c>
      <c r="Z239" s="305">
        <f t="shared" si="128"/>
        <v>0</v>
      </c>
      <c r="AA239" s="307">
        <f t="shared" si="129"/>
        <v>0</v>
      </c>
      <c r="AB239" s="91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1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920">
        <f t="shared" si="130"/>
        <v>0</v>
      </c>
      <c r="AE239" s="897">
        <f t="shared" si="123"/>
        <v>0</v>
      </c>
      <c r="AF239" s="897">
        <f t="shared" si="124"/>
        <v>0</v>
      </c>
      <c r="AG239" s="897">
        <f t="shared" si="125"/>
        <v>0</v>
      </c>
      <c r="AH239" s="1113">
        <f t="shared" si="131"/>
        <v>0</v>
      </c>
      <c r="AI239" s="897">
        <f t="shared" si="132"/>
        <v>0</v>
      </c>
    </row>
    <row r="240" spans="1:47" x14ac:dyDescent="0.2">
      <c r="A240" s="339">
        <v>2014</v>
      </c>
      <c r="B240" s="353">
        <v>0</v>
      </c>
      <c r="C240" s="354">
        <v>0</v>
      </c>
      <c r="D240" s="354">
        <v>0</v>
      </c>
      <c r="E240" s="354">
        <v>0</v>
      </c>
      <c r="F240" s="354">
        <v>0</v>
      </c>
      <c r="G240" s="354">
        <v>0</v>
      </c>
      <c r="H240" s="354">
        <v>0</v>
      </c>
      <c r="I240" s="354">
        <v>0</v>
      </c>
      <c r="J240" s="354">
        <v>0</v>
      </c>
      <c r="K240" s="354">
        <v>0</v>
      </c>
      <c r="L240" s="365">
        <v>0</v>
      </c>
      <c r="M240" s="305">
        <f t="shared" si="126"/>
        <v>0</v>
      </c>
      <c r="N240" s="307">
        <f t="shared" si="127"/>
        <v>0</v>
      </c>
      <c r="O240" s="353">
        <v>0</v>
      </c>
      <c r="P240" s="354">
        <v>0</v>
      </c>
      <c r="Q240" s="354">
        <v>0</v>
      </c>
      <c r="R240" s="354">
        <v>0</v>
      </c>
      <c r="S240" s="354">
        <v>0</v>
      </c>
      <c r="T240" s="354">
        <v>0</v>
      </c>
      <c r="U240" s="354">
        <v>0</v>
      </c>
      <c r="V240" s="354">
        <v>0</v>
      </c>
      <c r="W240" s="354">
        <v>0</v>
      </c>
      <c r="X240" s="354">
        <v>0</v>
      </c>
      <c r="Y240" s="365">
        <v>0</v>
      </c>
      <c r="Z240" s="305">
        <f t="shared" si="128"/>
        <v>0</v>
      </c>
      <c r="AA240" s="307">
        <f t="shared" si="129"/>
        <v>0</v>
      </c>
      <c r="AB240" s="91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1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920">
        <f t="shared" si="130"/>
        <v>0</v>
      </c>
      <c r="AE240" s="897">
        <f t="shared" si="123"/>
        <v>0</v>
      </c>
      <c r="AF240" s="897">
        <f t="shared" si="124"/>
        <v>0</v>
      </c>
      <c r="AG240" s="897">
        <f t="shared" si="125"/>
        <v>0</v>
      </c>
      <c r="AH240" s="1113">
        <f t="shared" si="131"/>
        <v>0</v>
      </c>
      <c r="AI240" s="897">
        <f t="shared" si="132"/>
        <v>0</v>
      </c>
    </row>
    <row r="241" spans="1:35" ht="13.5" thickBot="1" x14ac:dyDescent="0.25">
      <c r="A241" s="337">
        <v>2015</v>
      </c>
      <c r="B241" s="355">
        <v>0</v>
      </c>
      <c r="C241" s="356">
        <v>0</v>
      </c>
      <c r="D241" s="356">
        <v>0</v>
      </c>
      <c r="E241" s="356">
        <v>0</v>
      </c>
      <c r="F241" s="356">
        <v>0</v>
      </c>
      <c r="G241" s="356">
        <v>0</v>
      </c>
      <c r="H241" s="356">
        <v>0</v>
      </c>
      <c r="I241" s="356">
        <v>0</v>
      </c>
      <c r="J241" s="356">
        <v>0</v>
      </c>
      <c r="K241" s="356">
        <v>0</v>
      </c>
      <c r="L241" s="366">
        <v>0</v>
      </c>
      <c r="M241" s="319">
        <f t="shared" si="126"/>
        <v>0</v>
      </c>
      <c r="N241" s="321">
        <f t="shared" si="127"/>
        <v>0</v>
      </c>
      <c r="O241" s="355">
        <v>0</v>
      </c>
      <c r="P241" s="356">
        <v>0</v>
      </c>
      <c r="Q241" s="356">
        <v>0</v>
      </c>
      <c r="R241" s="356">
        <v>0</v>
      </c>
      <c r="S241" s="356">
        <v>0</v>
      </c>
      <c r="T241" s="356">
        <v>0</v>
      </c>
      <c r="U241" s="356">
        <v>0</v>
      </c>
      <c r="V241" s="356">
        <v>0</v>
      </c>
      <c r="W241" s="356">
        <v>0</v>
      </c>
      <c r="X241" s="356">
        <v>0</v>
      </c>
      <c r="Y241" s="366">
        <v>0</v>
      </c>
      <c r="Z241" s="319">
        <f t="shared" si="128"/>
        <v>0</v>
      </c>
      <c r="AA241" s="321">
        <f t="shared" si="129"/>
        <v>0</v>
      </c>
      <c r="AB241" s="91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1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920">
        <f t="shared" si="130"/>
        <v>0</v>
      </c>
      <c r="AE241" s="897">
        <f t="shared" si="123"/>
        <v>0</v>
      </c>
      <c r="AF241" s="897">
        <f t="shared" si="124"/>
        <v>0</v>
      </c>
      <c r="AG241" s="897">
        <f t="shared" si="125"/>
        <v>0</v>
      </c>
      <c r="AH241" s="1113">
        <f t="shared" si="131"/>
        <v>0</v>
      </c>
      <c r="AI241" s="897">
        <f t="shared" si="132"/>
        <v>0</v>
      </c>
    </row>
    <row r="242" spans="1:35" x14ac:dyDescent="0.2">
      <c r="A242" s="338">
        <v>2016</v>
      </c>
      <c r="B242" s="351">
        <v>0</v>
      </c>
      <c r="C242" s="352">
        <v>0</v>
      </c>
      <c r="D242" s="352">
        <v>0</v>
      </c>
      <c r="E242" s="352">
        <v>0</v>
      </c>
      <c r="F242" s="352">
        <v>0</v>
      </c>
      <c r="G242" s="352">
        <v>0</v>
      </c>
      <c r="H242" s="352">
        <v>0</v>
      </c>
      <c r="I242" s="352">
        <v>0</v>
      </c>
      <c r="J242" s="352">
        <v>0</v>
      </c>
      <c r="K242" s="352">
        <v>0</v>
      </c>
      <c r="L242" s="364">
        <v>0</v>
      </c>
      <c r="M242" s="291">
        <f t="shared" si="126"/>
        <v>0</v>
      </c>
      <c r="N242" s="293">
        <f t="shared" si="127"/>
        <v>0</v>
      </c>
      <c r="O242" s="351">
        <v>0</v>
      </c>
      <c r="P242" s="352">
        <v>0</v>
      </c>
      <c r="Q242" s="352">
        <v>0</v>
      </c>
      <c r="R242" s="352">
        <v>0</v>
      </c>
      <c r="S242" s="352">
        <v>0</v>
      </c>
      <c r="T242" s="352">
        <v>0</v>
      </c>
      <c r="U242" s="352">
        <v>0</v>
      </c>
      <c r="V242" s="352">
        <v>0</v>
      </c>
      <c r="W242" s="352">
        <v>0</v>
      </c>
      <c r="X242" s="352">
        <v>0</v>
      </c>
      <c r="Y242" s="364">
        <v>0</v>
      </c>
      <c r="Z242" s="291">
        <f t="shared" si="128"/>
        <v>0</v>
      </c>
      <c r="AA242" s="293">
        <f t="shared" si="129"/>
        <v>0</v>
      </c>
      <c r="AB242" s="91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1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920">
        <f t="shared" si="130"/>
        <v>0</v>
      </c>
      <c r="AE242" s="897">
        <f t="shared" si="123"/>
        <v>0</v>
      </c>
      <c r="AF242" s="897">
        <f t="shared" si="124"/>
        <v>0</v>
      </c>
      <c r="AG242" s="897">
        <f t="shared" si="125"/>
        <v>0</v>
      </c>
      <c r="AH242" s="1113">
        <f t="shared" si="131"/>
        <v>0</v>
      </c>
      <c r="AI242" s="897">
        <f t="shared" si="132"/>
        <v>0</v>
      </c>
    </row>
    <row r="243" spans="1:35" x14ac:dyDescent="0.2">
      <c r="A243" s="339">
        <v>2017</v>
      </c>
      <c r="B243" s="353">
        <v>0</v>
      </c>
      <c r="C243" s="354">
        <v>0</v>
      </c>
      <c r="D243" s="354">
        <v>0</v>
      </c>
      <c r="E243" s="354">
        <v>0</v>
      </c>
      <c r="F243" s="354">
        <v>0</v>
      </c>
      <c r="G243" s="354">
        <v>0</v>
      </c>
      <c r="H243" s="354">
        <v>0</v>
      </c>
      <c r="I243" s="354">
        <v>0</v>
      </c>
      <c r="J243" s="354">
        <v>0</v>
      </c>
      <c r="K243" s="354">
        <v>0</v>
      </c>
      <c r="L243" s="365">
        <v>0</v>
      </c>
      <c r="M243" s="305">
        <f t="shared" si="126"/>
        <v>0</v>
      </c>
      <c r="N243" s="307">
        <f t="shared" si="127"/>
        <v>0</v>
      </c>
      <c r="O243" s="353">
        <v>0</v>
      </c>
      <c r="P243" s="354">
        <v>0</v>
      </c>
      <c r="Q243" s="354">
        <v>0</v>
      </c>
      <c r="R243" s="354">
        <v>0</v>
      </c>
      <c r="S243" s="354">
        <v>0</v>
      </c>
      <c r="T243" s="354">
        <v>0</v>
      </c>
      <c r="U243" s="354">
        <v>0</v>
      </c>
      <c r="V243" s="354">
        <v>0</v>
      </c>
      <c r="W243" s="354">
        <v>0</v>
      </c>
      <c r="X243" s="354">
        <v>0</v>
      </c>
      <c r="Y243" s="365">
        <v>0</v>
      </c>
      <c r="Z243" s="305">
        <f t="shared" si="128"/>
        <v>0</v>
      </c>
      <c r="AA243" s="307">
        <f t="shared" si="129"/>
        <v>0</v>
      </c>
      <c r="AB243" s="91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1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920">
        <f t="shared" si="130"/>
        <v>0</v>
      </c>
      <c r="AE243" s="897">
        <f t="shared" si="123"/>
        <v>0</v>
      </c>
      <c r="AF243" s="897">
        <f t="shared" si="124"/>
        <v>0</v>
      </c>
      <c r="AG243" s="897">
        <f t="shared" si="125"/>
        <v>0</v>
      </c>
      <c r="AH243" s="1113">
        <f t="shared" si="131"/>
        <v>0</v>
      </c>
      <c r="AI243" s="897">
        <f t="shared" si="132"/>
        <v>0</v>
      </c>
    </row>
    <row r="244" spans="1:35" x14ac:dyDescent="0.2">
      <c r="A244" s="339">
        <v>2018</v>
      </c>
      <c r="B244" s="353">
        <v>0</v>
      </c>
      <c r="C244" s="354">
        <v>0</v>
      </c>
      <c r="D244" s="354">
        <v>0</v>
      </c>
      <c r="E244" s="354">
        <v>0</v>
      </c>
      <c r="F244" s="354">
        <v>0</v>
      </c>
      <c r="G244" s="354">
        <v>0</v>
      </c>
      <c r="H244" s="354">
        <v>0</v>
      </c>
      <c r="I244" s="354">
        <v>0</v>
      </c>
      <c r="J244" s="354">
        <v>0</v>
      </c>
      <c r="K244" s="354">
        <v>0</v>
      </c>
      <c r="L244" s="365">
        <v>0</v>
      </c>
      <c r="M244" s="305">
        <f t="shared" si="126"/>
        <v>0</v>
      </c>
      <c r="N244" s="307">
        <f t="shared" si="127"/>
        <v>0</v>
      </c>
      <c r="O244" s="353">
        <v>0</v>
      </c>
      <c r="P244" s="354">
        <v>0</v>
      </c>
      <c r="Q244" s="354">
        <v>0</v>
      </c>
      <c r="R244" s="354">
        <v>0</v>
      </c>
      <c r="S244" s="354">
        <v>0</v>
      </c>
      <c r="T244" s="354">
        <v>0</v>
      </c>
      <c r="U244" s="354">
        <v>0</v>
      </c>
      <c r="V244" s="354">
        <v>0</v>
      </c>
      <c r="W244" s="354">
        <v>0</v>
      </c>
      <c r="X244" s="354">
        <v>0</v>
      </c>
      <c r="Y244" s="365">
        <v>0</v>
      </c>
      <c r="Z244" s="305">
        <f t="shared" si="128"/>
        <v>0</v>
      </c>
      <c r="AA244" s="307">
        <f t="shared" si="129"/>
        <v>0</v>
      </c>
      <c r="AB244" s="91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1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920">
        <f t="shared" si="130"/>
        <v>0</v>
      </c>
      <c r="AE244" s="897">
        <f t="shared" si="123"/>
        <v>0</v>
      </c>
      <c r="AF244" s="897">
        <f t="shared" si="124"/>
        <v>0</v>
      </c>
      <c r="AG244" s="897">
        <f t="shared" si="125"/>
        <v>0</v>
      </c>
      <c r="AH244" s="1113">
        <f t="shared" si="131"/>
        <v>0</v>
      </c>
      <c r="AI244" s="897">
        <f t="shared" si="132"/>
        <v>0</v>
      </c>
    </row>
    <row r="245" spans="1:35" x14ac:dyDescent="0.2">
      <c r="A245" s="339">
        <v>2019</v>
      </c>
      <c r="B245" s="353">
        <v>0</v>
      </c>
      <c r="C245" s="354">
        <v>0</v>
      </c>
      <c r="D245" s="354">
        <v>0</v>
      </c>
      <c r="E245" s="354">
        <v>0</v>
      </c>
      <c r="F245" s="354">
        <v>0</v>
      </c>
      <c r="G245" s="354">
        <v>0</v>
      </c>
      <c r="H245" s="354">
        <v>0</v>
      </c>
      <c r="I245" s="354">
        <v>0</v>
      </c>
      <c r="J245" s="354">
        <v>0</v>
      </c>
      <c r="K245" s="354">
        <v>0</v>
      </c>
      <c r="L245" s="365">
        <v>0</v>
      </c>
      <c r="M245" s="305">
        <f t="shared" si="126"/>
        <v>0</v>
      </c>
      <c r="N245" s="307">
        <f t="shared" si="127"/>
        <v>0</v>
      </c>
      <c r="O245" s="353">
        <v>0</v>
      </c>
      <c r="P245" s="354">
        <v>0</v>
      </c>
      <c r="Q245" s="354">
        <v>0</v>
      </c>
      <c r="R245" s="354">
        <v>0</v>
      </c>
      <c r="S245" s="354">
        <v>0</v>
      </c>
      <c r="T245" s="354">
        <v>0</v>
      </c>
      <c r="U245" s="354">
        <v>0</v>
      </c>
      <c r="V245" s="354">
        <v>0</v>
      </c>
      <c r="W245" s="354">
        <v>0</v>
      </c>
      <c r="X245" s="354">
        <v>0</v>
      </c>
      <c r="Y245" s="365">
        <v>0</v>
      </c>
      <c r="Z245" s="305">
        <f t="shared" si="128"/>
        <v>0</v>
      </c>
      <c r="AA245" s="307">
        <f t="shared" si="129"/>
        <v>0</v>
      </c>
      <c r="AB245" s="91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1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920">
        <f t="shared" si="130"/>
        <v>0</v>
      </c>
      <c r="AE245" s="897">
        <f t="shared" si="123"/>
        <v>0</v>
      </c>
      <c r="AF245" s="897">
        <f t="shared" si="124"/>
        <v>0</v>
      </c>
      <c r="AG245" s="897">
        <f t="shared" si="125"/>
        <v>0</v>
      </c>
      <c r="AH245" s="1113">
        <f t="shared" si="131"/>
        <v>0</v>
      </c>
      <c r="AI245" s="897">
        <f t="shared" si="132"/>
        <v>0</v>
      </c>
    </row>
    <row r="246" spans="1:35" ht="13.5" thickBot="1" x14ac:dyDescent="0.25">
      <c r="A246" s="337">
        <v>2020</v>
      </c>
      <c r="B246" s="355">
        <v>0</v>
      </c>
      <c r="C246" s="356">
        <v>0</v>
      </c>
      <c r="D246" s="356">
        <v>0</v>
      </c>
      <c r="E246" s="356">
        <v>0</v>
      </c>
      <c r="F246" s="356">
        <v>0</v>
      </c>
      <c r="G246" s="356">
        <v>0</v>
      </c>
      <c r="H246" s="356">
        <v>0</v>
      </c>
      <c r="I246" s="356">
        <v>0</v>
      </c>
      <c r="J246" s="356">
        <v>0</v>
      </c>
      <c r="K246" s="356">
        <v>0</v>
      </c>
      <c r="L246" s="366">
        <v>0</v>
      </c>
      <c r="M246" s="319">
        <f t="shared" si="126"/>
        <v>0</v>
      </c>
      <c r="N246" s="321">
        <f t="shared" si="127"/>
        <v>0</v>
      </c>
      <c r="O246" s="355">
        <v>0</v>
      </c>
      <c r="P246" s="356">
        <v>0</v>
      </c>
      <c r="Q246" s="356">
        <v>0</v>
      </c>
      <c r="R246" s="356">
        <v>0</v>
      </c>
      <c r="S246" s="356">
        <v>0</v>
      </c>
      <c r="T246" s="356">
        <v>0</v>
      </c>
      <c r="U246" s="356">
        <v>0</v>
      </c>
      <c r="V246" s="356">
        <v>0</v>
      </c>
      <c r="W246" s="356">
        <v>0</v>
      </c>
      <c r="X246" s="356">
        <v>0</v>
      </c>
      <c r="Y246" s="366">
        <v>0</v>
      </c>
      <c r="Z246" s="319">
        <f t="shared" si="128"/>
        <v>0</v>
      </c>
      <c r="AA246" s="321">
        <f t="shared" si="129"/>
        <v>0</v>
      </c>
      <c r="AB246" s="91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1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920">
        <f t="shared" si="130"/>
        <v>0</v>
      </c>
      <c r="AE246" s="897">
        <f t="shared" si="123"/>
        <v>0</v>
      </c>
      <c r="AF246" s="897">
        <f t="shared" si="124"/>
        <v>0</v>
      </c>
      <c r="AG246" s="897">
        <f t="shared" si="125"/>
        <v>0</v>
      </c>
      <c r="AH246" s="1113">
        <f t="shared" si="131"/>
        <v>0</v>
      </c>
      <c r="AI246" s="897">
        <f t="shared" si="132"/>
        <v>0</v>
      </c>
    </row>
    <row r="247" spans="1:35" x14ac:dyDescent="0.2">
      <c r="A247" s="338">
        <v>2021</v>
      </c>
      <c r="B247" s="351">
        <v>0</v>
      </c>
      <c r="C247" s="352">
        <v>0</v>
      </c>
      <c r="D247" s="352">
        <v>0</v>
      </c>
      <c r="E247" s="352">
        <v>0</v>
      </c>
      <c r="F247" s="352">
        <v>0</v>
      </c>
      <c r="G247" s="352">
        <v>0</v>
      </c>
      <c r="H247" s="352">
        <v>0</v>
      </c>
      <c r="I247" s="352">
        <v>0</v>
      </c>
      <c r="J247" s="352">
        <v>0</v>
      </c>
      <c r="K247" s="352">
        <v>0</v>
      </c>
      <c r="L247" s="364">
        <v>0</v>
      </c>
      <c r="M247" s="291">
        <f t="shared" si="126"/>
        <v>0</v>
      </c>
      <c r="N247" s="293">
        <f t="shared" si="127"/>
        <v>0</v>
      </c>
      <c r="O247" s="351">
        <v>0</v>
      </c>
      <c r="P247" s="352">
        <v>0</v>
      </c>
      <c r="Q247" s="352">
        <v>0</v>
      </c>
      <c r="R247" s="352">
        <v>0</v>
      </c>
      <c r="S247" s="352">
        <v>0</v>
      </c>
      <c r="T247" s="352">
        <v>0</v>
      </c>
      <c r="U247" s="352">
        <v>0</v>
      </c>
      <c r="V247" s="352">
        <v>0</v>
      </c>
      <c r="W247" s="352">
        <v>0</v>
      </c>
      <c r="X247" s="352">
        <v>0</v>
      </c>
      <c r="Y247" s="364">
        <v>0</v>
      </c>
      <c r="Z247" s="291">
        <f t="shared" si="128"/>
        <v>0</v>
      </c>
      <c r="AA247" s="293">
        <f t="shared" si="129"/>
        <v>0</v>
      </c>
      <c r="AB247" s="91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1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920">
        <f t="shared" si="130"/>
        <v>0</v>
      </c>
      <c r="AE247" s="897">
        <f t="shared" si="123"/>
        <v>0</v>
      </c>
      <c r="AF247" s="897">
        <f t="shared" si="124"/>
        <v>0</v>
      </c>
      <c r="AG247" s="897">
        <f t="shared" si="125"/>
        <v>0</v>
      </c>
      <c r="AH247" s="1113">
        <f t="shared" si="131"/>
        <v>0</v>
      </c>
      <c r="AI247" s="897">
        <f t="shared" si="132"/>
        <v>0</v>
      </c>
    </row>
    <row r="248" spans="1:35" x14ac:dyDescent="0.2">
      <c r="A248" s="339">
        <v>2022</v>
      </c>
      <c r="B248" s="353">
        <v>0</v>
      </c>
      <c r="C248" s="354">
        <v>0</v>
      </c>
      <c r="D248" s="354">
        <v>0</v>
      </c>
      <c r="E248" s="354">
        <v>0</v>
      </c>
      <c r="F248" s="354">
        <v>0</v>
      </c>
      <c r="G248" s="354">
        <v>0</v>
      </c>
      <c r="H248" s="354">
        <v>0</v>
      </c>
      <c r="I248" s="354">
        <v>0</v>
      </c>
      <c r="J248" s="354">
        <v>0</v>
      </c>
      <c r="K248" s="354">
        <v>0</v>
      </c>
      <c r="L248" s="365">
        <v>0</v>
      </c>
      <c r="M248" s="305">
        <f t="shared" si="126"/>
        <v>0</v>
      </c>
      <c r="N248" s="307">
        <f t="shared" si="127"/>
        <v>0</v>
      </c>
      <c r="O248" s="353">
        <v>0</v>
      </c>
      <c r="P248" s="354">
        <v>0</v>
      </c>
      <c r="Q248" s="354">
        <v>0</v>
      </c>
      <c r="R248" s="354">
        <v>0</v>
      </c>
      <c r="S248" s="354">
        <v>0</v>
      </c>
      <c r="T248" s="354">
        <v>0</v>
      </c>
      <c r="U248" s="354">
        <v>0</v>
      </c>
      <c r="V248" s="354">
        <v>0</v>
      </c>
      <c r="W248" s="354">
        <v>0</v>
      </c>
      <c r="X248" s="354">
        <v>0</v>
      </c>
      <c r="Y248" s="365">
        <v>0</v>
      </c>
      <c r="Z248" s="305">
        <f t="shared" si="128"/>
        <v>0</v>
      </c>
      <c r="AA248" s="307">
        <f t="shared" si="129"/>
        <v>0</v>
      </c>
      <c r="AB248" s="91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1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920">
        <f t="shared" si="130"/>
        <v>0</v>
      </c>
      <c r="AE248" s="897">
        <f>SUMPRODUCT($B$74:$L$74,B248:L248)</f>
        <v>0</v>
      </c>
      <c r="AF248" s="897">
        <f>SUMPRODUCT($O$74:$Y$74,O248:Y248)</f>
        <v>0</v>
      </c>
      <c r="AG248" s="897">
        <f>SUM(AE248:AF248)</f>
        <v>0</v>
      </c>
      <c r="AH248" s="1113">
        <f t="shared" si="131"/>
        <v>0</v>
      </c>
      <c r="AI248" s="897">
        <f t="shared" si="132"/>
        <v>0</v>
      </c>
    </row>
    <row r="249" spans="1:35" x14ac:dyDescent="0.2">
      <c r="A249" s="339">
        <v>2023</v>
      </c>
      <c r="B249" s="353">
        <v>0</v>
      </c>
      <c r="C249" s="354">
        <v>0</v>
      </c>
      <c r="D249" s="354">
        <v>0</v>
      </c>
      <c r="E249" s="354">
        <v>0</v>
      </c>
      <c r="F249" s="354">
        <v>0</v>
      </c>
      <c r="G249" s="354">
        <v>0</v>
      </c>
      <c r="H249" s="354">
        <v>0</v>
      </c>
      <c r="I249" s="354">
        <v>0</v>
      </c>
      <c r="J249" s="354">
        <v>0</v>
      </c>
      <c r="K249" s="354">
        <v>0</v>
      </c>
      <c r="L249" s="365">
        <v>0</v>
      </c>
      <c r="M249" s="305">
        <f t="shared" si="126"/>
        <v>0</v>
      </c>
      <c r="N249" s="307">
        <f t="shared" si="127"/>
        <v>0</v>
      </c>
      <c r="O249" s="353">
        <v>0</v>
      </c>
      <c r="P249" s="354">
        <v>0</v>
      </c>
      <c r="Q249" s="354">
        <v>0</v>
      </c>
      <c r="R249" s="354">
        <v>0</v>
      </c>
      <c r="S249" s="354">
        <v>0</v>
      </c>
      <c r="T249" s="354">
        <v>0</v>
      </c>
      <c r="U249" s="354">
        <v>0</v>
      </c>
      <c r="V249" s="354">
        <v>0</v>
      </c>
      <c r="W249" s="354">
        <v>0</v>
      </c>
      <c r="X249" s="354">
        <v>0</v>
      </c>
      <c r="Y249" s="365">
        <v>0</v>
      </c>
      <c r="Z249" s="305">
        <f t="shared" si="128"/>
        <v>0</v>
      </c>
      <c r="AA249" s="307">
        <f t="shared" si="129"/>
        <v>0</v>
      </c>
      <c r="AB249" s="91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1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920">
        <f t="shared" si="130"/>
        <v>0</v>
      </c>
      <c r="AE249" s="897">
        <f t="shared" ref="AE249:AE275" si="133">SUMPRODUCT($B$74:$L$74,B249:L249)</f>
        <v>0</v>
      </c>
      <c r="AF249" s="897">
        <f t="shared" ref="AF249:AF275" si="134">SUMPRODUCT($O$74:$Y$74,O249:Y249)</f>
        <v>0</v>
      </c>
      <c r="AG249" s="897">
        <f t="shared" ref="AG249:AG275" si="135">SUM(AE249:AF249)</f>
        <v>0</v>
      </c>
      <c r="AH249" s="1113">
        <f t="shared" si="131"/>
        <v>0</v>
      </c>
      <c r="AI249" s="897">
        <f t="shared" si="132"/>
        <v>0</v>
      </c>
    </row>
    <row r="250" spans="1:35" x14ac:dyDescent="0.2">
      <c r="A250" s="339">
        <v>2024</v>
      </c>
      <c r="B250" s="353">
        <v>0</v>
      </c>
      <c r="C250" s="354">
        <v>0</v>
      </c>
      <c r="D250" s="354">
        <v>0</v>
      </c>
      <c r="E250" s="354">
        <v>0</v>
      </c>
      <c r="F250" s="354">
        <v>0</v>
      </c>
      <c r="G250" s="354">
        <v>0</v>
      </c>
      <c r="H250" s="354">
        <v>0</v>
      </c>
      <c r="I250" s="354">
        <v>0</v>
      </c>
      <c r="J250" s="354">
        <v>0</v>
      </c>
      <c r="K250" s="354">
        <v>0</v>
      </c>
      <c r="L250" s="365">
        <v>0</v>
      </c>
      <c r="M250" s="305">
        <f t="shared" si="126"/>
        <v>0</v>
      </c>
      <c r="N250" s="307">
        <f t="shared" si="127"/>
        <v>0</v>
      </c>
      <c r="O250" s="353">
        <v>0</v>
      </c>
      <c r="P250" s="354">
        <v>0</v>
      </c>
      <c r="Q250" s="354">
        <v>0</v>
      </c>
      <c r="R250" s="354">
        <v>0</v>
      </c>
      <c r="S250" s="354">
        <v>0</v>
      </c>
      <c r="T250" s="354">
        <v>0</v>
      </c>
      <c r="U250" s="354">
        <v>0</v>
      </c>
      <c r="V250" s="354">
        <v>0</v>
      </c>
      <c r="W250" s="354">
        <v>0</v>
      </c>
      <c r="X250" s="354">
        <v>0</v>
      </c>
      <c r="Y250" s="365">
        <v>0</v>
      </c>
      <c r="Z250" s="305">
        <f t="shared" si="128"/>
        <v>0</v>
      </c>
      <c r="AA250" s="307">
        <f t="shared" si="129"/>
        <v>0</v>
      </c>
      <c r="AB250" s="91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1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920">
        <f t="shared" si="130"/>
        <v>0</v>
      </c>
      <c r="AE250" s="897">
        <f t="shared" si="133"/>
        <v>0</v>
      </c>
      <c r="AF250" s="897">
        <f t="shared" si="134"/>
        <v>0</v>
      </c>
      <c r="AG250" s="897">
        <f t="shared" si="135"/>
        <v>0</v>
      </c>
      <c r="AH250" s="1113">
        <f t="shared" si="131"/>
        <v>0</v>
      </c>
      <c r="AI250" s="897">
        <f t="shared" si="132"/>
        <v>0</v>
      </c>
    </row>
    <row r="251" spans="1:35" ht="13.5" thickBot="1" x14ac:dyDescent="0.25">
      <c r="A251" s="337">
        <v>2025</v>
      </c>
      <c r="B251" s="355">
        <v>0</v>
      </c>
      <c r="C251" s="356">
        <v>0</v>
      </c>
      <c r="D251" s="356">
        <v>0</v>
      </c>
      <c r="E251" s="356">
        <v>0</v>
      </c>
      <c r="F251" s="356">
        <v>0</v>
      </c>
      <c r="G251" s="356">
        <v>0</v>
      </c>
      <c r="H251" s="356">
        <v>0</v>
      </c>
      <c r="I251" s="356">
        <v>0</v>
      </c>
      <c r="J251" s="356">
        <v>0</v>
      </c>
      <c r="K251" s="356">
        <v>0</v>
      </c>
      <c r="L251" s="366">
        <v>0</v>
      </c>
      <c r="M251" s="319">
        <f t="shared" si="126"/>
        <v>0</v>
      </c>
      <c r="N251" s="321">
        <f t="shared" si="127"/>
        <v>0</v>
      </c>
      <c r="O251" s="355">
        <v>0</v>
      </c>
      <c r="P251" s="356">
        <v>0</v>
      </c>
      <c r="Q251" s="356">
        <v>0</v>
      </c>
      <c r="R251" s="356">
        <v>0</v>
      </c>
      <c r="S251" s="356">
        <v>0</v>
      </c>
      <c r="T251" s="356">
        <v>0</v>
      </c>
      <c r="U251" s="356">
        <v>0</v>
      </c>
      <c r="V251" s="356">
        <v>0</v>
      </c>
      <c r="W251" s="356">
        <v>0</v>
      </c>
      <c r="X251" s="356">
        <v>0</v>
      </c>
      <c r="Y251" s="366">
        <v>0</v>
      </c>
      <c r="Z251" s="319">
        <f t="shared" si="128"/>
        <v>0</v>
      </c>
      <c r="AA251" s="321">
        <f t="shared" si="129"/>
        <v>0</v>
      </c>
      <c r="AB251" s="91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1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920">
        <f t="shared" si="130"/>
        <v>0</v>
      </c>
      <c r="AE251" s="897">
        <f t="shared" si="133"/>
        <v>0</v>
      </c>
      <c r="AF251" s="897">
        <f t="shared" si="134"/>
        <v>0</v>
      </c>
      <c r="AG251" s="897">
        <f t="shared" si="135"/>
        <v>0</v>
      </c>
      <c r="AH251" s="1113">
        <f t="shared" si="131"/>
        <v>0</v>
      </c>
      <c r="AI251" s="897">
        <f t="shared" si="132"/>
        <v>0</v>
      </c>
    </row>
    <row r="252" spans="1:35" x14ac:dyDescent="0.2">
      <c r="A252" s="338">
        <v>2026</v>
      </c>
      <c r="B252" s="351">
        <v>0</v>
      </c>
      <c r="C252" s="352">
        <v>0</v>
      </c>
      <c r="D252" s="352">
        <v>0</v>
      </c>
      <c r="E252" s="352">
        <v>0</v>
      </c>
      <c r="F252" s="352">
        <v>0</v>
      </c>
      <c r="G252" s="352">
        <v>0</v>
      </c>
      <c r="H252" s="352">
        <v>0</v>
      </c>
      <c r="I252" s="352">
        <v>0</v>
      </c>
      <c r="J252" s="352">
        <v>0</v>
      </c>
      <c r="K252" s="352">
        <v>0</v>
      </c>
      <c r="L252" s="364">
        <v>0</v>
      </c>
      <c r="M252" s="291">
        <f t="shared" si="126"/>
        <v>0</v>
      </c>
      <c r="N252" s="293">
        <f t="shared" si="127"/>
        <v>0</v>
      </c>
      <c r="O252" s="351">
        <v>0</v>
      </c>
      <c r="P252" s="352">
        <v>0</v>
      </c>
      <c r="Q252" s="352">
        <v>0</v>
      </c>
      <c r="R252" s="352">
        <v>0</v>
      </c>
      <c r="S252" s="352">
        <v>0</v>
      </c>
      <c r="T252" s="352">
        <v>0</v>
      </c>
      <c r="U252" s="352">
        <v>0</v>
      </c>
      <c r="V252" s="352">
        <v>0</v>
      </c>
      <c r="W252" s="352">
        <v>0</v>
      </c>
      <c r="X252" s="352">
        <v>0</v>
      </c>
      <c r="Y252" s="364">
        <v>0</v>
      </c>
      <c r="Z252" s="291">
        <f t="shared" si="128"/>
        <v>0</v>
      </c>
      <c r="AA252" s="293">
        <f t="shared" si="129"/>
        <v>0</v>
      </c>
      <c r="AB252" s="91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1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920">
        <f t="shared" si="130"/>
        <v>0</v>
      </c>
      <c r="AE252" s="897">
        <f t="shared" si="133"/>
        <v>0</v>
      </c>
      <c r="AF252" s="897">
        <f t="shared" si="134"/>
        <v>0</v>
      </c>
      <c r="AG252" s="897">
        <f t="shared" si="135"/>
        <v>0</v>
      </c>
      <c r="AH252" s="1113">
        <f t="shared" si="131"/>
        <v>0</v>
      </c>
      <c r="AI252" s="897">
        <f t="shared" si="132"/>
        <v>0</v>
      </c>
    </row>
    <row r="253" spans="1:35" x14ac:dyDescent="0.2">
      <c r="A253" s="339">
        <v>2027</v>
      </c>
      <c r="B253" s="353">
        <v>0</v>
      </c>
      <c r="C253" s="354">
        <v>0</v>
      </c>
      <c r="D253" s="354">
        <v>0</v>
      </c>
      <c r="E253" s="354">
        <v>0</v>
      </c>
      <c r="F253" s="354">
        <v>0</v>
      </c>
      <c r="G253" s="354">
        <v>0</v>
      </c>
      <c r="H253" s="354">
        <v>0</v>
      </c>
      <c r="I253" s="354">
        <v>0</v>
      </c>
      <c r="J253" s="354">
        <v>0</v>
      </c>
      <c r="K253" s="354">
        <v>0</v>
      </c>
      <c r="L253" s="365">
        <v>0</v>
      </c>
      <c r="M253" s="305">
        <f t="shared" si="126"/>
        <v>0</v>
      </c>
      <c r="N253" s="307">
        <f t="shared" si="127"/>
        <v>0</v>
      </c>
      <c r="O253" s="353">
        <v>0</v>
      </c>
      <c r="P253" s="354">
        <v>0</v>
      </c>
      <c r="Q253" s="354">
        <v>0</v>
      </c>
      <c r="R253" s="354">
        <v>0</v>
      </c>
      <c r="S253" s="354">
        <v>0</v>
      </c>
      <c r="T253" s="354">
        <v>0</v>
      </c>
      <c r="U253" s="354">
        <v>0</v>
      </c>
      <c r="V253" s="354">
        <v>0</v>
      </c>
      <c r="W253" s="354">
        <v>0</v>
      </c>
      <c r="X253" s="354">
        <v>0</v>
      </c>
      <c r="Y253" s="365">
        <v>0</v>
      </c>
      <c r="Z253" s="305">
        <f t="shared" si="128"/>
        <v>0</v>
      </c>
      <c r="AA253" s="307">
        <f t="shared" si="129"/>
        <v>0</v>
      </c>
      <c r="AB253" s="91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1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920">
        <f t="shared" si="130"/>
        <v>0</v>
      </c>
      <c r="AE253" s="897">
        <f t="shared" si="133"/>
        <v>0</v>
      </c>
      <c r="AF253" s="897">
        <f t="shared" si="134"/>
        <v>0</v>
      </c>
      <c r="AG253" s="897">
        <f t="shared" si="135"/>
        <v>0</v>
      </c>
      <c r="AH253" s="1113">
        <f t="shared" si="131"/>
        <v>0</v>
      </c>
      <c r="AI253" s="897">
        <f t="shared" si="132"/>
        <v>0</v>
      </c>
    </row>
    <row r="254" spans="1:35" x14ac:dyDescent="0.2">
      <c r="A254" s="339">
        <v>2028</v>
      </c>
      <c r="B254" s="353">
        <v>0</v>
      </c>
      <c r="C254" s="354">
        <v>0</v>
      </c>
      <c r="D254" s="354">
        <v>0</v>
      </c>
      <c r="E254" s="354">
        <v>0</v>
      </c>
      <c r="F254" s="354">
        <v>0</v>
      </c>
      <c r="G254" s="354">
        <v>0</v>
      </c>
      <c r="H254" s="354">
        <v>0</v>
      </c>
      <c r="I254" s="354">
        <v>0</v>
      </c>
      <c r="J254" s="354">
        <v>0</v>
      </c>
      <c r="K254" s="354">
        <v>2.1856893702372891E-5</v>
      </c>
      <c r="L254" s="365">
        <v>0</v>
      </c>
      <c r="M254" s="305">
        <f t="shared" si="126"/>
        <v>5.7281654450382511E-8</v>
      </c>
      <c r="N254" s="307">
        <f t="shared" si="127"/>
        <v>7.6467741918628057E-9</v>
      </c>
      <c r="O254" s="353">
        <v>0</v>
      </c>
      <c r="P254" s="354">
        <v>0</v>
      </c>
      <c r="Q254" s="354">
        <v>0</v>
      </c>
      <c r="R254" s="354">
        <v>0</v>
      </c>
      <c r="S254" s="354">
        <v>0</v>
      </c>
      <c r="T254" s="354">
        <v>0</v>
      </c>
      <c r="U254" s="354">
        <v>0</v>
      </c>
      <c r="V254" s="354">
        <v>0</v>
      </c>
      <c r="W254" s="354">
        <v>0</v>
      </c>
      <c r="X254" s="354">
        <v>0</v>
      </c>
      <c r="Y254" s="365">
        <v>0</v>
      </c>
      <c r="Z254" s="305">
        <f t="shared" si="128"/>
        <v>0</v>
      </c>
      <c r="AA254" s="307">
        <f t="shared" si="129"/>
        <v>0</v>
      </c>
      <c r="AB254" s="91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1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920">
        <f t="shared" si="130"/>
        <v>0</v>
      </c>
      <c r="AE254" s="897">
        <f t="shared" si="133"/>
        <v>5.7281654450382511E-8</v>
      </c>
      <c r="AF254" s="897">
        <f t="shared" si="134"/>
        <v>0</v>
      </c>
      <c r="AG254" s="897">
        <f t="shared" si="135"/>
        <v>5.7281654450382511E-8</v>
      </c>
      <c r="AH254" s="1113">
        <f t="shared" si="131"/>
        <v>1</v>
      </c>
      <c r="AI254" s="897">
        <f t="shared" si="132"/>
        <v>0</v>
      </c>
    </row>
    <row r="255" spans="1:35" x14ac:dyDescent="0.2">
      <c r="A255" s="339">
        <v>2029</v>
      </c>
      <c r="B255" s="353">
        <v>0</v>
      </c>
      <c r="C255" s="354">
        <v>0</v>
      </c>
      <c r="D255" s="354">
        <v>0</v>
      </c>
      <c r="E255" s="354">
        <v>0</v>
      </c>
      <c r="F255" s="354">
        <v>0</v>
      </c>
      <c r="G255" s="354">
        <v>0</v>
      </c>
      <c r="H255" s="354">
        <v>0</v>
      </c>
      <c r="I255" s="354">
        <v>0</v>
      </c>
      <c r="J255" s="354">
        <v>0</v>
      </c>
      <c r="K255" s="354">
        <v>1.2371510068064784E-4</v>
      </c>
      <c r="L255" s="365">
        <v>0</v>
      </c>
      <c r="M255" s="305">
        <f t="shared" si="126"/>
        <v>3.2422748373954877E-7</v>
      </c>
      <c r="N255" s="307">
        <f t="shared" si="127"/>
        <v>4.3282520009958312E-8</v>
      </c>
      <c r="O255" s="353">
        <v>0</v>
      </c>
      <c r="P255" s="354">
        <v>0</v>
      </c>
      <c r="Q255" s="354">
        <v>0</v>
      </c>
      <c r="R255" s="354">
        <v>0</v>
      </c>
      <c r="S255" s="354">
        <v>0</v>
      </c>
      <c r="T255" s="354">
        <v>0</v>
      </c>
      <c r="U255" s="354">
        <v>0</v>
      </c>
      <c r="V255" s="354">
        <v>0</v>
      </c>
      <c r="W255" s="354">
        <v>0</v>
      </c>
      <c r="X255" s="354">
        <v>0</v>
      </c>
      <c r="Y255" s="365">
        <v>0</v>
      </c>
      <c r="Z255" s="305">
        <f t="shared" si="128"/>
        <v>0</v>
      </c>
      <c r="AA255" s="307">
        <f t="shared" si="129"/>
        <v>0</v>
      </c>
      <c r="AB255" s="91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1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920">
        <f t="shared" si="130"/>
        <v>0</v>
      </c>
      <c r="AE255" s="897">
        <f t="shared" si="133"/>
        <v>3.2422748373954877E-7</v>
      </c>
      <c r="AF255" s="897">
        <f t="shared" si="134"/>
        <v>0</v>
      </c>
      <c r="AG255" s="897">
        <f t="shared" si="135"/>
        <v>3.2422748373954877E-7</v>
      </c>
      <c r="AH255" s="1113">
        <f t="shared" si="131"/>
        <v>1</v>
      </c>
      <c r="AI255" s="897">
        <f t="shared" si="132"/>
        <v>0</v>
      </c>
    </row>
    <row r="256" spans="1:35" ht="13.5" thickBot="1" x14ac:dyDescent="0.25">
      <c r="A256" s="337">
        <v>2030</v>
      </c>
      <c r="B256" s="355">
        <v>0</v>
      </c>
      <c r="C256" s="356">
        <v>0</v>
      </c>
      <c r="D256" s="356">
        <v>0</v>
      </c>
      <c r="E256" s="356">
        <v>0</v>
      </c>
      <c r="F256" s="356">
        <v>0</v>
      </c>
      <c r="G256" s="356">
        <v>0</v>
      </c>
      <c r="H256" s="356">
        <v>0</v>
      </c>
      <c r="I256" s="356">
        <v>0</v>
      </c>
      <c r="J256" s="356">
        <v>1.9065183721807315E-4</v>
      </c>
      <c r="K256" s="356">
        <v>1.7497492988869739E-3</v>
      </c>
      <c r="L256" s="366">
        <v>0</v>
      </c>
      <c r="M256" s="319">
        <f t="shared" si="126"/>
        <v>9.6643106504750511E-6</v>
      </c>
      <c r="N256" s="321">
        <f t="shared" si="127"/>
        <v>1.408600105273954E-6</v>
      </c>
      <c r="O256" s="355">
        <v>0</v>
      </c>
      <c r="P256" s="356">
        <v>0</v>
      </c>
      <c r="Q256" s="356">
        <v>0</v>
      </c>
      <c r="R256" s="356">
        <v>0</v>
      </c>
      <c r="S256" s="356">
        <v>0</v>
      </c>
      <c r="T256" s="356">
        <v>0</v>
      </c>
      <c r="U256" s="356">
        <v>0</v>
      </c>
      <c r="V256" s="356">
        <v>0</v>
      </c>
      <c r="W256" s="356">
        <v>0</v>
      </c>
      <c r="X256" s="356">
        <v>0</v>
      </c>
      <c r="Y256" s="366">
        <v>0</v>
      </c>
      <c r="Z256" s="319">
        <f t="shared" si="128"/>
        <v>0</v>
      </c>
      <c r="AA256" s="321">
        <f t="shared" si="129"/>
        <v>0</v>
      </c>
      <c r="AB256" s="91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1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920">
        <f t="shared" si="130"/>
        <v>0</v>
      </c>
      <c r="AE256" s="897">
        <f t="shared" si="133"/>
        <v>9.6643106504750511E-6</v>
      </c>
      <c r="AF256" s="897">
        <f t="shared" si="134"/>
        <v>0</v>
      </c>
      <c r="AG256" s="897">
        <f t="shared" si="135"/>
        <v>9.6643106504750511E-6</v>
      </c>
      <c r="AH256" s="1113">
        <f t="shared" si="131"/>
        <v>1</v>
      </c>
      <c r="AI256" s="897">
        <f t="shared" si="132"/>
        <v>0</v>
      </c>
    </row>
    <row r="257" spans="1:35" x14ac:dyDescent="0.2">
      <c r="A257" s="338">
        <v>2031</v>
      </c>
      <c r="B257" s="351">
        <v>0</v>
      </c>
      <c r="C257" s="352">
        <v>0</v>
      </c>
      <c r="D257" s="352">
        <v>0</v>
      </c>
      <c r="E257" s="352">
        <v>0</v>
      </c>
      <c r="F257" s="352">
        <v>0</v>
      </c>
      <c r="G257" s="352">
        <v>0</v>
      </c>
      <c r="H257" s="352">
        <v>0</v>
      </c>
      <c r="I257" s="352">
        <v>1.4254070112519588E-4</v>
      </c>
      <c r="J257" s="352">
        <v>1.2297171554484514E-3</v>
      </c>
      <c r="K257" s="352">
        <v>6.4954559558749398E-3</v>
      </c>
      <c r="L257" s="364">
        <v>0</v>
      </c>
      <c r="M257" s="291">
        <f t="shared" si="126"/>
        <v>5.3748753268605485E-5</v>
      </c>
      <c r="N257" s="293">
        <f t="shared" si="127"/>
        <v>8.1340957339805612E-6</v>
      </c>
      <c r="O257" s="351">
        <v>0</v>
      </c>
      <c r="P257" s="352">
        <v>0</v>
      </c>
      <c r="Q257" s="352">
        <v>0</v>
      </c>
      <c r="R257" s="352">
        <v>0</v>
      </c>
      <c r="S257" s="352">
        <v>0</v>
      </c>
      <c r="T257" s="352">
        <v>0</v>
      </c>
      <c r="U257" s="352">
        <v>0</v>
      </c>
      <c r="V257" s="352">
        <v>0</v>
      </c>
      <c r="W257" s="352">
        <v>0</v>
      </c>
      <c r="X257" s="352">
        <v>0</v>
      </c>
      <c r="Y257" s="364">
        <v>0</v>
      </c>
      <c r="Z257" s="291">
        <f t="shared" si="128"/>
        <v>0</v>
      </c>
      <c r="AA257" s="293">
        <f t="shared" si="129"/>
        <v>0</v>
      </c>
      <c r="AB257" s="91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1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920">
        <f t="shared" si="130"/>
        <v>0</v>
      </c>
      <c r="AE257" s="897">
        <f t="shared" si="133"/>
        <v>5.3748753268605485E-5</v>
      </c>
      <c r="AF257" s="897">
        <f t="shared" si="134"/>
        <v>0</v>
      </c>
      <c r="AG257" s="897">
        <f t="shared" si="135"/>
        <v>5.3748753268605485E-5</v>
      </c>
      <c r="AH257" s="1113">
        <f t="shared" si="131"/>
        <v>1</v>
      </c>
      <c r="AI257" s="897">
        <f t="shared" si="132"/>
        <v>0</v>
      </c>
    </row>
    <row r="258" spans="1:35" x14ac:dyDescent="0.2">
      <c r="A258" s="339">
        <v>2032</v>
      </c>
      <c r="B258" s="353">
        <v>0</v>
      </c>
      <c r="C258" s="354">
        <v>0</v>
      </c>
      <c r="D258" s="354">
        <v>0</v>
      </c>
      <c r="E258" s="354">
        <v>0</v>
      </c>
      <c r="F258" s="354">
        <v>0</v>
      </c>
      <c r="G258" s="354">
        <v>0</v>
      </c>
      <c r="H258" s="354">
        <v>0</v>
      </c>
      <c r="I258" s="354">
        <v>1.8814544154771731E-3</v>
      </c>
      <c r="J258" s="354">
        <v>7.3318475098136477E-3</v>
      </c>
      <c r="K258" s="354">
        <v>2.0421592697085881E-2</v>
      </c>
      <c r="L258" s="365">
        <v>0</v>
      </c>
      <c r="M258" s="305">
        <f t="shared" si="126"/>
        <v>3.0120542288195572E-4</v>
      </c>
      <c r="N258" s="307">
        <f t="shared" si="127"/>
        <v>4.7336490311921261E-5</v>
      </c>
      <c r="O258" s="353">
        <v>0</v>
      </c>
      <c r="P258" s="354">
        <v>0</v>
      </c>
      <c r="Q258" s="354">
        <v>0</v>
      </c>
      <c r="R258" s="354">
        <v>0</v>
      </c>
      <c r="S258" s="354">
        <v>0</v>
      </c>
      <c r="T258" s="354">
        <v>1.2779519437507439E-9</v>
      </c>
      <c r="U258" s="354">
        <v>0</v>
      </c>
      <c r="V258" s="354">
        <v>0</v>
      </c>
      <c r="W258" s="354">
        <v>0</v>
      </c>
      <c r="X258" s="354">
        <v>0</v>
      </c>
      <c r="Y258" s="365">
        <v>0</v>
      </c>
      <c r="Z258" s="305">
        <f t="shared" si="128"/>
        <v>2.0427539226516417E-11</v>
      </c>
      <c r="AA258" s="307">
        <f t="shared" si="129"/>
        <v>5.1977001639316586E-12</v>
      </c>
      <c r="AB258" s="91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1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920">
        <f t="shared" si="130"/>
        <v>0</v>
      </c>
      <c r="AE258" s="897">
        <f t="shared" si="133"/>
        <v>3.0120542288195572E-4</v>
      </c>
      <c r="AF258" s="897">
        <f t="shared" si="134"/>
        <v>2.0427539226516417E-11</v>
      </c>
      <c r="AG258" s="897">
        <f t="shared" si="135"/>
        <v>3.0120544330949493E-4</v>
      </c>
      <c r="AH258" s="1113">
        <f t="shared" si="131"/>
        <v>0.99999993218071026</v>
      </c>
      <c r="AI258" s="897">
        <f t="shared" si="132"/>
        <v>6.7819289724876221E-8</v>
      </c>
    </row>
    <row r="259" spans="1:35" x14ac:dyDescent="0.2">
      <c r="A259" s="339">
        <v>2033</v>
      </c>
      <c r="B259" s="353">
        <v>0</v>
      </c>
      <c r="C259" s="354">
        <v>0</v>
      </c>
      <c r="D259" s="354">
        <v>0</v>
      </c>
      <c r="E259" s="354">
        <v>0</v>
      </c>
      <c r="F259" s="354">
        <v>0</v>
      </c>
      <c r="G259" s="354">
        <v>2.0766083932538049E-4</v>
      </c>
      <c r="H259" s="354">
        <v>0</v>
      </c>
      <c r="I259" s="354">
        <v>8.9066269098477119E-3</v>
      </c>
      <c r="J259" s="354">
        <v>2.4252181906244449E-2</v>
      </c>
      <c r="K259" s="354">
        <v>4.5535012490127237E-2</v>
      </c>
      <c r="L259" s="365">
        <v>0</v>
      </c>
      <c r="M259" s="305">
        <f t="shared" si="126"/>
        <v>1.0190033557644521E-3</v>
      </c>
      <c r="N259" s="307">
        <f t="shared" si="127"/>
        <v>1.6394993742289144E-4</v>
      </c>
      <c r="O259" s="353">
        <v>0</v>
      </c>
      <c r="P259" s="354">
        <v>0</v>
      </c>
      <c r="Q259" s="354">
        <v>0</v>
      </c>
      <c r="R259" s="354">
        <v>0</v>
      </c>
      <c r="S259" s="354">
        <v>3.2626378265235471E-9</v>
      </c>
      <c r="T259" s="354">
        <v>2.260019991890063E-8</v>
      </c>
      <c r="U259" s="354">
        <v>0</v>
      </c>
      <c r="V259" s="354">
        <v>0</v>
      </c>
      <c r="W259" s="354">
        <v>0</v>
      </c>
      <c r="X259" s="354">
        <v>0</v>
      </c>
      <c r="Y259" s="365">
        <v>0</v>
      </c>
      <c r="Z259" s="305">
        <f t="shared" si="128"/>
        <v>4.9232237954277133E-10</v>
      </c>
      <c r="AA259" s="307">
        <f t="shared" si="129"/>
        <v>1.2997185000777993E-10</v>
      </c>
      <c r="AB259" s="91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1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920">
        <f t="shared" si="130"/>
        <v>0</v>
      </c>
      <c r="AE259" s="897">
        <f t="shared" si="133"/>
        <v>1.0190033557644521E-3</v>
      </c>
      <c r="AF259" s="897">
        <f t="shared" si="134"/>
        <v>4.9232237954277133E-10</v>
      </c>
      <c r="AG259" s="897">
        <f t="shared" si="135"/>
        <v>1.0190038480868315E-3</v>
      </c>
      <c r="AH259" s="1113">
        <f t="shared" si="131"/>
        <v>0.99999951685915578</v>
      </c>
      <c r="AI259" s="897">
        <f t="shared" si="132"/>
        <v>4.8314084433253234E-7</v>
      </c>
    </row>
    <row r="260" spans="1:35" x14ac:dyDescent="0.2">
      <c r="A260" s="339">
        <v>2034</v>
      </c>
      <c r="B260" s="353">
        <v>0</v>
      </c>
      <c r="C260" s="354">
        <v>0</v>
      </c>
      <c r="D260" s="354">
        <v>0</v>
      </c>
      <c r="E260" s="354">
        <v>0</v>
      </c>
      <c r="F260" s="354">
        <v>2.5793476986525637E-4</v>
      </c>
      <c r="G260" s="354">
        <v>1.1489147181114154E-3</v>
      </c>
      <c r="H260" s="354">
        <v>0</v>
      </c>
      <c r="I260" s="354">
        <v>2.0590332138267595E-2</v>
      </c>
      <c r="J260" s="354">
        <v>4.0048730494183588E-2</v>
      </c>
      <c r="K260" s="354">
        <v>6.3584073798096857E-2</v>
      </c>
      <c r="L260" s="365">
        <v>0</v>
      </c>
      <c r="M260" s="305">
        <f t="shared" si="126"/>
        <v>1.8404172773347099E-3</v>
      </c>
      <c r="N260" s="307">
        <f t="shared" si="127"/>
        <v>3.0279186860165659E-4</v>
      </c>
      <c r="O260" s="353">
        <v>0</v>
      </c>
      <c r="P260" s="354">
        <v>0</v>
      </c>
      <c r="Q260" s="354">
        <v>0</v>
      </c>
      <c r="R260" s="354">
        <v>0</v>
      </c>
      <c r="S260" s="354">
        <v>5.110017423213203E-8</v>
      </c>
      <c r="T260" s="354">
        <v>2.151512544150609E-7</v>
      </c>
      <c r="U260" s="354">
        <v>0</v>
      </c>
      <c r="V260" s="354">
        <v>0</v>
      </c>
      <c r="W260" s="354">
        <v>0</v>
      </c>
      <c r="X260" s="354">
        <v>0</v>
      </c>
      <c r="Y260" s="365">
        <v>0</v>
      </c>
      <c r="Z260" s="305">
        <f t="shared" si="128"/>
        <v>5.4919125933770634E-9</v>
      </c>
      <c r="AA260" s="307">
        <f t="shared" si="129"/>
        <v>1.4710456840379611E-9</v>
      </c>
      <c r="AB260" s="91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1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920">
        <f t="shared" si="130"/>
        <v>0</v>
      </c>
      <c r="AE260" s="897">
        <f t="shared" si="133"/>
        <v>1.8404172773347099E-3</v>
      </c>
      <c r="AF260" s="897">
        <f t="shared" si="134"/>
        <v>5.4919125933770634E-9</v>
      </c>
      <c r="AG260" s="897">
        <f t="shared" si="135"/>
        <v>1.8404227692473032E-3</v>
      </c>
      <c r="AH260" s="1113">
        <f t="shared" si="131"/>
        <v>0.9999970159505277</v>
      </c>
      <c r="AI260" s="897">
        <f t="shared" si="132"/>
        <v>2.9840494722976872E-6</v>
      </c>
    </row>
    <row r="261" spans="1:35" ht="13.5" thickBot="1" x14ac:dyDescent="0.25">
      <c r="A261" s="337">
        <v>2035</v>
      </c>
      <c r="B261" s="355">
        <v>0</v>
      </c>
      <c r="C261" s="356">
        <v>0</v>
      </c>
      <c r="D261" s="356">
        <v>0</v>
      </c>
      <c r="E261" s="356">
        <v>0</v>
      </c>
      <c r="F261" s="356">
        <v>1.6361692866926081E-3</v>
      </c>
      <c r="G261" s="356">
        <v>5.1309368008461732E-3</v>
      </c>
      <c r="H261" s="356">
        <v>0</v>
      </c>
      <c r="I261" s="356">
        <v>3.7957471382236353E-2</v>
      </c>
      <c r="J261" s="356">
        <v>6.0987439961085764E-2</v>
      </c>
      <c r="K261" s="356">
        <v>8.4931053156652642E-2</v>
      </c>
      <c r="L261" s="366">
        <v>0</v>
      </c>
      <c r="M261" s="319">
        <f t="shared" si="126"/>
        <v>3.0588871643699393E-3</v>
      </c>
      <c r="N261" s="321">
        <f t="shared" si="127"/>
        <v>5.1697599644808716E-4</v>
      </c>
      <c r="O261" s="355">
        <v>0</v>
      </c>
      <c r="P261" s="356">
        <v>0</v>
      </c>
      <c r="Q261" s="356">
        <v>0</v>
      </c>
      <c r="R261" s="356">
        <v>1.1903418416403576E-8</v>
      </c>
      <c r="S261" s="356">
        <v>5.7010748606050949E-7</v>
      </c>
      <c r="T261" s="356">
        <v>1.554268766946717E-6</v>
      </c>
      <c r="U261" s="356">
        <v>0</v>
      </c>
      <c r="V261" s="356">
        <v>0</v>
      </c>
      <c r="W261" s="356">
        <v>0</v>
      </c>
      <c r="X261" s="356">
        <v>0</v>
      </c>
      <c r="Y261" s="366">
        <v>0</v>
      </c>
      <c r="Z261" s="319">
        <f t="shared" si="128"/>
        <v>4.8530474053660011E-8</v>
      </c>
      <c r="AA261" s="321">
        <f t="shared" si="129"/>
        <v>1.3270697788321879E-8</v>
      </c>
      <c r="AB261" s="91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1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920">
        <f t="shared" si="130"/>
        <v>0</v>
      </c>
      <c r="AE261" s="897">
        <f t="shared" si="133"/>
        <v>3.0588871643699393E-3</v>
      </c>
      <c r="AF261" s="897">
        <f t="shared" si="134"/>
        <v>4.8530474053660011E-8</v>
      </c>
      <c r="AG261" s="897">
        <f t="shared" si="135"/>
        <v>3.0589356948439927E-3</v>
      </c>
      <c r="AH261" s="1113">
        <f t="shared" si="131"/>
        <v>0.99998413484986448</v>
      </c>
      <c r="AI261" s="897">
        <f t="shared" si="132"/>
        <v>1.5865150135539246E-5</v>
      </c>
    </row>
    <row r="262" spans="1:35" x14ac:dyDescent="0.2">
      <c r="A262" s="338">
        <v>2036</v>
      </c>
      <c r="B262" s="351">
        <v>0</v>
      </c>
      <c r="C262" s="352">
        <v>0</v>
      </c>
      <c r="D262" s="352">
        <v>0</v>
      </c>
      <c r="E262" s="352">
        <v>1.437886836997661E-4</v>
      </c>
      <c r="F262" s="352">
        <v>1.0729257060369504E-2</v>
      </c>
      <c r="G262" s="352">
        <v>2.1223123163953923E-2</v>
      </c>
      <c r="H262" s="352">
        <v>0</v>
      </c>
      <c r="I262" s="352">
        <v>7.1838290708495303E-2</v>
      </c>
      <c r="J262" s="352">
        <v>9.757452746267585E-2</v>
      </c>
      <c r="K262" s="352">
        <v>0.11831098465659623</v>
      </c>
      <c r="L262" s="364">
        <v>0</v>
      </c>
      <c r="M262" s="291">
        <f t="shared" si="126"/>
        <v>5.5901635172273178E-3</v>
      </c>
      <c r="N262" s="293">
        <f t="shared" si="127"/>
        <v>9.8943739349909585E-4</v>
      </c>
      <c r="O262" s="351">
        <v>0</v>
      </c>
      <c r="P262" s="352">
        <v>0</v>
      </c>
      <c r="Q262" s="352">
        <v>0</v>
      </c>
      <c r="R262" s="352">
        <v>3.1981141167042148E-7</v>
      </c>
      <c r="S262" s="352">
        <v>3.4793192328456775E-6</v>
      </c>
      <c r="T262" s="352">
        <v>7.1311585526259921E-6</v>
      </c>
      <c r="U262" s="352">
        <v>0</v>
      </c>
      <c r="V262" s="352">
        <v>0</v>
      </c>
      <c r="W262" s="352">
        <v>0</v>
      </c>
      <c r="X262" s="352">
        <v>0</v>
      </c>
      <c r="Y262" s="364">
        <v>0</v>
      </c>
      <c r="Z262" s="291">
        <f t="shared" si="128"/>
        <v>2.7481476058417736E-7</v>
      </c>
      <c r="AA262" s="293">
        <f t="shared" si="129"/>
        <v>7.7643530419793029E-8</v>
      </c>
      <c r="AB262" s="91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1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920">
        <f t="shared" si="130"/>
        <v>0</v>
      </c>
      <c r="AE262" s="897">
        <f t="shared" si="133"/>
        <v>5.5901635172273178E-3</v>
      </c>
      <c r="AF262" s="897">
        <f t="shared" si="134"/>
        <v>2.7481476058417736E-7</v>
      </c>
      <c r="AG262" s="897">
        <f t="shared" si="135"/>
        <v>5.5904383319879021E-3</v>
      </c>
      <c r="AH262" s="1113">
        <f t="shared" si="131"/>
        <v>0.99995084200124129</v>
      </c>
      <c r="AI262" s="897">
        <f t="shared" si="132"/>
        <v>4.9157998758651199E-5</v>
      </c>
    </row>
    <row r="263" spans="1:35" x14ac:dyDescent="0.2">
      <c r="A263" s="339">
        <v>2037</v>
      </c>
      <c r="B263" s="353">
        <v>0</v>
      </c>
      <c r="C263" s="354">
        <v>0</v>
      </c>
      <c r="D263" s="354">
        <v>0</v>
      </c>
      <c r="E263" s="354">
        <v>8.5081437020860561E-4</v>
      </c>
      <c r="F263" s="354">
        <v>2.2296063524419003E-2</v>
      </c>
      <c r="G263" s="354">
        <v>3.648650285527897E-2</v>
      </c>
      <c r="H263" s="354">
        <v>0</v>
      </c>
      <c r="I263" s="354">
        <v>9.5828374503617891E-2</v>
      </c>
      <c r="J263" s="354">
        <v>0.1179944252456009</v>
      </c>
      <c r="K263" s="354">
        <v>0.13853722341483193</v>
      </c>
      <c r="L263" s="365">
        <v>0</v>
      </c>
      <c r="M263" s="305">
        <f t="shared" si="126"/>
        <v>7.3973853625676385E-3</v>
      </c>
      <c r="N263" s="307">
        <f t="shared" si="127"/>
        <v>1.3467567110957725E-3</v>
      </c>
      <c r="O263" s="353">
        <v>0</v>
      </c>
      <c r="P263" s="354">
        <v>0</v>
      </c>
      <c r="Q263" s="354">
        <v>0</v>
      </c>
      <c r="R263" s="354">
        <v>2.5562383731484509E-6</v>
      </c>
      <c r="S263" s="354">
        <v>1.4820715887426623E-5</v>
      </c>
      <c r="T263" s="354">
        <v>2.5647893433189163E-5</v>
      </c>
      <c r="U263" s="354">
        <v>0</v>
      </c>
      <c r="V263" s="354">
        <v>0</v>
      </c>
      <c r="W263" s="354">
        <v>0</v>
      </c>
      <c r="X263" s="354">
        <v>0</v>
      </c>
      <c r="Y263" s="365">
        <v>0</v>
      </c>
      <c r="Z263" s="305">
        <f t="shared" si="128"/>
        <v>1.1736367834426207E-6</v>
      </c>
      <c r="AA263" s="307">
        <f t="shared" si="129"/>
        <v>3.415953557229418E-7</v>
      </c>
      <c r="AB263" s="91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1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920">
        <f t="shared" si="130"/>
        <v>0</v>
      </c>
      <c r="AE263" s="897">
        <f t="shared" si="133"/>
        <v>7.3973853625676385E-3</v>
      </c>
      <c r="AF263" s="897">
        <f t="shared" si="134"/>
        <v>1.1736367834426207E-6</v>
      </c>
      <c r="AG263" s="897">
        <f t="shared" si="135"/>
        <v>7.3985589993510814E-3</v>
      </c>
      <c r="AH263" s="1113">
        <f t="shared" si="131"/>
        <v>0.99984136954459024</v>
      </c>
      <c r="AI263" s="897">
        <f t="shared" si="132"/>
        <v>1.5863045540970329E-4</v>
      </c>
    </row>
    <row r="264" spans="1:35" x14ac:dyDescent="0.2">
      <c r="A264" s="339">
        <v>2038</v>
      </c>
      <c r="B264" s="353">
        <v>0</v>
      </c>
      <c r="C264" s="354">
        <v>0</v>
      </c>
      <c r="D264" s="354">
        <v>0</v>
      </c>
      <c r="E264" s="354">
        <v>4.1214818504181315E-3</v>
      </c>
      <c r="F264" s="354">
        <v>4.2120749224563957E-2</v>
      </c>
      <c r="G264" s="354">
        <v>5.8682040617450124E-2</v>
      </c>
      <c r="H264" s="354">
        <v>0</v>
      </c>
      <c r="I264" s="354">
        <v>0.11755101936429518</v>
      </c>
      <c r="J264" s="354">
        <v>0.1389854873803279</v>
      </c>
      <c r="K264" s="354">
        <v>0.15371518032956988</v>
      </c>
      <c r="L264" s="365">
        <v>0</v>
      </c>
      <c r="M264" s="305">
        <f t="shared" si="126"/>
        <v>9.4841847471517759E-3</v>
      </c>
      <c r="N264" s="307">
        <f t="shared" si="127"/>
        <v>1.7926848514517543E-3</v>
      </c>
      <c r="O264" s="353">
        <v>0</v>
      </c>
      <c r="P264" s="354">
        <v>0</v>
      </c>
      <c r="Q264" s="354">
        <v>2.122757663296619E-7</v>
      </c>
      <c r="R264" s="354">
        <v>1.4454038097231047E-5</v>
      </c>
      <c r="S264" s="354">
        <v>5.4617826732006451E-5</v>
      </c>
      <c r="T264" s="354">
        <v>8.0843451797313738E-5</v>
      </c>
      <c r="U264" s="354">
        <v>0</v>
      </c>
      <c r="V264" s="354">
        <v>0</v>
      </c>
      <c r="W264" s="354">
        <v>0</v>
      </c>
      <c r="X264" s="354">
        <v>0</v>
      </c>
      <c r="Y264" s="365">
        <v>0</v>
      </c>
      <c r="Z264" s="305">
        <f t="shared" si="128"/>
        <v>4.4552185780262025E-6</v>
      </c>
      <c r="AA264" s="307">
        <f t="shared" si="129"/>
        <v>1.3395721785304399E-6</v>
      </c>
      <c r="AB264" s="91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1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920">
        <f t="shared" si="130"/>
        <v>0</v>
      </c>
      <c r="AE264" s="897">
        <f t="shared" si="133"/>
        <v>9.4841847471517759E-3</v>
      </c>
      <c r="AF264" s="897">
        <f t="shared" si="134"/>
        <v>4.4552185780262025E-6</v>
      </c>
      <c r="AG264" s="897">
        <f t="shared" si="135"/>
        <v>9.4886399657298018E-3</v>
      </c>
      <c r="AH264" s="1113">
        <f t="shared" si="131"/>
        <v>0.99953046816044056</v>
      </c>
      <c r="AI264" s="897">
        <f t="shared" si="132"/>
        <v>4.6953183955942597E-4</v>
      </c>
    </row>
    <row r="265" spans="1:35" x14ac:dyDescent="0.2">
      <c r="A265" s="339">
        <v>2039</v>
      </c>
      <c r="B265" s="353">
        <v>0</v>
      </c>
      <c r="C265" s="354">
        <v>0</v>
      </c>
      <c r="D265" s="354">
        <v>3.3975590229138751E-4</v>
      </c>
      <c r="E265" s="354">
        <v>1.4224489612482792E-2</v>
      </c>
      <c r="F265" s="354">
        <v>7.2883527281636898E-2</v>
      </c>
      <c r="G265" s="354">
        <v>8.8410460344010497E-2</v>
      </c>
      <c r="H265" s="354">
        <v>0</v>
      </c>
      <c r="I265" s="354">
        <v>0.14019667411933101</v>
      </c>
      <c r="J265" s="354">
        <v>0.15575909628968906</v>
      </c>
      <c r="K265" s="354">
        <v>0.16953672695628219</v>
      </c>
      <c r="L265" s="365">
        <v>0</v>
      </c>
      <c r="M265" s="305">
        <f t="shared" si="126"/>
        <v>1.2014085244246896E-2</v>
      </c>
      <c r="N265" s="307">
        <f t="shared" si="127"/>
        <v>2.3979271780094867E-3</v>
      </c>
      <c r="O265" s="353">
        <v>0</v>
      </c>
      <c r="P265" s="354">
        <v>0</v>
      </c>
      <c r="Q265" s="354">
        <v>4.7933064620852033E-6</v>
      </c>
      <c r="R265" s="354">
        <v>9.485034056562365E-5</v>
      </c>
      <c r="S265" s="354">
        <v>2.457601944647977E-4</v>
      </c>
      <c r="T265" s="354">
        <v>3.2042863697252089E-4</v>
      </c>
      <c r="U265" s="354">
        <v>0</v>
      </c>
      <c r="V265" s="354">
        <v>0</v>
      </c>
      <c r="W265" s="354">
        <v>0</v>
      </c>
      <c r="X265" s="354">
        <v>0</v>
      </c>
      <c r="Y265" s="365">
        <v>0</v>
      </c>
      <c r="Z265" s="305">
        <f t="shared" si="128"/>
        <v>2.1629533101282058E-5</v>
      </c>
      <c r="AA265" s="307">
        <f t="shared" si="129"/>
        <v>6.7738417319851155E-6</v>
      </c>
      <c r="AB265" s="91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1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920">
        <f t="shared" si="130"/>
        <v>0</v>
      </c>
      <c r="AE265" s="897">
        <f t="shared" si="133"/>
        <v>1.2014085244246896E-2</v>
      </c>
      <c r="AF265" s="897">
        <f t="shared" si="134"/>
        <v>2.1629533101282058E-5</v>
      </c>
      <c r="AG265" s="897">
        <f t="shared" si="135"/>
        <v>1.2035714777348178E-2</v>
      </c>
      <c r="AH265" s="1113">
        <f t="shared" si="131"/>
        <v>0.9982028875308685</v>
      </c>
      <c r="AI265" s="897">
        <f t="shared" si="132"/>
        <v>1.7971124691314494E-3</v>
      </c>
    </row>
    <row r="266" spans="1:35" ht="13.5" thickBot="1" x14ac:dyDescent="0.25">
      <c r="A266" s="337">
        <v>2040</v>
      </c>
      <c r="B266" s="355">
        <v>0</v>
      </c>
      <c r="C266" s="356">
        <v>0</v>
      </c>
      <c r="D266" s="356">
        <v>2.5775888267538303E-3</v>
      </c>
      <c r="E266" s="356">
        <v>3.2797869122251203E-2</v>
      </c>
      <c r="F266" s="356">
        <v>9.938616766702249E-2</v>
      </c>
      <c r="G266" s="356">
        <v>0.11720228058732118</v>
      </c>
      <c r="H266" s="356">
        <v>0</v>
      </c>
      <c r="I266" s="356">
        <v>0.1634644615303992</v>
      </c>
      <c r="J266" s="356">
        <v>0.17744840029552783</v>
      </c>
      <c r="K266" s="356">
        <v>0.18539850110138362</v>
      </c>
      <c r="L266" s="366">
        <v>0</v>
      </c>
      <c r="M266" s="319">
        <f t="shared" si="126"/>
        <v>1.4986735570196193E-2</v>
      </c>
      <c r="N266" s="321">
        <f t="shared" si="127"/>
        <v>3.1686590255999188E-3</v>
      </c>
      <c r="O266" s="355">
        <v>0</v>
      </c>
      <c r="P266" s="356">
        <v>0</v>
      </c>
      <c r="Q266" s="356">
        <v>3.5220353582367898E-5</v>
      </c>
      <c r="R266" s="356">
        <v>3.0076921190289458E-4</v>
      </c>
      <c r="S266" s="356">
        <v>6.3382251388606752E-4</v>
      </c>
      <c r="T266" s="356">
        <v>7.9013723009499785E-4</v>
      </c>
      <c r="U266" s="356">
        <v>0</v>
      </c>
      <c r="V266" s="356">
        <v>0</v>
      </c>
      <c r="W266" s="356">
        <v>0</v>
      </c>
      <c r="X266" s="356">
        <v>0</v>
      </c>
      <c r="Y266" s="366">
        <v>0</v>
      </c>
      <c r="Z266" s="319">
        <f t="shared" si="128"/>
        <v>6.0762695288404012E-5</v>
      </c>
      <c r="AA266" s="321">
        <f t="shared" si="129"/>
        <v>1.9756811982813722E-5</v>
      </c>
      <c r="AB266" s="91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1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920">
        <f t="shared" si="130"/>
        <v>0</v>
      </c>
      <c r="AE266" s="897">
        <f t="shared" si="133"/>
        <v>1.4986735570196193E-2</v>
      </c>
      <c r="AF266" s="897">
        <f t="shared" si="134"/>
        <v>6.0762695288404012E-5</v>
      </c>
      <c r="AG266" s="897">
        <f t="shared" si="135"/>
        <v>1.5047498265484597E-2</v>
      </c>
      <c r="AH266" s="1113">
        <f t="shared" si="131"/>
        <v>0.99596194036933172</v>
      </c>
      <c r="AI266" s="897">
        <f t="shared" si="132"/>
        <v>4.0380596306682599E-3</v>
      </c>
    </row>
    <row r="267" spans="1:35" x14ac:dyDescent="0.2">
      <c r="A267" s="338">
        <v>2041</v>
      </c>
      <c r="B267" s="351">
        <v>0</v>
      </c>
      <c r="C267" s="352">
        <v>0</v>
      </c>
      <c r="D267" s="352">
        <v>1.1054478987703408E-2</v>
      </c>
      <c r="E267" s="352">
        <v>6.5275530285923242E-2</v>
      </c>
      <c r="F267" s="352">
        <v>0.13726451819658275</v>
      </c>
      <c r="G267" s="352">
        <v>0.14804495488517044</v>
      </c>
      <c r="H267" s="352">
        <v>0</v>
      </c>
      <c r="I267" s="352">
        <v>0.18446698250431462</v>
      </c>
      <c r="J267" s="352">
        <v>0.19256457200355315</v>
      </c>
      <c r="K267" s="352">
        <v>0.19935958423561112</v>
      </c>
      <c r="L267" s="364">
        <v>0</v>
      </c>
      <c r="M267" s="291">
        <f t="shared" si="126"/>
        <v>1.8632287695541986E-2</v>
      </c>
      <c r="N267" s="293">
        <f t="shared" si="127"/>
        <v>4.2969436418964632E-3</v>
      </c>
      <c r="O267" s="351">
        <v>0</v>
      </c>
      <c r="P267" s="352">
        <v>0</v>
      </c>
      <c r="Q267" s="352">
        <v>2.044695033541051E-4</v>
      </c>
      <c r="R267" s="352">
        <v>9.1356628131165462E-4</v>
      </c>
      <c r="S267" s="352">
        <v>1.4662682266002639E-3</v>
      </c>
      <c r="T267" s="352">
        <v>1.6790898794433601E-3</v>
      </c>
      <c r="U267" s="352">
        <v>0</v>
      </c>
      <c r="V267" s="352">
        <v>0</v>
      </c>
      <c r="W267" s="352">
        <v>0</v>
      </c>
      <c r="X267" s="352">
        <v>0</v>
      </c>
      <c r="Y267" s="364">
        <v>0</v>
      </c>
      <c r="Z267" s="291">
        <f t="shared" si="128"/>
        <v>1.6254776002996136E-4</v>
      </c>
      <c r="AA267" s="293">
        <f t="shared" si="129"/>
        <v>5.6072508697814098E-5</v>
      </c>
      <c r="AB267" s="91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1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920">
        <f t="shared" si="130"/>
        <v>0</v>
      </c>
      <c r="AE267" s="897">
        <f t="shared" si="133"/>
        <v>1.8632287695541986E-2</v>
      </c>
      <c r="AF267" s="897">
        <f t="shared" si="134"/>
        <v>1.6254776002996136E-4</v>
      </c>
      <c r="AG267" s="897">
        <f t="shared" si="135"/>
        <v>1.8794835455571948E-2</v>
      </c>
      <c r="AH267" s="1113">
        <f t="shared" si="131"/>
        <v>0.99135146671466212</v>
      </c>
      <c r="AI267" s="897">
        <f t="shared" si="132"/>
        <v>8.6485332853378175E-3</v>
      </c>
    </row>
    <row r="268" spans="1:35" x14ac:dyDescent="0.2">
      <c r="A268" s="339">
        <v>2042</v>
      </c>
      <c r="B268" s="353">
        <v>0</v>
      </c>
      <c r="C268" s="354">
        <v>1.0327146026776162E-4</v>
      </c>
      <c r="D268" s="354">
        <v>3.6635122865111322E-2</v>
      </c>
      <c r="E268" s="354">
        <v>0.10426408713940244</v>
      </c>
      <c r="F268" s="354">
        <v>0.16699962463366003</v>
      </c>
      <c r="G268" s="354">
        <v>0.17792228676128263</v>
      </c>
      <c r="H268" s="354">
        <v>0</v>
      </c>
      <c r="I268" s="354">
        <v>0.1991984268013563</v>
      </c>
      <c r="J268" s="354">
        <v>0.20609270677413438</v>
      </c>
      <c r="K268" s="354">
        <v>0.21226375990401872</v>
      </c>
      <c r="L268" s="365">
        <v>0</v>
      </c>
      <c r="M268" s="305">
        <f t="shared" si="126"/>
        <v>2.3103879278845756E-2</v>
      </c>
      <c r="N268" s="307">
        <f t="shared" si="127"/>
        <v>5.9665052397393278E-3</v>
      </c>
      <c r="O268" s="353">
        <v>0</v>
      </c>
      <c r="P268" s="354">
        <v>6.5486265584663648E-6</v>
      </c>
      <c r="Q268" s="354">
        <v>8.3467769553560636E-4</v>
      </c>
      <c r="R268" s="354">
        <v>2.2046100242902648E-3</v>
      </c>
      <c r="S268" s="354">
        <v>3.0726998416582257E-3</v>
      </c>
      <c r="T268" s="354">
        <v>3.2994167308732789E-3</v>
      </c>
      <c r="U268" s="354">
        <v>0</v>
      </c>
      <c r="V268" s="354">
        <v>0</v>
      </c>
      <c r="W268" s="354">
        <v>0</v>
      </c>
      <c r="X268" s="354">
        <v>0</v>
      </c>
      <c r="Y268" s="365">
        <v>0</v>
      </c>
      <c r="Z268" s="305">
        <f t="shared" si="128"/>
        <v>3.9093658553743981E-4</v>
      </c>
      <c r="AA268" s="307">
        <f t="shared" si="129"/>
        <v>1.435408858577162E-4</v>
      </c>
      <c r="AB268" s="91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1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920">
        <f t="shared" si="130"/>
        <v>0</v>
      </c>
      <c r="AE268" s="897">
        <f t="shared" si="133"/>
        <v>2.3103879278845756E-2</v>
      </c>
      <c r="AF268" s="897">
        <f t="shared" si="134"/>
        <v>3.9093658553743981E-4</v>
      </c>
      <c r="AG268" s="897">
        <f t="shared" si="135"/>
        <v>2.3494815864383196E-2</v>
      </c>
      <c r="AH268" s="1113">
        <f t="shared" si="131"/>
        <v>0.98336072996724022</v>
      </c>
      <c r="AI268" s="897">
        <f t="shared" si="132"/>
        <v>1.6639270032759754E-2</v>
      </c>
    </row>
    <row r="269" spans="1:35" x14ac:dyDescent="0.2">
      <c r="A269" s="339">
        <v>2043</v>
      </c>
      <c r="B269" s="353">
        <v>0</v>
      </c>
      <c r="C269" s="354">
        <v>1.1968706649243812E-3</v>
      </c>
      <c r="D269" s="354">
        <v>7.0713102017253976E-2</v>
      </c>
      <c r="E269" s="354">
        <v>0.13331508928238014</v>
      </c>
      <c r="F269" s="354">
        <v>0.18846570396812953</v>
      </c>
      <c r="G269" s="354">
        <v>0.19791881309868989</v>
      </c>
      <c r="H269" s="354">
        <v>0</v>
      </c>
      <c r="I269" s="354">
        <v>0.21284211324823396</v>
      </c>
      <c r="J269" s="354">
        <v>0.21803383808911328</v>
      </c>
      <c r="K269" s="354">
        <v>0.21938427565582869</v>
      </c>
      <c r="L269" s="365">
        <v>0</v>
      </c>
      <c r="M269" s="305">
        <f t="shared" si="126"/>
        <v>2.7476842187143673E-2</v>
      </c>
      <c r="N269" s="307">
        <f t="shared" si="127"/>
        <v>7.825327099991515E-3</v>
      </c>
      <c r="O269" s="353">
        <v>0</v>
      </c>
      <c r="P269" s="354">
        <v>7.213465341520909E-5</v>
      </c>
      <c r="Q269" s="354">
        <v>2.323859113129862E-3</v>
      </c>
      <c r="R269" s="354">
        <v>4.5326962004302402E-3</v>
      </c>
      <c r="S269" s="354">
        <v>5.6865026936207394E-3</v>
      </c>
      <c r="T269" s="354">
        <v>6.0101249492721231E-3</v>
      </c>
      <c r="U269" s="354">
        <v>0</v>
      </c>
      <c r="V269" s="354">
        <v>0</v>
      </c>
      <c r="W269" s="354">
        <v>0</v>
      </c>
      <c r="X269" s="354">
        <v>0</v>
      </c>
      <c r="Y269" s="365">
        <v>0</v>
      </c>
      <c r="Z269" s="305">
        <f t="shared" si="128"/>
        <v>8.2996889195425497E-4</v>
      </c>
      <c r="AA269" s="307">
        <f t="shared" si="129"/>
        <v>3.2518133996851001E-4</v>
      </c>
      <c r="AB269" s="91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1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920">
        <f t="shared" si="130"/>
        <v>0</v>
      </c>
      <c r="AE269" s="897">
        <f t="shared" si="133"/>
        <v>2.7476842187143673E-2</v>
      </c>
      <c r="AF269" s="897">
        <f t="shared" si="134"/>
        <v>8.2996889195425497E-4</v>
      </c>
      <c r="AG269" s="897">
        <f t="shared" si="135"/>
        <v>2.8306811079097927E-2</v>
      </c>
      <c r="AH269" s="1113">
        <f t="shared" si="131"/>
        <v>0.97067953399501394</v>
      </c>
      <c r="AI269" s="897">
        <f t="shared" si="132"/>
        <v>2.9320466004986109E-2</v>
      </c>
    </row>
    <row r="270" spans="1:35" x14ac:dyDescent="0.2">
      <c r="A270" s="339">
        <v>2044</v>
      </c>
      <c r="B270" s="353">
        <v>0</v>
      </c>
      <c r="C270" s="354">
        <v>6.0242452323682151E-3</v>
      </c>
      <c r="D270" s="354">
        <v>0.10268292652638648</v>
      </c>
      <c r="E270" s="354">
        <v>0.16263699612905452</v>
      </c>
      <c r="F270" s="354">
        <v>0.20076377262661826</v>
      </c>
      <c r="G270" s="354">
        <v>0.21050349446458194</v>
      </c>
      <c r="H270" s="354">
        <v>0</v>
      </c>
      <c r="I270" s="354">
        <v>0.22252514961170572</v>
      </c>
      <c r="J270" s="354">
        <v>0.22449563168482972</v>
      </c>
      <c r="K270" s="354">
        <v>0.22600230908937882</v>
      </c>
      <c r="L270" s="365">
        <v>0</v>
      </c>
      <c r="M270" s="305">
        <f t="shared" si="126"/>
        <v>3.1840082511668776E-2</v>
      </c>
      <c r="N270" s="307">
        <f t="shared" si="127"/>
        <v>1.0101342238515694E-2</v>
      </c>
      <c r="O270" s="353">
        <v>0</v>
      </c>
      <c r="P270" s="354">
        <v>4.282706248237546E-4</v>
      </c>
      <c r="Q270" s="354">
        <v>5.1929272014131439E-3</v>
      </c>
      <c r="R270" s="354">
        <v>8.1808461383320787E-3</v>
      </c>
      <c r="S270" s="354">
        <v>9.5569609087008869E-3</v>
      </c>
      <c r="T270" s="354">
        <v>9.9961533748218114E-3</v>
      </c>
      <c r="U270" s="354">
        <v>0</v>
      </c>
      <c r="V270" s="354">
        <v>0</v>
      </c>
      <c r="W270" s="354">
        <v>0</v>
      </c>
      <c r="X270" s="354">
        <v>0</v>
      </c>
      <c r="Y270" s="365">
        <v>0</v>
      </c>
      <c r="Z270" s="305">
        <f t="shared" si="128"/>
        <v>1.6104656963288719E-3</v>
      </c>
      <c r="AA270" s="307">
        <f t="shared" si="129"/>
        <v>6.8815044236853189E-4</v>
      </c>
      <c r="AB270" s="91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1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920">
        <f t="shared" si="130"/>
        <v>0</v>
      </c>
      <c r="AE270" s="897">
        <f t="shared" si="133"/>
        <v>3.1840082511668776E-2</v>
      </c>
      <c r="AF270" s="897">
        <f t="shared" si="134"/>
        <v>1.6104656963288719E-3</v>
      </c>
      <c r="AG270" s="897">
        <f t="shared" si="135"/>
        <v>3.345054820799765E-2</v>
      </c>
      <c r="AH270" s="1113">
        <f t="shared" si="131"/>
        <v>0.95185532726355049</v>
      </c>
      <c r="AI270" s="897">
        <f t="shared" si="132"/>
        <v>4.8144672736449436E-2</v>
      </c>
    </row>
    <row r="271" spans="1:35" ht="13.5" thickBot="1" x14ac:dyDescent="0.25">
      <c r="A271" s="337">
        <v>2045</v>
      </c>
      <c r="B271" s="355">
        <v>0</v>
      </c>
      <c r="C271" s="356">
        <v>1.5895132420768798E-2</v>
      </c>
      <c r="D271" s="356">
        <v>0.13133726576391092</v>
      </c>
      <c r="E271" s="356">
        <v>0.18342094817894</v>
      </c>
      <c r="F271" s="356">
        <v>0.21236047478467598</v>
      </c>
      <c r="G271" s="356">
        <v>0.22057319492583519</v>
      </c>
      <c r="H271" s="356">
        <v>0</v>
      </c>
      <c r="I271" s="356">
        <v>0.22779548342000472</v>
      </c>
      <c r="J271" s="356">
        <v>0.22930749250789198</v>
      </c>
      <c r="K271" s="356">
        <v>0.23031111504811727</v>
      </c>
      <c r="L271" s="366">
        <v>0</v>
      </c>
      <c r="M271" s="319">
        <f t="shared" si="126"/>
        <v>3.6381636577105005E-2</v>
      </c>
      <c r="N271" s="321">
        <f t="shared" si="127"/>
        <v>1.2928906592644352E-2</v>
      </c>
      <c r="O271" s="355">
        <v>0</v>
      </c>
      <c r="P271" s="356">
        <v>1.3941688752558163E-3</v>
      </c>
      <c r="Q271" s="356">
        <v>9.3035356068169699E-3</v>
      </c>
      <c r="R271" s="356">
        <v>1.3211926556973119E-2</v>
      </c>
      <c r="S271" s="356">
        <v>1.5191778456615679E-2</v>
      </c>
      <c r="T271" s="356">
        <v>1.5476632809214753E-2</v>
      </c>
      <c r="U271" s="356">
        <v>0</v>
      </c>
      <c r="V271" s="356">
        <v>0</v>
      </c>
      <c r="W271" s="356">
        <v>0</v>
      </c>
      <c r="X271" s="356">
        <v>0</v>
      </c>
      <c r="Y271" s="366">
        <v>0</v>
      </c>
      <c r="Z271" s="319">
        <f t="shared" si="128"/>
        <v>2.8274641758180693E-3</v>
      </c>
      <c r="AA271" s="321">
        <f t="shared" si="129"/>
        <v>1.3079421046716146E-3</v>
      </c>
      <c r="AB271" s="91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1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920">
        <f t="shared" si="130"/>
        <v>0</v>
      </c>
      <c r="AE271" s="897">
        <f t="shared" si="133"/>
        <v>3.6381636577105005E-2</v>
      </c>
      <c r="AF271" s="897">
        <f t="shared" si="134"/>
        <v>2.8274641758180693E-3</v>
      </c>
      <c r="AG271" s="897">
        <f t="shared" si="135"/>
        <v>3.9209100752923075E-2</v>
      </c>
      <c r="AH271" s="1113">
        <f t="shared" si="131"/>
        <v>0.92788755361579467</v>
      </c>
      <c r="AI271" s="897">
        <f t="shared" si="132"/>
        <v>7.2112446384205317E-2</v>
      </c>
    </row>
    <row r="272" spans="1:35" x14ac:dyDescent="0.2">
      <c r="A272" s="338">
        <v>2046</v>
      </c>
      <c r="B272" s="351">
        <v>0</v>
      </c>
      <c r="C272" s="352">
        <v>2.6757255034638678E-2</v>
      </c>
      <c r="D272" s="352">
        <v>0.1530816570740309</v>
      </c>
      <c r="E272" s="352">
        <v>0.19643086448160349</v>
      </c>
      <c r="F272" s="352">
        <v>0.21837586977780557</v>
      </c>
      <c r="G272" s="352">
        <v>0.22574750340763283</v>
      </c>
      <c r="H272" s="352">
        <v>0</v>
      </c>
      <c r="I272" s="352">
        <v>0.23166746823654696</v>
      </c>
      <c r="J272" s="352">
        <v>0.23267345658745703</v>
      </c>
      <c r="K272" s="352">
        <v>0.23307888477328767</v>
      </c>
      <c r="L272" s="364">
        <v>0</v>
      </c>
      <c r="M272" s="291">
        <f t="shared" si="126"/>
        <v>4.021735644120504E-2</v>
      </c>
      <c r="N272" s="293">
        <f t="shared" si="127"/>
        <v>1.5552096096653147E-2</v>
      </c>
      <c r="O272" s="351">
        <v>0</v>
      </c>
      <c r="P272" s="352">
        <v>2.9971367409644865E-3</v>
      </c>
      <c r="Q272" s="352">
        <v>1.5939213904107741E-2</v>
      </c>
      <c r="R272" s="352">
        <v>2.0669597295537329E-2</v>
      </c>
      <c r="S272" s="352">
        <v>2.2567621706247244E-2</v>
      </c>
      <c r="T272" s="352">
        <v>2.2930270597146415E-2</v>
      </c>
      <c r="U272" s="352">
        <v>0</v>
      </c>
      <c r="V272" s="352">
        <v>0</v>
      </c>
      <c r="W272" s="352">
        <v>0</v>
      </c>
      <c r="X272" s="352">
        <v>0</v>
      </c>
      <c r="Y272" s="364">
        <v>0</v>
      </c>
      <c r="Z272" s="291">
        <f t="shared" si="128"/>
        <v>4.6676769873923258E-3</v>
      </c>
      <c r="AA272" s="293">
        <f t="shared" si="129"/>
        <v>2.2760342217793012E-3</v>
      </c>
      <c r="AB272" s="91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1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920">
        <f t="shared" si="130"/>
        <v>0</v>
      </c>
      <c r="AE272" s="897">
        <f t="shared" si="133"/>
        <v>4.021735644120504E-2</v>
      </c>
      <c r="AF272" s="897">
        <f t="shared" si="134"/>
        <v>4.6676769873923258E-3</v>
      </c>
      <c r="AG272" s="897">
        <f t="shared" si="135"/>
        <v>4.4885033428597364E-2</v>
      </c>
      <c r="AH272" s="1113">
        <f t="shared" si="131"/>
        <v>0.89600816506424985</v>
      </c>
      <c r="AI272" s="897">
        <f t="shared" si="132"/>
        <v>0.10399183493575018</v>
      </c>
    </row>
    <row r="273" spans="1:47" x14ac:dyDescent="0.2">
      <c r="A273" s="339">
        <v>2047</v>
      </c>
      <c r="B273" s="353">
        <v>0</v>
      </c>
      <c r="C273" s="354">
        <v>3.9076386476487264E-2</v>
      </c>
      <c r="D273" s="354">
        <v>0.1673037436462517</v>
      </c>
      <c r="E273" s="354">
        <v>0.20298842830282385</v>
      </c>
      <c r="F273" s="354">
        <v>0.22333717950493059</v>
      </c>
      <c r="G273" s="354">
        <v>0.22978963122804782</v>
      </c>
      <c r="H273" s="354">
        <v>0</v>
      </c>
      <c r="I273" s="354">
        <v>0.23329401962669569</v>
      </c>
      <c r="J273" s="354">
        <v>0.23430157774632152</v>
      </c>
      <c r="K273" s="354">
        <v>0.23470762521543698</v>
      </c>
      <c r="L273" s="365">
        <v>0</v>
      </c>
      <c r="M273" s="305">
        <f t="shared" si="126"/>
        <v>4.3546596373380861E-2</v>
      </c>
      <c r="N273" s="307">
        <f t="shared" si="127"/>
        <v>1.8074633127159987E-2</v>
      </c>
      <c r="O273" s="353">
        <v>0</v>
      </c>
      <c r="P273" s="354">
        <v>5.9876803867527596E-3</v>
      </c>
      <c r="Q273" s="354">
        <v>2.4395731842038811E-2</v>
      </c>
      <c r="R273" s="354">
        <v>2.9521176021323255E-2</v>
      </c>
      <c r="S273" s="354">
        <v>3.2175385701066005E-2</v>
      </c>
      <c r="T273" s="354">
        <v>3.2606638064170454E-2</v>
      </c>
      <c r="U273" s="354">
        <v>0</v>
      </c>
      <c r="V273" s="354">
        <v>0</v>
      </c>
      <c r="W273" s="354">
        <v>0</v>
      </c>
      <c r="X273" s="354">
        <v>0</v>
      </c>
      <c r="Y273" s="365">
        <v>0</v>
      </c>
      <c r="Z273" s="305">
        <f t="shared" si="128"/>
        <v>7.2134730743267615E-3</v>
      </c>
      <c r="AA273" s="307">
        <f t="shared" si="129"/>
        <v>3.7139949938808444E-3</v>
      </c>
      <c r="AB273" s="91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1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920">
        <f t="shared" si="130"/>
        <v>0</v>
      </c>
      <c r="AE273" s="897">
        <f t="shared" si="133"/>
        <v>4.3546596373380861E-2</v>
      </c>
      <c r="AF273" s="897">
        <f t="shared" si="134"/>
        <v>7.2134730743267615E-3</v>
      </c>
      <c r="AG273" s="897">
        <f t="shared" si="135"/>
        <v>5.0760069447707626E-2</v>
      </c>
      <c r="AH273" s="1113">
        <f t="shared" si="131"/>
        <v>0.8578907958004669</v>
      </c>
      <c r="AI273" s="897">
        <f t="shared" si="132"/>
        <v>0.14210920419953305</v>
      </c>
    </row>
    <row r="274" spans="1:47" x14ac:dyDescent="0.2">
      <c r="A274" s="339">
        <v>2048</v>
      </c>
      <c r="B274" s="353">
        <v>0</v>
      </c>
      <c r="C274" s="354">
        <v>5.0501101444162387E-2</v>
      </c>
      <c r="D274" s="354">
        <v>0.18222228054759348</v>
      </c>
      <c r="E274" s="354">
        <v>0.20877094536869481</v>
      </c>
      <c r="F274" s="354">
        <v>0.2284537421043864</v>
      </c>
      <c r="G274" s="354">
        <v>0.23088235253018907</v>
      </c>
      <c r="H274" s="354">
        <v>0</v>
      </c>
      <c r="I274" s="354">
        <v>0.23539908811296359</v>
      </c>
      <c r="J274" s="354">
        <v>0.23580553520156902</v>
      </c>
      <c r="K274" s="354">
        <v>0.23580553520156902</v>
      </c>
      <c r="L274" s="365">
        <v>0</v>
      </c>
      <c r="M274" s="305">
        <f t="shared" si="126"/>
        <v>4.6666631026994532E-2</v>
      </c>
      <c r="N274" s="307">
        <f t="shared" si="127"/>
        <v>2.0448025242953454E-2</v>
      </c>
      <c r="O274" s="353">
        <v>0</v>
      </c>
      <c r="P274" s="354">
        <v>1.0471788168535223E-2</v>
      </c>
      <c r="Q274" s="354">
        <v>3.4402655060534866E-2</v>
      </c>
      <c r="R274" s="354">
        <v>4.128850285488514E-2</v>
      </c>
      <c r="S274" s="354">
        <v>4.4390126337214536E-2</v>
      </c>
      <c r="T274" s="354">
        <v>4.4613280366995509E-2</v>
      </c>
      <c r="U274" s="354">
        <v>0</v>
      </c>
      <c r="V274" s="354">
        <v>0</v>
      </c>
      <c r="W274" s="354">
        <v>0</v>
      </c>
      <c r="X274" s="354">
        <v>0</v>
      </c>
      <c r="Y274" s="365">
        <v>0</v>
      </c>
      <c r="Z274" s="305">
        <f t="shared" si="128"/>
        <v>1.0585777130807864E-2</v>
      </c>
      <c r="AA274" s="307">
        <f t="shared" si="129"/>
        <v>5.6772598828465741E-3</v>
      </c>
      <c r="AB274" s="91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1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920">
        <f t="shared" si="130"/>
        <v>0</v>
      </c>
      <c r="AE274" s="897">
        <f t="shared" si="133"/>
        <v>4.6666631026994532E-2</v>
      </c>
      <c r="AF274" s="897">
        <f t="shared" si="134"/>
        <v>1.0585777130807864E-2</v>
      </c>
      <c r="AG274" s="897">
        <f t="shared" si="135"/>
        <v>5.7252408157802394E-2</v>
      </c>
      <c r="AH274" s="1113">
        <f t="shared" si="131"/>
        <v>0.81510337344010519</v>
      </c>
      <c r="AI274" s="897">
        <f t="shared" si="132"/>
        <v>0.18489662655989481</v>
      </c>
    </row>
    <row r="275" spans="1:47" x14ac:dyDescent="0.2">
      <c r="A275" s="339">
        <v>2049</v>
      </c>
      <c r="B275" s="353">
        <v>0</v>
      </c>
      <c r="C275" s="354">
        <v>5.9046120730363937E-2</v>
      </c>
      <c r="D275" s="354">
        <v>0.18873156868199398</v>
      </c>
      <c r="E275" s="354">
        <v>0.21390305648645103</v>
      </c>
      <c r="F275" s="354">
        <v>0.23161225016615727</v>
      </c>
      <c r="G275" s="354">
        <v>0.23448327550464501</v>
      </c>
      <c r="H275" s="354">
        <v>0</v>
      </c>
      <c r="I275" s="354">
        <v>0.23613209436207988</v>
      </c>
      <c r="J275" s="354">
        <v>0.23653880021450646</v>
      </c>
      <c r="K275" s="354">
        <v>0.23653880021450646</v>
      </c>
      <c r="L275" s="365">
        <v>0</v>
      </c>
      <c r="M275" s="305">
        <f t="shared" si="126"/>
        <v>4.8807391039223845E-2</v>
      </c>
      <c r="N275" s="307">
        <f t="shared" si="127"/>
        <v>2.2105258285453497E-2</v>
      </c>
      <c r="O275" s="353">
        <v>0</v>
      </c>
      <c r="P275" s="354">
        <v>1.6001257036170387E-2</v>
      </c>
      <c r="Q275" s="354">
        <v>4.6777104461582807E-2</v>
      </c>
      <c r="R275" s="354">
        <v>5.5193774838162658E-2</v>
      </c>
      <c r="S275" s="354">
        <v>5.7781770893754962E-2</v>
      </c>
      <c r="T275" s="354">
        <v>5.8391768798587013E-2</v>
      </c>
      <c r="U275" s="354">
        <v>0</v>
      </c>
      <c r="V275" s="354">
        <v>0</v>
      </c>
      <c r="W275" s="354">
        <v>0</v>
      </c>
      <c r="X275" s="354">
        <v>0</v>
      </c>
      <c r="Y275" s="365">
        <v>0</v>
      </c>
      <c r="Z275" s="305">
        <f t="shared" si="128"/>
        <v>1.4623692109640912E-2</v>
      </c>
      <c r="AA275" s="307">
        <f t="shared" si="129"/>
        <v>8.0608385255276169E-3</v>
      </c>
      <c r="AB275" s="91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1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920">
        <f t="shared" si="130"/>
        <v>0</v>
      </c>
      <c r="AE275" s="897">
        <f t="shared" si="133"/>
        <v>4.8807391039223845E-2</v>
      </c>
      <c r="AF275" s="897">
        <f t="shared" si="134"/>
        <v>1.4623692109640912E-2</v>
      </c>
      <c r="AG275" s="897">
        <f t="shared" si="135"/>
        <v>6.3431083148864753E-2</v>
      </c>
      <c r="AH275" s="1113">
        <f t="shared" si="131"/>
        <v>0.76945542494803465</v>
      </c>
      <c r="AI275" s="897">
        <f t="shared" si="132"/>
        <v>0.23054457505196546</v>
      </c>
    </row>
    <row r="276" spans="1:47" ht="13.5" thickBot="1" x14ac:dyDescent="0.25">
      <c r="A276" s="337">
        <v>2050</v>
      </c>
      <c r="B276" s="355">
        <v>0</v>
      </c>
      <c r="C276" s="356">
        <v>7.3696643655153743E-2</v>
      </c>
      <c r="D276" s="356">
        <v>0.19566724048979531</v>
      </c>
      <c r="E276" s="356">
        <v>0.22086056946607982</v>
      </c>
      <c r="F276" s="356">
        <v>0.23592629274600638</v>
      </c>
      <c r="G276" s="356">
        <v>0.23503542835744984</v>
      </c>
      <c r="H276" s="356">
        <v>0</v>
      </c>
      <c r="I276" s="356">
        <v>0.23816279339409133</v>
      </c>
      <c r="J276" s="356">
        <v>0.23797581510632063</v>
      </c>
      <c r="K276" s="356">
        <v>0.23797581510632063</v>
      </c>
      <c r="L276" s="366">
        <v>0</v>
      </c>
      <c r="M276" s="319">
        <f t="shared" si="126"/>
        <v>5.2055435691946185E-2</v>
      </c>
      <c r="N276" s="321">
        <f t="shared" si="127"/>
        <v>2.4761005402842283E-2</v>
      </c>
      <c r="O276" s="355">
        <v>0</v>
      </c>
      <c r="P276" s="356">
        <v>2.5265712186704019E-2</v>
      </c>
      <c r="Q276" s="356">
        <v>6.4219711607679905E-2</v>
      </c>
      <c r="R276" s="356">
        <v>7.1639405518833035E-2</v>
      </c>
      <c r="S276" s="356">
        <v>7.4752064824451667E-2</v>
      </c>
      <c r="T276" s="356">
        <v>7.5259826949574268E-2</v>
      </c>
      <c r="U276" s="356">
        <v>0</v>
      </c>
      <c r="V276" s="356">
        <v>0</v>
      </c>
      <c r="W276" s="356">
        <v>0</v>
      </c>
      <c r="X276" s="356">
        <v>0</v>
      </c>
      <c r="Y276" s="366">
        <v>0</v>
      </c>
      <c r="Z276" s="319">
        <f t="shared" si="128"/>
        <v>2.0350854123856899E-2</v>
      </c>
      <c r="AA276" s="321">
        <f t="shared" si="129"/>
        <v>1.1645985727888934E-2</v>
      </c>
      <c r="AB276" s="921">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22">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920">
        <f t="shared" si="130"/>
        <v>0</v>
      </c>
      <c r="AE276" s="897">
        <f t="shared" ref="AE276" si="136">SUMPRODUCT($B$74:$L$74,B276:L276)</f>
        <v>5.2055435691946185E-2</v>
      </c>
      <c r="AF276" s="897">
        <f t="shared" ref="AF276" si="137">SUMPRODUCT($O$74:$Y$74,O276:Y276)</f>
        <v>2.0350854123856899E-2</v>
      </c>
      <c r="AG276" s="897">
        <f t="shared" ref="AG276" si="138">SUM(AE276:AF276)</f>
        <v>7.2406289815803077E-2</v>
      </c>
      <c r="AH276" s="1113">
        <f t="shared" ref="AH276" si="139">IF(AG276&gt;0,AE276/AG276,0)</f>
        <v>0.71893527239652588</v>
      </c>
      <c r="AI276" s="897">
        <f t="shared" ref="AI276" si="140">IF(AG276&gt;0,AF276/AG276,0)</f>
        <v>0.28106472760347417</v>
      </c>
    </row>
    <row r="277" spans="1:47" x14ac:dyDescent="0.2">
      <c r="B277" s="236" t="str">
        <f>B$120</f>
        <v>Output generated: 11/04/2020 14:43</v>
      </c>
      <c r="O277" s="236" t="str">
        <f>O$120</f>
        <v>Output generated: 11/04/2020 14:43</v>
      </c>
      <c r="AE277" s="897"/>
      <c r="AF277" s="897"/>
      <c r="AG277" s="897"/>
      <c r="AH277" s="897"/>
      <c r="AI277" s="897"/>
    </row>
    <row r="278" spans="1:47" x14ac:dyDescent="0.2">
      <c r="AE278" s="897"/>
      <c r="AF278" s="897"/>
      <c r="AG278" s="897"/>
      <c r="AH278" s="897"/>
      <c r="AI278" s="897"/>
    </row>
    <row r="279" spans="1:47" ht="13.5" thickBot="1" x14ac:dyDescent="0.25">
      <c r="AE279" s="897"/>
      <c r="AF279" s="897"/>
      <c r="AG279" s="897"/>
      <c r="AH279" s="897"/>
      <c r="AI279" s="897"/>
    </row>
    <row r="280" spans="1:47" ht="15" x14ac:dyDescent="0.25">
      <c r="A280" s="342"/>
      <c r="B280" s="1643" t="s">
        <v>314</v>
      </c>
      <c r="C280" s="1644"/>
      <c r="D280" s="1644"/>
      <c r="E280" s="1644"/>
      <c r="F280" s="1644"/>
      <c r="G280" s="1644"/>
      <c r="H280" s="1644"/>
      <c r="I280" s="1644"/>
      <c r="J280" s="1644"/>
      <c r="K280" s="1644"/>
      <c r="L280" s="1644"/>
      <c r="M280" s="1644"/>
      <c r="N280" s="1645"/>
      <c r="O280" s="1643" t="s">
        <v>315</v>
      </c>
      <c r="P280" s="1644"/>
      <c r="Q280" s="1644"/>
      <c r="R280" s="1644"/>
      <c r="S280" s="1644"/>
      <c r="T280" s="1644"/>
      <c r="U280" s="1644"/>
      <c r="V280" s="1644"/>
      <c r="W280" s="1644"/>
      <c r="X280" s="1644"/>
      <c r="Y280" s="1644"/>
      <c r="Z280" s="1644"/>
      <c r="AA280" s="1645"/>
      <c r="AE280" s="897"/>
      <c r="AF280" s="897"/>
      <c r="AG280" s="897"/>
      <c r="AH280" s="897"/>
      <c r="AI280" s="897"/>
    </row>
    <row r="281" spans="1:47" x14ac:dyDescent="0.2">
      <c r="A281" s="333"/>
      <c r="B281" s="1641" t="s">
        <v>125</v>
      </c>
      <c r="C281" s="1642"/>
      <c r="D281" s="1642"/>
      <c r="E281" s="1642"/>
      <c r="F281" s="1642"/>
      <c r="G281" s="1642"/>
      <c r="H281" s="1642"/>
      <c r="I281" s="1642"/>
      <c r="J281" s="1642"/>
      <c r="K281" s="1642"/>
      <c r="L281" s="1642"/>
      <c r="M281" s="367"/>
      <c r="N281" s="334"/>
      <c r="O281" s="1641" t="s">
        <v>125</v>
      </c>
      <c r="P281" s="1642"/>
      <c r="Q281" s="1642"/>
      <c r="R281" s="1642"/>
      <c r="S281" s="1642"/>
      <c r="T281" s="1642"/>
      <c r="U281" s="1642"/>
      <c r="V281" s="1642"/>
      <c r="W281" s="1642"/>
      <c r="X281" s="1642"/>
      <c r="Y281" s="1642"/>
      <c r="Z281" s="367"/>
      <c r="AA281" s="334"/>
      <c r="AC281" s="925" t="s">
        <v>211</v>
      </c>
      <c r="AD281" s="243" t="b">
        <f>INDEX(TECH_OPT_FUEL2_Cls2,MATCH(RIGHT(O280),TECH_OPT_ROWS_Cls2,0))&lt;&gt;"N/A"</f>
        <v>1</v>
      </c>
      <c r="AE281" s="897"/>
      <c r="AF281" s="897"/>
      <c r="AG281" s="897"/>
      <c r="AH281" s="897"/>
      <c r="AI281" s="897"/>
    </row>
    <row r="282" spans="1:47" ht="13.5" thickBot="1" x14ac:dyDescent="0.25">
      <c r="A282" s="340"/>
      <c r="B282" s="347" t="s">
        <v>31</v>
      </c>
      <c r="C282" s="348" t="s">
        <v>32</v>
      </c>
      <c r="D282" s="348" t="s">
        <v>33</v>
      </c>
      <c r="E282" s="348" t="s">
        <v>34</v>
      </c>
      <c r="F282" s="348" t="s">
        <v>35</v>
      </c>
      <c r="G282" s="348" t="s">
        <v>36</v>
      </c>
      <c r="H282" s="348" t="s">
        <v>37</v>
      </c>
      <c r="I282" s="348" t="s">
        <v>38</v>
      </c>
      <c r="J282" s="348" t="s">
        <v>39</v>
      </c>
      <c r="K282" s="348" t="s">
        <v>40</v>
      </c>
      <c r="L282" s="362" t="s">
        <v>41</v>
      </c>
      <c r="M282" s="368" t="s">
        <v>126</v>
      </c>
      <c r="N282" s="341" t="s">
        <v>127</v>
      </c>
      <c r="O282" s="347" t="s">
        <v>31</v>
      </c>
      <c r="P282" s="348" t="s">
        <v>32</v>
      </c>
      <c r="Q282" s="348" t="s">
        <v>33</v>
      </c>
      <c r="R282" s="348" t="s">
        <v>34</v>
      </c>
      <c r="S282" s="348" t="s">
        <v>35</v>
      </c>
      <c r="T282" s="348" t="s">
        <v>36</v>
      </c>
      <c r="U282" s="348" t="s">
        <v>37</v>
      </c>
      <c r="V282" s="348" t="s">
        <v>38</v>
      </c>
      <c r="W282" s="348" t="s">
        <v>39</v>
      </c>
      <c r="X282" s="348" t="s">
        <v>40</v>
      </c>
      <c r="Y282" s="362" t="s">
        <v>41</v>
      </c>
      <c r="Z282" s="368" t="s">
        <v>126</v>
      </c>
      <c r="AA282" s="341" t="s">
        <v>127</v>
      </c>
      <c r="AB282" s="896"/>
      <c r="AC282" s="925" t="s">
        <v>212</v>
      </c>
      <c r="AD282" s="243">
        <f>MATCH(RIGHT(O280),TECH_OPT_ROWS_Cls2,0)</f>
        <v>6</v>
      </c>
      <c r="AE282" s="897"/>
      <c r="AF282" s="897"/>
      <c r="AG282" s="897"/>
      <c r="AH282" s="897"/>
      <c r="AI282" s="897"/>
    </row>
    <row r="283" spans="1:47" ht="14.25" thickTop="1" thickBot="1" x14ac:dyDescent="0.25">
      <c r="A283" s="357" t="s">
        <v>128</v>
      </c>
      <c r="B283" s="349">
        <f t="array" ref="B283:L283">TRANSPOSE(Cls2CentTruckShr)</f>
        <v>0.14301387566993123</v>
      </c>
      <c r="C283" s="350">
        <v>0.15922037604799255</v>
      </c>
      <c r="D283" s="350">
        <v>2.9955708879143464E-2</v>
      </c>
      <c r="E283" s="350">
        <v>1.2051872071306563E-2</v>
      </c>
      <c r="F283" s="350">
        <v>2.5101991276529922E-3</v>
      </c>
      <c r="G283" s="350">
        <v>6.9082025480011917E-3</v>
      </c>
      <c r="H283" s="350">
        <v>0</v>
      </c>
      <c r="I283" s="350">
        <v>5.0829911580039175E-3</v>
      </c>
      <c r="J283" s="350">
        <v>4.1774531135091424E-3</v>
      </c>
      <c r="K283" s="350">
        <v>3.4985640210313297E-4</v>
      </c>
      <c r="L283" s="363">
        <v>0</v>
      </c>
      <c r="M283" s="1170"/>
      <c r="N283" s="1171"/>
      <c r="O283" s="349">
        <f t="array" ref="O283:Y283">TRANSPOSE(Cls2NCentTruckShr)</f>
        <v>0.32168658911174963</v>
      </c>
      <c r="P283" s="350">
        <v>0.22951996662284996</v>
      </c>
      <c r="Q283" s="350">
        <v>4.4589165182040112E-2</v>
      </c>
      <c r="R283" s="350">
        <v>2.5203556385104318E-2</v>
      </c>
      <c r="S283" s="350">
        <v>1.1662976711256823E-2</v>
      </c>
      <c r="T283" s="350">
        <v>4.0672109693550701E-3</v>
      </c>
      <c r="U283" s="350">
        <v>0</v>
      </c>
      <c r="V283" s="350">
        <v>0</v>
      </c>
      <c r="W283" s="350">
        <v>0</v>
      </c>
      <c r="X283" s="350">
        <v>0</v>
      </c>
      <c r="Y283" s="1172">
        <v>0</v>
      </c>
      <c r="Z283" s="1170"/>
      <c r="AA283" s="1171"/>
    </row>
    <row r="284" spans="1:47" x14ac:dyDescent="0.2">
      <c r="A284" s="340" t="s">
        <v>129</v>
      </c>
      <c r="B284" s="886">
        <f t="array" ref="B284:L284">TRANSPOSE(Cls2CentVMTShr)</f>
        <v>6.2596304675174685E-2</v>
      </c>
      <c r="C284" s="887">
        <v>0.17123619514715344</v>
      </c>
      <c r="D284" s="887">
        <v>5.4462640341289378E-2</v>
      </c>
      <c r="E284" s="887">
        <v>3.0079969757749035E-2</v>
      </c>
      <c r="F284" s="887">
        <v>8.9582541075343674E-3</v>
      </c>
      <c r="G284" s="887">
        <v>2.7354452536373829E-2</v>
      </c>
      <c r="H284" s="887">
        <v>0</v>
      </c>
      <c r="I284" s="887">
        <v>2.7838813346236703E-2</v>
      </c>
      <c r="J284" s="887">
        <v>2.6638291118281053E-2</v>
      </c>
      <c r="K284" s="887">
        <v>2.6207591632366194E-3</v>
      </c>
      <c r="L284" s="1167">
        <v>0</v>
      </c>
      <c r="M284" s="1168"/>
      <c r="N284" s="1169"/>
      <c r="O284" s="886">
        <f t="array" ref="O284:Y284">TRANSPOSE(Cls2NCentVMTShr)</f>
        <v>0.1395246673448009</v>
      </c>
      <c r="P284" s="887">
        <v>0.24520988200363547</v>
      </c>
      <c r="Q284" s="887">
        <v>8.1490070736109921E-2</v>
      </c>
      <c r="R284" s="887">
        <v>6.583288215049983E-2</v>
      </c>
      <c r="S284" s="887">
        <v>4.0172226503060141E-2</v>
      </c>
      <c r="T284" s="887">
        <v>1.5984591068864695E-2</v>
      </c>
      <c r="U284" s="887">
        <v>0</v>
      </c>
      <c r="V284" s="887">
        <v>0</v>
      </c>
      <c r="W284" s="887">
        <v>0</v>
      </c>
      <c r="X284" s="887">
        <v>0</v>
      </c>
      <c r="Y284" s="888">
        <v>0</v>
      </c>
      <c r="Z284" s="1168"/>
      <c r="AA284" s="1169"/>
      <c r="AB284" s="1630" t="str">
        <f>"% of miles on f2 for Tech "&amp; RIGHT(O279)&amp;" adopters"</f>
        <v>% of miles on f2 for Tech  adopters</v>
      </c>
      <c r="AC284" s="1631"/>
      <c r="AD284" s="1632"/>
      <c r="AE284" s="897" t="s">
        <v>245</v>
      </c>
      <c r="AF284" s="897"/>
      <c r="AG284" s="897"/>
      <c r="AH284" s="1113" t="s">
        <v>244</v>
      </c>
      <c r="AI284" s="897"/>
    </row>
    <row r="285" spans="1:47" ht="13.5" thickBot="1" x14ac:dyDescent="0.25">
      <c r="A285" s="902" t="s">
        <v>210</v>
      </c>
      <c r="B285" s="893">
        <f t="array" ref="B285:L285">TRANSPOSE(Cls2CentVMT/OPDAYS_Cls2)</f>
        <v>47.272432262826776</v>
      </c>
      <c r="C285" s="894">
        <v>116.15404879045298</v>
      </c>
      <c r="D285" s="894">
        <v>196.36158066360434</v>
      </c>
      <c r="E285" s="894">
        <v>269.56301851798423</v>
      </c>
      <c r="F285" s="894">
        <v>385.43631601986891</v>
      </c>
      <c r="G285" s="894">
        <v>427.66173492444818</v>
      </c>
      <c r="H285" s="894">
        <v>520</v>
      </c>
      <c r="I285" s="894">
        <v>591.51912876803578</v>
      </c>
      <c r="J285" s="894">
        <v>688.70336552103913</v>
      </c>
      <c r="K285" s="894">
        <v>809.04879618738505</v>
      </c>
      <c r="L285" s="895">
        <v>800</v>
      </c>
      <c r="M285" s="891"/>
      <c r="N285" s="892"/>
      <c r="O285" s="893">
        <f t="array" ref="O285:Y285">TRANSPOSE(Cls2NCentVMT/OPDAYS_Cls2)</f>
        <v>46.84416138890699</v>
      </c>
      <c r="P285" s="894">
        <v>115.38648000770841</v>
      </c>
      <c r="Q285" s="894">
        <v>197.38438010908374</v>
      </c>
      <c r="R285" s="894">
        <v>282.10999329750342</v>
      </c>
      <c r="S285" s="894">
        <v>372.00940778680217</v>
      </c>
      <c r="T285" s="894">
        <v>424.46536474865826</v>
      </c>
      <c r="U285" s="894">
        <v>520</v>
      </c>
      <c r="V285" s="894">
        <v>600</v>
      </c>
      <c r="W285" s="894">
        <v>680</v>
      </c>
      <c r="X285" s="894">
        <v>760</v>
      </c>
      <c r="Y285" s="1173">
        <v>800</v>
      </c>
      <c r="Z285" s="903"/>
      <c r="AA285" s="892"/>
      <c r="AB285" s="915" t="s">
        <v>174</v>
      </c>
      <c r="AC285" s="916" t="s">
        <v>15</v>
      </c>
      <c r="AD285" s="917" t="s">
        <v>20</v>
      </c>
      <c r="AE285" s="897" t="s">
        <v>174</v>
      </c>
      <c r="AF285" s="897" t="s">
        <v>15</v>
      </c>
      <c r="AG285" s="897" t="s">
        <v>20</v>
      </c>
      <c r="AH285" s="1113" t="s">
        <v>174</v>
      </c>
      <c r="AI285" s="897" t="s">
        <v>15</v>
      </c>
      <c r="AJ285"/>
      <c r="AK285"/>
      <c r="AL285"/>
      <c r="AM285"/>
      <c r="AN285"/>
      <c r="AO285"/>
      <c r="AP285"/>
      <c r="AQ285"/>
      <c r="AR285"/>
      <c r="AS285"/>
      <c r="AT285"/>
      <c r="AU285"/>
    </row>
    <row r="286" spans="1:47" ht="13.5" thickTop="1" x14ac:dyDescent="0.2">
      <c r="A286" s="335">
        <v>2007</v>
      </c>
      <c r="B286" s="351">
        <v>0</v>
      </c>
      <c r="C286" s="352">
        <v>0</v>
      </c>
      <c r="D286" s="352">
        <v>0</v>
      </c>
      <c r="E286" s="352">
        <v>0</v>
      </c>
      <c r="F286" s="352">
        <v>0</v>
      </c>
      <c r="G286" s="352">
        <v>0</v>
      </c>
      <c r="H286" s="352">
        <v>0</v>
      </c>
      <c r="I286" s="352">
        <v>0</v>
      </c>
      <c r="J286" s="352">
        <v>0</v>
      </c>
      <c r="K286" s="352">
        <v>0</v>
      </c>
      <c r="L286" s="364">
        <v>0</v>
      </c>
      <c r="M286" s="291">
        <f>SUMPRODUCT($B$178:$L$178,$B286:$L286)</f>
        <v>0</v>
      </c>
      <c r="N286" s="293">
        <f>SUMPRODUCT($B$177:$L$177,$B286:$L286)</f>
        <v>0</v>
      </c>
      <c r="O286" s="351">
        <v>0</v>
      </c>
      <c r="P286" s="352">
        <v>0</v>
      </c>
      <c r="Q286" s="352">
        <v>0</v>
      </c>
      <c r="R286" s="352">
        <v>0</v>
      </c>
      <c r="S286" s="352">
        <v>0</v>
      </c>
      <c r="T286" s="352">
        <v>0</v>
      </c>
      <c r="U286" s="352">
        <v>0</v>
      </c>
      <c r="V286" s="352">
        <v>0</v>
      </c>
      <c r="W286" s="352">
        <v>0</v>
      </c>
      <c r="X286" s="352">
        <v>0</v>
      </c>
      <c r="Y286" s="364">
        <v>0</v>
      </c>
      <c r="Z286" s="372">
        <f>SUMPRODUCT($O$178:$Y$178,$O286:$Y286)</f>
        <v>0</v>
      </c>
      <c r="AA286" s="293">
        <f>SUMPRODUCT($O$177:$Y$177,$O286:$Y286)</f>
        <v>0</v>
      </c>
      <c r="AB286" s="91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1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174">
        <f>AB286*AH286+AC286*AI286</f>
        <v>0</v>
      </c>
      <c r="AE286" s="897">
        <f t="shared" ref="AE286:AE300" si="141">SUMPRODUCT($B$74:$L$74,B286:L286)</f>
        <v>0</v>
      </c>
      <c r="AF286" s="897">
        <f t="shared" ref="AF286:AF300" si="142">SUMPRODUCT($O$74:$Y$74,O286:Y286)</f>
        <v>0</v>
      </c>
      <c r="AG286" s="897">
        <f t="shared" ref="AG286:AG300" si="143">SUM(AE286:AF286)</f>
        <v>0</v>
      </c>
      <c r="AH286" s="1113">
        <f>IF(AG286&gt;0,AE286/AG286,0)</f>
        <v>0</v>
      </c>
      <c r="AI286" s="897">
        <f>IF(AG286&gt;0,AF286/AG286,0)</f>
        <v>0</v>
      </c>
    </row>
    <row r="287" spans="1:47" x14ac:dyDescent="0.2">
      <c r="A287" s="336">
        <v>2008</v>
      </c>
      <c r="B287" s="353">
        <v>0</v>
      </c>
      <c r="C287" s="354">
        <v>0</v>
      </c>
      <c r="D287" s="354">
        <v>0</v>
      </c>
      <c r="E287" s="354">
        <v>0</v>
      </c>
      <c r="F287" s="354">
        <v>0</v>
      </c>
      <c r="G287" s="354">
        <v>0</v>
      </c>
      <c r="H287" s="354">
        <v>0</v>
      </c>
      <c r="I287" s="354">
        <v>0</v>
      </c>
      <c r="J287" s="354">
        <v>0</v>
      </c>
      <c r="K287" s="354">
        <v>0</v>
      </c>
      <c r="L287" s="365">
        <v>0</v>
      </c>
      <c r="M287" s="305">
        <f t="shared" ref="M287:M329" si="144">SUMPRODUCT($B$178:$L$178,$B287:$L287)</f>
        <v>0</v>
      </c>
      <c r="N287" s="307">
        <f t="shared" ref="N287:N329" si="145">SUMPRODUCT($B$177:$L$177,$B287:$L287)</f>
        <v>0</v>
      </c>
      <c r="O287" s="353">
        <v>0</v>
      </c>
      <c r="P287" s="354">
        <v>0</v>
      </c>
      <c r="Q287" s="354">
        <v>0</v>
      </c>
      <c r="R287" s="354">
        <v>0</v>
      </c>
      <c r="S287" s="354">
        <v>0</v>
      </c>
      <c r="T287" s="354">
        <v>0</v>
      </c>
      <c r="U287" s="354">
        <v>0</v>
      </c>
      <c r="V287" s="354">
        <v>0</v>
      </c>
      <c r="W287" s="354">
        <v>0</v>
      </c>
      <c r="X287" s="354">
        <v>0</v>
      </c>
      <c r="Y287" s="365">
        <v>0</v>
      </c>
      <c r="Z287" s="305">
        <f t="shared" ref="Z287:Z329" si="146">SUMPRODUCT($O$178:$Y$178,$O287:$Y287)</f>
        <v>0</v>
      </c>
      <c r="AA287" s="307">
        <f t="shared" ref="AA287:AA329" si="147">SUMPRODUCT($O$177:$Y$177,$O287:$Y287)</f>
        <v>0</v>
      </c>
      <c r="AB287" s="91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1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920">
        <f t="shared" ref="AD287:AD329" si="148">AB287*AH287+AC287*AI287</f>
        <v>0</v>
      </c>
      <c r="AE287" s="897">
        <f t="shared" si="141"/>
        <v>0</v>
      </c>
      <c r="AF287" s="897">
        <f t="shared" si="142"/>
        <v>0</v>
      </c>
      <c r="AG287" s="897">
        <f t="shared" si="143"/>
        <v>0</v>
      </c>
      <c r="AH287" s="1113">
        <f t="shared" ref="AH287:AH328" si="149">IF(AG287&gt;0,AE287/AG287,0)</f>
        <v>0</v>
      </c>
      <c r="AI287" s="897">
        <f t="shared" ref="AI287:AI328" si="150">IF(AG287&gt;0,AF287/AG287,0)</f>
        <v>0</v>
      </c>
    </row>
    <row r="288" spans="1:47" x14ac:dyDescent="0.2">
      <c r="A288" s="336">
        <v>2009</v>
      </c>
      <c r="B288" s="353">
        <v>0</v>
      </c>
      <c r="C288" s="354">
        <v>0</v>
      </c>
      <c r="D288" s="354">
        <v>0</v>
      </c>
      <c r="E288" s="354">
        <v>0</v>
      </c>
      <c r="F288" s="354">
        <v>0</v>
      </c>
      <c r="G288" s="354">
        <v>0</v>
      </c>
      <c r="H288" s="354">
        <v>0</v>
      </c>
      <c r="I288" s="354">
        <v>0</v>
      </c>
      <c r="J288" s="354">
        <v>0</v>
      </c>
      <c r="K288" s="354">
        <v>0</v>
      </c>
      <c r="L288" s="365">
        <v>0</v>
      </c>
      <c r="M288" s="305">
        <f t="shared" si="144"/>
        <v>0</v>
      </c>
      <c r="N288" s="307">
        <f t="shared" si="145"/>
        <v>0</v>
      </c>
      <c r="O288" s="353">
        <v>0</v>
      </c>
      <c r="P288" s="354">
        <v>0</v>
      </c>
      <c r="Q288" s="354">
        <v>0</v>
      </c>
      <c r="R288" s="354">
        <v>0</v>
      </c>
      <c r="S288" s="354">
        <v>0</v>
      </c>
      <c r="T288" s="354">
        <v>0</v>
      </c>
      <c r="U288" s="354">
        <v>0</v>
      </c>
      <c r="V288" s="354">
        <v>0</v>
      </c>
      <c r="W288" s="354">
        <v>0</v>
      </c>
      <c r="X288" s="354">
        <v>0</v>
      </c>
      <c r="Y288" s="365">
        <v>0</v>
      </c>
      <c r="Z288" s="305">
        <f t="shared" si="146"/>
        <v>0</v>
      </c>
      <c r="AA288" s="307">
        <f t="shared" si="147"/>
        <v>0</v>
      </c>
      <c r="AB288" s="91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1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920">
        <f t="shared" si="148"/>
        <v>0</v>
      </c>
      <c r="AE288" s="897">
        <f t="shared" si="141"/>
        <v>0</v>
      </c>
      <c r="AF288" s="897">
        <f t="shared" si="142"/>
        <v>0</v>
      </c>
      <c r="AG288" s="897">
        <f t="shared" si="143"/>
        <v>0</v>
      </c>
      <c r="AH288" s="1113">
        <f t="shared" si="149"/>
        <v>0</v>
      </c>
      <c r="AI288" s="897">
        <f t="shared" si="150"/>
        <v>0</v>
      </c>
    </row>
    <row r="289" spans="1:35" ht="13.5" thickBot="1" x14ac:dyDescent="0.25">
      <c r="A289" s="337">
        <v>2010</v>
      </c>
      <c r="B289" s="355">
        <v>0</v>
      </c>
      <c r="C289" s="356">
        <v>0</v>
      </c>
      <c r="D289" s="356">
        <v>0</v>
      </c>
      <c r="E289" s="356">
        <v>0</v>
      </c>
      <c r="F289" s="356">
        <v>0</v>
      </c>
      <c r="G289" s="356">
        <v>0</v>
      </c>
      <c r="H289" s="356">
        <v>0</v>
      </c>
      <c r="I289" s="356">
        <v>0</v>
      </c>
      <c r="J289" s="356">
        <v>0</v>
      </c>
      <c r="K289" s="356">
        <v>0</v>
      </c>
      <c r="L289" s="366">
        <v>0</v>
      </c>
      <c r="M289" s="319">
        <f t="shared" si="144"/>
        <v>0</v>
      </c>
      <c r="N289" s="321">
        <f t="shared" si="145"/>
        <v>0</v>
      </c>
      <c r="O289" s="355">
        <v>0</v>
      </c>
      <c r="P289" s="356">
        <v>0</v>
      </c>
      <c r="Q289" s="356">
        <v>0</v>
      </c>
      <c r="R289" s="356">
        <v>0</v>
      </c>
      <c r="S289" s="356">
        <v>0</v>
      </c>
      <c r="T289" s="356">
        <v>0</v>
      </c>
      <c r="U289" s="356">
        <v>0</v>
      </c>
      <c r="V289" s="356">
        <v>0</v>
      </c>
      <c r="W289" s="356">
        <v>0</v>
      </c>
      <c r="X289" s="356">
        <v>0</v>
      </c>
      <c r="Y289" s="366">
        <v>0</v>
      </c>
      <c r="Z289" s="319">
        <f t="shared" si="146"/>
        <v>0</v>
      </c>
      <c r="AA289" s="321">
        <f t="shared" si="147"/>
        <v>0</v>
      </c>
      <c r="AB289" s="91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1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920">
        <f t="shared" si="148"/>
        <v>0</v>
      </c>
      <c r="AE289" s="897">
        <f t="shared" si="141"/>
        <v>0</v>
      </c>
      <c r="AF289" s="897">
        <f t="shared" si="142"/>
        <v>0</v>
      </c>
      <c r="AG289" s="897">
        <f t="shared" si="143"/>
        <v>0</v>
      </c>
      <c r="AH289" s="1113">
        <f t="shared" si="149"/>
        <v>0</v>
      </c>
      <c r="AI289" s="897">
        <f t="shared" si="150"/>
        <v>0</v>
      </c>
    </row>
    <row r="290" spans="1:35" x14ac:dyDescent="0.2">
      <c r="A290" s="338">
        <v>2011</v>
      </c>
      <c r="B290" s="351">
        <v>0</v>
      </c>
      <c r="C290" s="352">
        <v>0</v>
      </c>
      <c r="D290" s="352">
        <v>0</v>
      </c>
      <c r="E290" s="352">
        <v>0</v>
      </c>
      <c r="F290" s="352">
        <v>0</v>
      </c>
      <c r="G290" s="352">
        <v>0</v>
      </c>
      <c r="H290" s="352">
        <v>0</v>
      </c>
      <c r="I290" s="352">
        <v>0</v>
      </c>
      <c r="J290" s="352">
        <v>0</v>
      </c>
      <c r="K290" s="352">
        <v>0</v>
      </c>
      <c r="L290" s="364">
        <v>0</v>
      </c>
      <c r="M290" s="291">
        <f t="shared" si="144"/>
        <v>0</v>
      </c>
      <c r="N290" s="293">
        <f t="shared" si="145"/>
        <v>0</v>
      </c>
      <c r="O290" s="351">
        <v>0</v>
      </c>
      <c r="P290" s="352">
        <v>0</v>
      </c>
      <c r="Q290" s="352">
        <v>0</v>
      </c>
      <c r="R290" s="352">
        <v>0</v>
      </c>
      <c r="S290" s="352">
        <v>0</v>
      </c>
      <c r="T290" s="352">
        <v>0</v>
      </c>
      <c r="U290" s="352">
        <v>0</v>
      </c>
      <c r="V290" s="352">
        <v>0</v>
      </c>
      <c r="W290" s="352">
        <v>0</v>
      </c>
      <c r="X290" s="352">
        <v>0</v>
      </c>
      <c r="Y290" s="364">
        <v>0</v>
      </c>
      <c r="Z290" s="291">
        <f t="shared" si="146"/>
        <v>0</v>
      </c>
      <c r="AA290" s="293">
        <f t="shared" si="147"/>
        <v>0</v>
      </c>
      <c r="AB290" s="91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1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920">
        <f t="shared" si="148"/>
        <v>0</v>
      </c>
      <c r="AE290" s="897">
        <f t="shared" si="141"/>
        <v>0</v>
      </c>
      <c r="AF290" s="897">
        <f t="shared" si="142"/>
        <v>0</v>
      </c>
      <c r="AG290" s="897">
        <f t="shared" si="143"/>
        <v>0</v>
      </c>
      <c r="AH290" s="1113">
        <f t="shared" si="149"/>
        <v>0</v>
      </c>
      <c r="AI290" s="897">
        <f t="shared" si="150"/>
        <v>0</v>
      </c>
    </row>
    <row r="291" spans="1:35" x14ac:dyDescent="0.2">
      <c r="A291" s="339">
        <v>2012</v>
      </c>
      <c r="B291" s="353">
        <v>0</v>
      </c>
      <c r="C291" s="354">
        <v>0</v>
      </c>
      <c r="D291" s="354">
        <v>0</v>
      </c>
      <c r="E291" s="354">
        <v>0</v>
      </c>
      <c r="F291" s="354">
        <v>0</v>
      </c>
      <c r="G291" s="354">
        <v>0</v>
      </c>
      <c r="H291" s="354">
        <v>0</v>
      </c>
      <c r="I291" s="354">
        <v>0</v>
      </c>
      <c r="J291" s="354">
        <v>0</v>
      </c>
      <c r="K291" s="354">
        <v>0</v>
      </c>
      <c r="L291" s="365">
        <v>0</v>
      </c>
      <c r="M291" s="305">
        <f t="shared" si="144"/>
        <v>0</v>
      </c>
      <c r="N291" s="307">
        <f t="shared" si="145"/>
        <v>0</v>
      </c>
      <c r="O291" s="353">
        <v>0</v>
      </c>
      <c r="P291" s="354">
        <v>0</v>
      </c>
      <c r="Q291" s="354">
        <v>0</v>
      </c>
      <c r="R291" s="354">
        <v>0</v>
      </c>
      <c r="S291" s="354">
        <v>0</v>
      </c>
      <c r="T291" s="354">
        <v>0</v>
      </c>
      <c r="U291" s="354">
        <v>0</v>
      </c>
      <c r="V291" s="354">
        <v>0</v>
      </c>
      <c r="W291" s="354">
        <v>0</v>
      </c>
      <c r="X291" s="354">
        <v>0</v>
      </c>
      <c r="Y291" s="365">
        <v>0</v>
      </c>
      <c r="Z291" s="305">
        <f t="shared" si="146"/>
        <v>0</v>
      </c>
      <c r="AA291" s="307">
        <f t="shared" si="147"/>
        <v>0</v>
      </c>
      <c r="AB291" s="91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1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920">
        <f t="shared" si="148"/>
        <v>0</v>
      </c>
      <c r="AE291" s="897">
        <f t="shared" si="141"/>
        <v>0</v>
      </c>
      <c r="AF291" s="897">
        <f t="shared" si="142"/>
        <v>0</v>
      </c>
      <c r="AG291" s="897">
        <f t="shared" si="143"/>
        <v>0</v>
      </c>
      <c r="AH291" s="1113">
        <f t="shared" si="149"/>
        <v>0</v>
      </c>
      <c r="AI291" s="897">
        <f t="shared" si="150"/>
        <v>0</v>
      </c>
    </row>
    <row r="292" spans="1:35" x14ac:dyDescent="0.2">
      <c r="A292" s="339">
        <v>2013</v>
      </c>
      <c r="B292" s="353">
        <v>0</v>
      </c>
      <c r="C292" s="354">
        <v>0</v>
      </c>
      <c r="D292" s="354">
        <v>0</v>
      </c>
      <c r="E292" s="354">
        <v>0</v>
      </c>
      <c r="F292" s="354">
        <v>0</v>
      </c>
      <c r="G292" s="354">
        <v>0</v>
      </c>
      <c r="H292" s="354">
        <v>0</v>
      </c>
      <c r="I292" s="354">
        <v>0</v>
      </c>
      <c r="J292" s="354">
        <v>0</v>
      </c>
      <c r="K292" s="354">
        <v>0</v>
      </c>
      <c r="L292" s="365">
        <v>0</v>
      </c>
      <c r="M292" s="305">
        <f t="shared" si="144"/>
        <v>0</v>
      </c>
      <c r="N292" s="307">
        <f t="shared" si="145"/>
        <v>0</v>
      </c>
      <c r="O292" s="353">
        <v>0</v>
      </c>
      <c r="P292" s="354">
        <v>0</v>
      </c>
      <c r="Q292" s="354">
        <v>0</v>
      </c>
      <c r="R292" s="354">
        <v>0</v>
      </c>
      <c r="S292" s="354">
        <v>0</v>
      </c>
      <c r="T292" s="354">
        <v>0</v>
      </c>
      <c r="U292" s="354">
        <v>0</v>
      </c>
      <c r="V292" s="354">
        <v>0</v>
      </c>
      <c r="W292" s="354">
        <v>0</v>
      </c>
      <c r="X292" s="354">
        <v>0</v>
      </c>
      <c r="Y292" s="365">
        <v>0</v>
      </c>
      <c r="Z292" s="305">
        <f t="shared" si="146"/>
        <v>0</v>
      </c>
      <c r="AA292" s="307">
        <f t="shared" si="147"/>
        <v>0</v>
      </c>
      <c r="AB292" s="91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1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920">
        <f t="shared" si="148"/>
        <v>0</v>
      </c>
      <c r="AE292" s="897">
        <f t="shared" si="141"/>
        <v>0</v>
      </c>
      <c r="AF292" s="897">
        <f t="shared" si="142"/>
        <v>0</v>
      </c>
      <c r="AG292" s="897">
        <f t="shared" si="143"/>
        <v>0</v>
      </c>
      <c r="AH292" s="1113">
        <f t="shared" si="149"/>
        <v>0</v>
      </c>
      <c r="AI292" s="897">
        <f t="shared" si="150"/>
        <v>0</v>
      </c>
    </row>
    <row r="293" spans="1:35" x14ac:dyDescent="0.2">
      <c r="A293" s="339">
        <v>2014</v>
      </c>
      <c r="B293" s="353">
        <v>0</v>
      </c>
      <c r="C293" s="354">
        <v>0</v>
      </c>
      <c r="D293" s="354">
        <v>0</v>
      </c>
      <c r="E293" s="354">
        <v>0</v>
      </c>
      <c r="F293" s="354">
        <v>0</v>
      </c>
      <c r="G293" s="354">
        <v>0</v>
      </c>
      <c r="H293" s="354">
        <v>0</v>
      </c>
      <c r="I293" s="354">
        <v>0</v>
      </c>
      <c r="J293" s="354">
        <v>0</v>
      </c>
      <c r="K293" s="354">
        <v>0</v>
      </c>
      <c r="L293" s="365">
        <v>0</v>
      </c>
      <c r="M293" s="305">
        <f t="shared" si="144"/>
        <v>0</v>
      </c>
      <c r="N293" s="307">
        <f t="shared" si="145"/>
        <v>0</v>
      </c>
      <c r="O293" s="353">
        <v>0</v>
      </c>
      <c r="P293" s="354">
        <v>0</v>
      </c>
      <c r="Q293" s="354">
        <v>0</v>
      </c>
      <c r="R293" s="354">
        <v>0</v>
      </c>
      <c r="S293" s="354">
        <v>0</v>
      </c>
      <c r="T293" s="354">
        <v>0</v>
      </c>
      <c r="U293" s="354">
        <v>0</v>
      </c>
      <c r="V293" s="354">
        <v>0</v>
      </c>
      <c r="W293" s="354">
        <v>0</v>
      </c>
      <c r="X293" s="354">
        <v>0</v>
      </c>
      <c r="Y293" s="365">
        <v>0</v>
      </c>
      <c r="Z293" s="305">
        <f t="shared" si="146"/>
        <v>0</v>
      </c>
      <c r="AA293" s="307">
        <f t="shared" si="147"/>
        <v>0</v>
      </c>
      <c r="AB293" s="91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1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920">
        <f t="shared" si="148"/>
        <v>0</v>
      </c>
      <c r="AE293" s="897">
        <f t="shared" si="141"/>
        <v>0</v>
      </c>
      <c r="AF293" s="897">
        <f t="shared" si="142"/>
        <v>0</v>
      </c>
      <c r="AG293" s="897">
        <f t="shared" si="143"/>
        <v>0</v>
      </c>
      <c r="AH293" s="1113">
        <f t="shared" si="149"/>
        <v>0</v>
      </c>
      <c r="AI293" s="897">
        <f t="shared" si="150"/>
        <v>0</v>
      </c>
    </row>
    <row r="294" spans="1:35" ht="13.5" thickBot="1" x14ac:dyDescent="0.25">
      <c r="A294" s="337">
        <v>2015</v>
      </c>
      <c r="B294" s="355">
        <v>0</v>
      </c>
      <c r="C294" s="356">
        <v>0</v>
      </c>
      <c r="D294" s="356">
        <v>0</v>
      </c>
      <c r="E294" s="356">
        <v>0</v>
      </c>
      <c r="F294" s="356">
        <v>0</v>
      </c>
      <c r="G294" s="356">
        <v>0</v>
      </c>
      <c r="H294" s="356">
        <v>0</v>
      </c>
      <c r="I294" s="356">
        <v>0</v>
      </c>
      <c r="J294" s="356">
        <v>0</v>
      </c>
      <c r="K294" s="356">
        <v>0</v>
      </c>
      <c r="L294" s="366">
        <v>0</v>
      </c>
      <c r="M294" s="319">
        <f t="shared" si="144"/>
        <v>0</v>
      </c>
      <c r="N294" s="321">
        <f t="shared" si="145"/>
        <v>0</v>
      </c>
      <c r="O294" s="355">
        <v>0</v>
      </c>
      <c r="P294" s="356">
        <v>0</v>
      </c>
      <c r="Q294" s="356">
        <v>0</v>
      </c>
      <c r="R294" s="356">
        <v>0</v>
      </c>
      <c r="S294" s="356">
        <v>0</v>
      </c>
      <c r="T294" s="356">
        <v>0</v>
      </c>
      <c r="U294" s="356">
        <v>0</v>
      </c>
      <c r="V294" s="356">
        <v>0</v>
      </c>
      <c r="W294" s="356">
        <v>0</v>
      </c>
      <c r="X294" s="356">
        <v>0</v>
      </c>
      <c r="Y294" s="366">
        <v>0</v>
      </c>
      <c r="Z294" s="319">
        <f t="shared" si="146"/>
        <v>0</v>
      </c>
      <c r="AA294" s="321">
        <f t="shared" si="147"/>
        <v>0</v>
      </c>
      <c r="AB294" s="91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1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920">
        <f t="shared" si="148"/>
        <v>0</v>
      </c>
      <c r="AE294" s="897">
        <f t="shared" si="141"/>
        <v>0</v>
      </c>
      <c r="AF294" s="897">
        <f t="shared" si="142"/>
        <v>0</v>
      </c>
      <c r="AG294" s="897">
        <f t="shared" si="143"/>
        <v>0</v>
      </c>
      <c r="AH294" s="1113">
        <f t="shared" si="149"/>
        <v>0</v>
      </c>
      <c r="AI294" s="897">
        <f t="shared" si="150"/>
        <v>0</v>
      </c>
    </row>
    <row r="295" spans="1:35" x14ac:dyDescent="0.2">
      <c r="A295" s="338">
        <v>2016</v>
      </c>
      <c r="B295" s="351">
        <v>0</v>
      </c>
      <c r="C295" s="352">
        <v>0</v>
      </c>
      <c r="D295" s="352">
        <v>0</v>
      </c>
      <c r="E295" s="352">
        <v>0</v>
      </c>
      <c r="F295" s="352">
        <v>0</v>
      </c>
      <c r="G295" s="352">
        <v>0</v>
      </c>
      <c r="H295" s="352">
        <v>0</v>
      </c>
      <c r="I295" s="352">
        <v>0</v>
      </c>
      <c r="J295" s="352">
        <v>0</v>
      </c>
      <c r="K295" s="352">
        <v>0</v>
      </c>
      <c r="L295" s="364">
        <v>0</v>
      </c>
      <c r="M295" s="291">
        <f t="shared" si="144"/>
        <v>0</v>
      </c>
      <c r="N295" s="293">
        <f t="shared" si="145"/>
        <v>0</v>
      </c>
      <c r="O295" s="351">
        <v>0</v>
      </c>
      <c r="P295" s="352">
        <v>0</v>
      </c>
      <c r="Q295" s="352">
        <v>0</v>
      </c>
      <c r="R295" s="352">
        <v>0</v>
      </c>
      <c r="S295" s="352">
        <v>0</v>
      </c>
      <c r="T295" s="352">
        <v>0</v>
      </c>
      <c r="U295" s="352">
        <v>0</v>
      </c>
      <c r="V295" s="352">
        <v>0</v>
      </c>
      <c r="W295" s="352">
        <v>0</v>
      </c>
      <c r="X295" s="352">
        <v>0</v>
      </c>
      <c r="Y295" s="364">
        <v>0</v>
      </c>
      <c r="Z295" s="291">
        <f t="shared" si="146"/>
        <v>0</v>
      </c>
      <c r="AA295" s="293">
        <f t="shared" si="147"/>
        <v>0</v>
      </c>
      <c r="AB295" s="91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1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920">
        <f t="shared" si="148"/>
        <v>0</v>
      </c>
      <c r="AE295" s="897">
        <f t="shared" si="141"/>
        <v>0</v>
      </c>
      <c r="AF295" s="897">
        <f t="shared" si="142"/>
        <v>0</v>
      </c>
      <c r="AG295" s="897">
        <f t="shared" si="143"/>
        <v>0</v>
      </c>
      <c r="AH295" s="1113">
        <f t="shared" si="149"/>
        <v>0</v>
      </c>
      <c r="AI295" s="897">
        <f t="shared" si="150"/>
        <v>0</v>
      </c>
    </row>
    <row r="296" spans="1:35" x14ac:dyDescent="0.2">
      <c r="A296" s="339">
        <v>2017</v>
      </c>
      <c r="B296" s="353">
        <v>0</v>
      </c>
      <c r="C296" s="354">
        <v>0</v>
      </c>
      <c r="D296" s="354">
        <v>0</v>
      </c>
      <c r="E296" s="354">
        <v>0</v>
      </c>
      <c r="F296" s="354">
        <v>0</v>
      </c>
      <c r="G296" s="354">
        <v>0</v>
      </c>
      <c r="H296" s="354">
        <v>0</v>
      </c>
      <c r="I296" s="354">
        <v>0</v>
      </c>
      <c r="J296" s="354">
        <v>0</v>
      </c>
      <c r="K296" s="354">
        <v>0</v>
      </c>
      <c r="L296" s="365">
        <v>0</v>
      </c>
      <c r="M296" s="305">
        <f t="shared" si="144"/>
        <v>0</v>
      </c>
      <c r="N296" s="307">
        <f t="shared" si="145"/>
        <v>0</v>
      </c>
      <c r="O296" s="353">
        <v>0</v>
      </c>
      <c r="P296" s="354">
        <v>0</v>
      </c>
      <c r="Q296" s="354">
        <v>0</v>
      </c>
      <c r="R296" s="354">
        <v>0</v>
      </c>
      <c r="S296" s="354">
        <v>0</v>
      </c>
      <c r="T296" s="354">
        <v>0</v>
      </c>
      <c r="U296" s="354">
        <v>0</v>
      </c>
      <c r="V296" s="354">
        <v>0</v>
      </c>
      <c r="W296" s="354">
        <v>0</v>
      </c>
      <c r="X296" s="354">
        <v>0</v>
      </c>
      <c r="Y296" s="365">
        <v>0</v>
      </c>
      <c r="Z296" s="305">
        <f t="shared" si="146"/>
        <v>0</v>
      </c>
      <c r="AA296" s="307">
        <f t="shared" si="147"/>
        <v>0</v>
      </c>
      <c r="AB296" s="91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1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920">
        <f t="shared" si="148"/>
        <v>0</v>
      </c>
      <c r="AE296" s="897">
        <f t="shared" si="141"/>
        <v>0</v>
      </c>
      <c r="AF296" s="897">
        <f t="shared" si="142"/>
        <v>0</v>
      </c>
      <c r="AG296" s="897">
        <f t="shared" si="143"/>
        <v>0</v>
      </c>
      <c r="AH296" s="1113">
        <f t="shared" si="149"/>
        <v>0</v>
      </c>
      <c r="AI296" s="897">
        <f t="shared" si="150"/>
        <v>0</v>
      </c>
    </row>
    <row r="297" spans="1:35" x14ac:dyDescent="0.2">
      <c r="A297" s="339">
        <v>2018</v>
      </c>
      <c r="B297" s="353">
        <v>0</v>
      </c>
      <c r="C297" s="354">
        <v>0</v>
      </c>
      <c r="D297" s="354">
        <v>0</v>
      </c>
      <c r="E297" s="354">
        <v>0</v>
      </c>
      <c r="F297" s="354">
        <v>0</v>
      </c>
      <c r="G297" s="354">
        <v>0</v>
      </c>
      <c r="H297" s="354">
        <v>0</v>
      </c>
      <c r="I297" s="354">
        <v>0</v>
      </c>
      <c r="J297" s="354">
        <v>0</v>
      </c>
      <c r="K297" s="354">
        <v>0</v>
      </c>
      <c r="L297" s="365">
        <v>0</v>
      </c>
      <c r="M297" s="305">
        <f t="shared" si="144"/>
        <v>0</v>
      </c>
      <c r="N297" s="307">
        <f t="shared" si="145"/>
        <v>0</v>
      </c>
      <c r="O297" s="353">
        <v>0</v>
      </c>
      <c r="P297" s="354">
        <v>0</v>
      </c>
      <c r="Q297" s="354">
        <v>0</v>
      </c>
      <c r="R297" s="354">
        <v>0</v>
      </c>
      <c r="S297" s="354">
        <v>0</v>
      </c>
      <c r="T297" s="354">
        <v>0</v>
      </c>
      <c r="U297" s="354">
        <v>0</v>
      </c>
      <c r="V297" s="354">
        <v>0</v>
      </c>
      <c r="W297" s="354">
        <v>0</v>
      </c>
      <c r="X297" s="354">
        <v>0</v>
      </c>
      <c r="Y297" s="365">
        <v>0</v>
      </c>
      <c r="Z297" s="305">
        <f t="shared" si="146"/>
        <v>0</v>
      </c>
      <c r="AA297" s="307">
        <f t="shared" si="147"/>
        <v>0</v>
      </c>
      <c r="AB297" s="91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1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920">
        <f t="shared" si="148"/>
        <v>0</v>
      </c>
      <c r="AE297" s="897">
        <f t="shared" si="141"/>
        <v>0</v>
      </c>
      <c r="AF297" s="897">
        <f t="shared" si="142"/>
        <v>0</v>
      </c>
      <c r="AG297" s="897">
        <f t="shared" si="143"/>
        <v>0</v>
      </c>
      <c r="AH297" s="1113">
        <f t="shared" si="149"/>
        <v>0</v>
      </c>
      <c r="AI297" s="897">
        <f t="shared" si="150"/>
        <v>0</v>
      </c>
    </row>
    <row r="298" spans="1:35" x14ac:dyDescent="0.2">
      <c r="A298" s="339">
        <v>2019</v>
      </c>
      <c r="B298" s="353">
        <v>0</v>
      </c>
      <c r="C298" s="354">
        <v>0</v>
      </c>
      <c r="D298" s="354">
        <v>0</v>
      </c>
      <c r="E298" s="354">
        <v>0</v>
      </c>
      <c r="F298" s="354">
        <v>0</v>
      </c>
      <c r="G298" s="354">
        <v>0</v>
      </c>
      <c r="H298" s="354">
        <v>0</v>
      </c>
      <c r="I298" s="354">
        <v>0</v>
      </c>
      <c r="J298" s="354">
        <v>0</v>
      </c>
      <c r="K298" s="354">
        <v>0</v>
      </c>
      <c r="L298" s="365">
        <v>0</v>
      </c>
      <c r="M298" s="305">
        <f t="shared" si="144"/>
        <v>0</v>
      </c>
      <c r="N298" s="307">
        <f t="shared" si="145"/>
        <v>0</v>
      </c>
      <c r="O298" s="353">
        <v>0</v>
      </c>
      <c r="P298" s="354">
        <v>0</v>
      </c>
      <c r="Q298" s="354">
        <v>0</v>
      </c>
      <c r="R298" s="354">
        <v>0</v>
      </c>
      <c r="S298" s="354">
        <v>0</v>
      </c>
      <c r="T298" s="354">
        <v>0</v>
      </c>
      <c r="U298" s="354">
        <v>0</v>
      </c>
      <c r="V298" s="354">
        <v>0</v>
      </c>
      <c r="W298" s="354">
        <v>0</v>
      </c>
      <c r="X298" s="354">
        <v>0</v>
      </c>
      <c r="Y298" s="365">
        <v>0</v>
      </c>
      <c r="Z298" s="305">
        <f t="shared" si="146"/>
        <v>0</v>
      </c>
      <c r="AA298" s="307">
        <f t="shared" si="147"/>
        <v>0</v>
      </c>
      <c r="AB298" s="91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1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920">
        <f t="shared" si="148"/>
        <v>0</v>
      </c>
      <c r="AE298" s="897">
        <f t="shared" si="141"/>
        <v>0</v>
      </c>
      <c r="AF298" s="897">
        <f t="shared" si="142"/>
        <v>0</v>
      </c>
      <c r="AG298" s="897">
        <f t="shared" si="143"/>
        <v>0</v>
      </c>
      <c r="AH298" s="1113">
        <f t="shared" si="149"/>
        <v>0</v>
      </c>
      <c r="AI298" s="897">
        <f t="shared" si="150"/>
        <v>0</v>
      </c>
    </row>
    <row r="299" spans="1:35" ht="13.5" thickBot="1" x14ac:dyDescent="0.25">
      <c r="A299" s="337">
        <v>2020</v>
      </c>
      <c r="B299" s="355">
        <v>0</v>
      </c>
      <c r="C299" s="356">
        <v>0</v>
      </c>
      <c r="D299" s="356">
        <v>0</v>
      </c>
      <c r="E299" s="356">
        <v>0</v>
      </c>
      <c r="F299" s="356">
        <v>0</v>
      </c>
      <c r="G299" s="356">
        <v>0</v>
      </c>
      <c r="H299" s="356">
        <v>0</v>
      </c>
      <c r="I299" s="356">
        <v>0</v>
      </c>
      <c r="J299" s="356">
        <v>0</v>
      </c>
      <c r="K299" s="356">
        <v>0</v>
      </c>
      <c r="L299" s="366">
        <v>0</v>
      </c>
      <c r="M299" s="319">
        <f t="shared" si="144"/>
        <v>0</v>
      </c>
      <c r="N299" s="321">
        <f t="shared" si="145"/>
        <v>0</v>
      </c>
      <c r="O299" s="355">
        <v>0</v>
      </c>
      <c r="P299" s="356">
        <v>0</v>
      </c>
      <c r="Q299" s="356">
        <v>0</v>
      </c>
      <c r="R299" s="356">
        <v>0</v>
      </c>
      <c r="S299" s="356">
        <v>0</v>
      </c>
      <c r="T299" s="356">
        <v>0</v>
      </c>
      <c r="U299" s="356">
        <v>0</v>
      </c>
      <c r="V299" s="356">
        <v>0</v>
      </c>
      <c r="W299" s="356">
        <v>0</v>
      </c>
      <c r="X299" s="356">
        <v>0</v>
      </c>
      <c r="Y299" s="366">
        <v>0</v>
      </c>
      <c r="Z299" s="319">
        <f t="shared" si="146"/>
        <v>0</v>
      </c>
      <c r="AA299" s="321">
        <f t="shared" si="147"/>
        <v>0</v>
      </c>
      <c r="AB299" s="91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1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920">
        <f t="shared" si="148"/>
        <v>0</v>
      </c>
      <c r="AE299" s="897">
        <f t="shared" si="141"/>
        <v>0</v>
      </c>
      <c r="AF299" s="897">
        <f t="shared" si="142"/>
        <v>0</v>
      </c>
      <c r="AG299" s="897">
        <f t="shared" si="143"/>
        <v>0</v>
      </c>
      <c r="AH299" s="1113">
        <f t="shared" si="149"/>
        <v>0</v>
      </c>
      <c r="AI299" s="897">
        <f t="shared" si="150"/>
        <v>0</v>
      </c>
    </row>
    <row r="300" spans="1:35" x14ac:dyDescent="0.2">
      <c r="A300" s="338">
        <v>2021</v>
      </c>
      <c r="B300" s="351">
        <v>0</v>
      </c>
      <c r="C300" s="352">
        <v>0</v>
      </c>
      <c r="D300" s="352">
        <v>0</v>
      </c>
      <c r="E300" s="352">
        <v>0</v>
      </c>
      <c r="F300" s="352">
        <v>0</v>
      </c>
      <c r="G300" s="352">
        <v>0</v>
      </c>
      <c r="H300" s="352">
        <v>0</v>
      </c>
      <c r="I300" s="352">
        <v>0</v>
      </c>
      <c r="J300" s="352">
        <v>0</v>
      </c>
      <c r="K300" s="352">
        <v>0</v>
      </c>
      <c r="L300" s="364">
        <v>0</v>
      </c>
      <c r="M300" s="291">
        <f t="shared" si="144"/>
        <v>0</v>
      </c>
      <c r="N300" s="293">
        <f t="shared" si="145"/>
        <v>0</v>
      </c>
      <c r="O300" s="351">
        <v>0</v>
      </c>
      <c r="P300" s="352">
        <v>0</v>
      </c>
      <c r="Q300" s="352">
        <v>0</v>
      </c>
      <c r="R300" s="352">
        <v>0</v>
      </c>
      <c r="S300" s="352">
        <v>0</v>
      </c>
      <c r="T300" s="352">
        <v>0</v>
      </c>
      <c r="U300" s="352">
        <v>0</v>
      </c>
      <c r="V300" s="352">
        <v>0</v>
      </c>
      <c r="W300" s="352">
        <v>0</v>
      </c>
      <c r="X300" s="352">
        <v>0</v>
      </c>
      <c r="Y300" s="364">
        <v>0</v>
      </c>
      <c r="Z300" s="291">
        <f t="shared" si="146"/>
        <v>0</v>
      </c>
      <c r="AA300" s="293">
        <f t="shared" si="147"/>
        <v>0</v>
      </c>
      <c r="AB300" s="91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1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920">
        <f t="shared" si="148"/>
        <v>0</v>
      </c>
      <c r="AE300" s="897">
        <f t="shared" si="141"/>
        <v>0</v>
      </c>
      <c r="AF300" s="897">
        <f t="shared" si="142"/>
        <v>0</v>
      </c>
      <c r="AG300" s="897">
        <f t="shared" si="143"/>
        <v>0</v>
      </c>
      <c r="AH300" s="1113">
        <f t="shared" si="149"/>
        <v>0</v>
      </c>
      <c r="AI300" s="897">
        <f t="shared" si="150"/>
        <v>0</v>
      </c>
    </row>
    <row r="301" spans="1:35" x14ac:dyDescent="0.2">
      <c r="A301" s="339">
        <v>2022</v>
      </c>
      <c r="B301" s="353">
        <v>0</v>
      </c>
      <c r="C301" s="354">
        <v>0</v>
      </c>
      <c r="D301" s="354">
        <v>0</v>
      </c>
      <c r="E301" s="354">
        <v>0</v>
      </c>
      <c r="F301" s="354">
        <v>0</v>
      </c>
      <c r="G301" s="354">
        <v>0</v>
      </c>
      <c r="H301" s="354">
        <v>0</v>
      </c>
      <c r="I301" s="354">
        <v>0</v>
      </c>
      <c r="J301" s="354">
        <v>0</v>
      </c>
      <c r="K301" s="354">
        <v>0</v>
      </c>
      <c r="L301" s="365">
        <v>0</v>
      </c>
      <c r="M301" s="305">
        <f t="shared" si="144"/>
        <v>0</v>
      </c>
      <c r="N301" s="307">
        <f t="shared" si="145"/>
        <v>0</v>
      </c>
      <c r="O301" s="353">
        <v>0</v>
      </c>
      <c r="P301" s="354">
        <v>0</v>
      </c>
      <c r="Q301" s="354">
        <v>0</v>
      </c>
      <c r="R301" s="354">
        <v>0</v>
      </c>
      <c r="S301" s="354">
        <v>0</v>
      </c>
      <c r="T301" s="354">
        <v>0</v>
      </c>
      <c r="U301" s="354">
        <v>0</v>
      </c>
      <c r="V301" s="354">
        <v>0</v>
      </c>
      <c r="W301" s="354">
        <v>0</v>
      </c>
      <c r="X301" s="354">
        <v>0</v>
      </c>
      <c r="Y301" s="365">
        <v>0</v>
      </c>
      <c r="Z301" s="305">
        <f t="shared" si="146"/>
        <v>0</v>
      </c>
      <c r="AA301" s="307">
        <f t="shared" si="147"/>
        <v>0</v>
      </c>
      <c r="AB301" s="91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1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920">
        <f t="shared" si="148"/>
        <v>0</v>
      </c>
      <c r="AE301" s="897">
        <f>SUMPRODUCT($B$74:$L$74,B301:L301)</f>
        <v>0</v>
      </c>
      <c r="AF301" s="897">
        <f>SUMPRODUCT($O$74:$Y$74,O301:Y301)</f>
        <v>0</v>
      </c>
      <c r="AG301" s="897">
        <f>SUM(AE301:AF301)</f>
        <v>0</v>
      </c>
      <c r="AH301" s="1113">
        <f t="shared" si="149"/>
        <v>0</v>
      </c>
      <c r="AI301" s="897">
        <f t="shared" si="150"/>
        <v>0</v>
      </c>
    </row>
    <row r="302" spans="1:35" x14ac:dyDescent="0.2">
      <c r="A302" s="339">
        <v>2023</v>
      </c>
      <c r="B302" s="353">
        <v>0</v>
      </c>
      <c r="C302" s="354">
        <v>0</v>
      </c>
      <c r="D302" s="354">
        <v>0</v>
      </c>
      <c r="E302" s="354">
        <v>0</v>
      </c>
      <c r="F302" s="354">
        <v>0</v>
      </c>
      <c r="G302" s="354">
        <v>0</v>
      </c>
      <c r="H302" s="354">
        <v>0</v>
      </c>
      <c r="I302" s="354">
        <v>0</v>
      </c>
      <c r="J302" s="354">
        <v>0</v>
      </c>
      <c r="K302" s="354">
        <v>0</v>
      </c>
      <c r="L302" s="365">
        <v>0</v>
      </c>
      <c r="M302" s="305">
        <f t="shared" si="144"/>
        <v>0</v>
      </c>
      <c r="N302" s="307">
        <f t="shared" si="145"/>
        <v>0</v>
      </c>
      <c r="O302" s="353">
        <v>0</v>
      </c>
      <c r="P302" s="354">
        <v>0</v>
      </c>
      <c r="Q302" s="354">
        <v>0</v>
      </c>
      <c r="R302" s="354">
        <v>0</v>
      </c>
      <c r="S302" s="354">
        <v>0</v>
      </c>
      <c r="T302" s="354">
        <v>0</v>
      </c>
      <c r="U302" s="354">
        <v>0</v>
      </c>
      <c r="V302" s="354">
        <v>0</v>
      </c>
      <c r="W302" s="354">
        <v>0</v>
      </c>
      <c r="X302" s="354">
        <v>0</v>
      </c>
      <c r="Y302" s="365">
        <v>0</v>
      </c>
      <c r="Z302" s="305">
        <f t="shared" si="146"/>
        <v>0</v>
      </c>
      <c r="AA302" s="307">
        <f t="shared" si="147"/>
        <v>0</v>
      </c>
      <c r="AB302" s="91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1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920">
        <f t="shared" si="148"/>
        <v>0</v>
      </c>
      <c r="AE302" s="897">
        <f t="shared" ref="AE302:AE328" si="151">SUMPRODUCT($B$74:$L$74,B302:L302)</f>
        <v>0</v>
      </c>
      <c r="AF302" s="897">
        <f t="shared" ref="AF302:AF328" si="152">SUMPRODUCT($O$74:$Y$74,O302:Y302)</f>
        <v>0</v>
      </c>
      <c r="AG302" s="897">
        <f t="shared" ref="AG302:AG328" si="153">SUM(AE302:AF302)</f>
        <v>0</v>
      </c>
      <c r="AH302" s="1113">
        <f t="shared" si="149"/>
        <v>0</v>
      </c>
      <c r="AI302" s="897">
        <f t="shared" si="150"/>
        <v>0</v>
      </c>
    </row>
    <row r="303" spans="1:35" x14ac:dyDescent="0.2">
      <c r="A303" s="339">
        <v>2024</v>
      </c>
      <c r="B303" s="353">
        <v>0</v>
      </c>
      <c r="C303" s="354">
        <v>0</v>
      </c>
      <c r="D303" s="354">
        <v>0</v>
      </c>
      <c r="E303" s="354">
        <v>0</v>
      </c>
      <c r="F303" s="354">
        <v>0</v>
      </c>
      <c r="G303" s="354">
        <v>0</v>
      </c>
      <c r="H303" s="354">
        <v>0</v>
      </c>
      <c r="I303" s="354">
        <v>0</v>
      </c>
      <c r="J303" s="354">
        <v>0</v>
      </c>
      <c r="K303" s="354">
        <v>0</v>
      </c>
      <c r="L303" s="365">
        <v>0</v>
      </c>
      <c r="M303" s="305">
        <f t="shared" si="144"/>
        <v>0</v>
      </c>
      <c r="N303" s="307">
        <f t="shared" si="145"/>
        <v>0</v>
      </c>
      <c r="O303" s="353">
        <v>0</v>
      </c>
      <c r="P303" s="354">
        <v>0</v>
      </c>
      <c r="Q303" s="354">
        <v>0</v>
      </c>
      <c r="R303" s="354">
        <v>0</v>
      </c>
      <c r="S303" s="354">
        <v>0</v>
      </c>
      <c r="T303" s="354">
        <v>0</v>
      </c>
      <c r="U303" s="354">
        <v>0</v>
      </c>
      <c r="V303" s="354">
        <v>0</v>
      </c>
      <c r="W303" s="354">
        <v>0</v>
      </c>
      <c r="X303" s="354">
        <v>0</v>
      </c>
      <c r="Y303" s="365">
        <v>0</v>
      </c>
      <c r="Z303" s="305">
        <f t="shared" si="146"/>
        <v>0</v>
      </c>
      <c r="AA303" s="307">
        <f t="shared" si="147"/>
        <v>0</v>
      </c>
      <c r="AB303" s="91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1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920">
        <f t="shared" si="148"/>
        <v>0</v>
      </c>
      <c r="AE303" s="897">
        <f t="shared" si="151"/>
        <v>0</v>
      </c>
      <c r="AF303" s="897">
        <f t="shared" si="152"/>
        <v>0</v>
      </c>
      <c r="AG303" s="897">
        <f t="shared" si="153"/>
        <v>0</v>
      </c>
      <c r="AH303" s="1113">
        <f t="shared" si="149"/>
        <v>0</v>
      </c>
      <c r="AI303" s="897">
        <f t="shared" si="150"/>
        <v>0</v>
      </c>
    </row>
    <row r="304" spans="1:35" ht="13.5" thickBot="1" x14ac:dyDescent="0.25">
      <c r="A304" s="337">
        <v>2025</v>
      </c>
      <c r="B304" s="355">
        <v>0</v>
      </c>
      <c r="C304" s="356">
        <v>0</v>
      </c>
      <c r="D304" s="356">
        <v>0</v>
      </c>
      <c r="E304" s="356">
        <v>0</v>
      </c>
      <c r="F304" s="356">
        <v>0</v>
      </c>
      <c r="G304" s="356">
        <v>0</v>
      </c>
      <c r="H304" s="356">
        <v>0</v>
      </c>
      <c r="I304" s="356">
        <v>0</v>
      </c>
      <c r="J304" s="356">
        <v>0</v>
      </c>
      <c r="K304" s="356">
        <v>0</v>
      </c>
      <c r="L304" s="366">
        <v>0</v>
      </c>
      <c r="M304" s="319">
        <f t="shared" si="144"/>
        <v>0</v>
      </c>
      <c r="N304" s="321">
        <f t="shared" si="145"/>
        <v>0</v>
      </c>
      <c r="O304" s="355">
        <v>0</v>
      </c>
      <c r="P304" s="356">
        <v>0</v>
      </c>
      <c r="Q304" s="356">
        <v>0</v>
      </c>
      <c r="R304" s="356">
        <v>0</v>
      </c>
      <c r="S304" s="356">
        <v>0</v>
      </c>
      <c r="T304" s="356">
        <v>0</v>
      </c>
      <c r="U304" s="356">
        <v>0</v>
      </c>
      <c r="V304" s="356">
        <v>0</v>
      </c>
      <c r="W304" s="356">
        <v>0</v>
      </c>
      <c r="X304" s="356">
        <v>0</v>
      </c>
      <c r="Y304" s="366">
        <v>0</v>
      </c>
      <c r="Z304" s="319">
        <f t="shared" si="146"/>
        <v>0</v>
      </c>
      <c r="AA304" s="321">
        <f t="shared" si="147"/>
        <v>0</v>
      </c>
      <c r="AB304" s="91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1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920">
        <f t="shared" si="148"/>
        <v>0</v>
      </c>
      <c r="AE304" s="897">
        <f t="shared" si="151"/>
        <v>0</v>
      </c>
      <c r="AF304" s="897">
        <f t="shared" si="152"/>
        <v>0</v>
      </c>
      <c r="AG304" s="897">
        <f t="shared" si="153"/>
        <v>0</v>
      </c>
      <c r="AH304" s="1113">
        <f t="shared" si="149"/>
        <v>0</v>
      </c>
      <c r="AI304" s="897">
        <f t="shared" si="150"/>
        <v>0</v>
      </c>
    </row>
    <row r="305" spans="1:35" x14ac:dyDescent="0.2">
      <c r="A305" s="338">
        <v>2026</v>
      </c>
      <c r="B305" s="351">
        <v>0</v>
      </c>
      <c r="C305" s="352">
        <v>0</v>
      </c>
      <c r="D305" s="352">
        <v>0</v>
      </c>
      <c r="E305" s="352">
        <v>0</v>
      </c>
      <c r="F305" s="352">
        <v>0</v>
      </c>
      <c r="G305" s="352">
        <v>0</v>
      </c>
      <c r="H305" s="352">
        <v>0</v>
      </c>
      <c r="I305" s="352">
        <v>2.9769586138649955E-5</v>
      </c>
      <c r="J305" s="352">
        <v>1.3173816385595848E-4</v>
      </c>
      <c r="K305" s="352">
        <v>3.6410400301561957E-4</v>
      </c>
      <c r="L305" s="364">
        <v>0</v>
      </c>
      <c r="M305" s="291">
        <f t="shared" si="144"/>
        <v>5.2922584143657432E-6</v>
      </c>
      <c r="N305" s="293">
        <f t="shared" si="145"/>
        <v>8.2903266237463794E-7</v>
      </c>
      <c r="O305" s="351">
        <v>0</v>
      </c>
      <c r="P305" s="352">
        <v>0</v>
      </c>
      <c r="Q305" s="352">
        <v>0</v>
      </c>
      <c r="R305" s="352">
        <v>0</v>
      </c>
      <c r="S305" s="352">
        <v>0</v>
      </c>
      <c r="T305" s="352">
        <v>0</v>
      </c>
      <c r="U305" s="352">
        <v>0</v>
      </c>
      <c r="V305" s="352">
        <v>0</v>
      </c>
      <c r="W305" s="352">
        <v>0</v>
      </c>
      <c r="X305" s="352">
        <v>0</v>
      </c>
      <c r="Y305" s="364">
        <v>0</v>
      </c>
      <c r="Z305" s="291">
        <f t="shared" si="146"/>
        <v>0</v>
      </c>
      <c r="AA305" s="293">
        <f t="shared" si="147"/>
        <v>0</v>
      </c>
      <c r="AB305" s="91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0.13680708020909332</v>
      </c>
      <c r="AC305" s="91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920">
        <f t="shared" si="148"/>
        <v>0.13680708020909332</v>
      </c>
      <c r="AE305" s="897">
        <f t="shared" si="151"/>
        <v>5.2922584143657432E-6</v>
      </c>
      <c r="AF305" s="897">
        <f t="shared" si="152"/>
        <v>0</v>
      </c>
      <c r="AG305" s="897">
        <f t="shared" si="153"/>
        <v>5.2922584143657432E-6</v>
      </c>
      <c r="AH305" s="1113">
        <f t="shared" si="149"/>
        <v>1</v>
      </c>
      <c r="AI305" s="897">
        <f t="shared" si="150"/>
        <v>0</v>
      </c>
    </row>
    <row r="306" spans="1:35" x14ac:dyDescent="0.2">
      <c r="A306" s="339">
        <v>2027</v>
      </c>
      <c r="B306" s="353">
        <v>0</v>
      </c>
      <c r="C306" s="354">
        <v>0</v>
      </c>
      <c r="D306" s="354">
        <v>0</v>
      </c>
      <c r="E306" s="354">
        <v>0</v>
      </c>
      <c r="F306" s="354">
        <v>0</v>
      </c>
      <c r="G306" s="354">
        <v>4.5492514420573768E-6</v>
      </c>
      <c r="H306" s="354">
        <v>0</v>
      </c>
      <c r="I306" s="354">
        <v>5.0546933845377502E-4</v>
      </c>
      <c r="J306" s="354">
        <v>1.4215493695243027E-3</v>
      </c>
      <c r="K306" s="354">
        <v>2.7838148169886385E-3</v>
      </c>
      <c r="L306" s="365">
        <v>0</v>
      </c>
      <c r="M306" s="305">
        <f t="shared" si="144"/>
        <v>5.9359462982882289E-5</v>
      </c>
      <c r="N306" s="307">
        <f t="shared" si="145"/>
        <v>9.5131146041254401E-6</v>
      </c>
      <c r="O306" s="353">
        <v>0</v>
      </c>
      <c r="P306" s="354">
        <v>0</v>
      </c>
      <c r="Q306" s="354">
        <v>0</v>
      </c>
      <c r="R306" s="354">
        <v>0</v>
      </c>
      <c r="S306" s="354">
        <v>0</v>
      </c>
      <c r="T306" s="354">
        <v>1.3536190931847852E-5</v>
      </c>
      <c r="U306" s="354">
        <v>0</v>
      </c>
      <c r="V306" s="354">
        <v>0</v>
      </c>
      <c r="W306" s="354">
        <v>0</v>
      </c>
      <c r="X306" s="354">
        <v>0</v>
      </c>
      <c r="Y306" s="365">
        <v>0</v>
      </c>
      <c r="Z306" s="305">
        <f t="shared" si="146"/>
        <v>2.1637047667566244E-7</v>
      </c>
      <c r="AA306" s="307">
        <f t="shared" si="147"/>
        <v>5.5054544241296214E-8</v>
      </c>
      <c r="AB306" s="91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0.13845097216366728</v>
      </c>
      <c r="AC306" s="91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0.21981555122387406</v>
      </c>
      <c r="AD306" s="920">
        <f t="shared" si="148"/>
        <v>0.13874647609090521</v>
      </c>
      <c r="AE306" s="897">
        <f t="shared" si="151"/>
        <v>5.9359462982882289E-5</v>
      </c>
      <c r="AF306" s="897">
        <f t="shared" si="152"/>
        <v>2.1637047667566244E-7</v>
      </c>
      <c r="AG306" s="897">
        <f t="shared" si="153"/>
        <v>5.9575833459557953E-5</v>
      </c>
      <c r="AH306" s="1113">
        <f t="shared" si="149"/>
        <v>0.99636815023624403</v>
      </c>
      <c r="AI306" s="897">
        <f t="shared" si="150"/>
        <v>3.6318497637560015E-3</v>
      </c>
    </row>
    <row r="307" spans="1:35" x14ac:dyDescent="0.2">
      <c r="A307" s="339">
        <v>2028</v>
      </c>
      <c r="B307" s="353">
        <v>0</v>
      </c>
      <c r="C307" s="354">
        <v>0</v>
      </c>
      <c r="D307" s="354">
        <v>0</v>
      </c>
      <c r="E307" s="354">
        <v>0</v>
      </c>
      <c r="F307" s="354">
        <v>0</v>
      </c>
      <c r="G307" s="354">
        <v>4.3162198584121943E-5</v>
      </c>
      <c r="H307" s="354">
        <v>0</v>
      </c>
      <c r="I307" s="354">
        <v>2.2011133331973081E-3</v>
      </c>
      <c r="J307" s="354">
        <v>5.1558551888191192E-3</v>
      </c>
      <c r="K307" s="354">
        <v>9.5575630030027888E-3</v>
      </c>
      <c r="L307" s="365">
        <v>0</v>
      </c>
      <c r="M307" s="305">
        <f t="shared" si="144"/>
        <v>2.248483038511222E-4</v>
      </c>
      <c r="N307" s="307">
        <f t="shared" si="145"/>
        <v>3.6368530737081875E-5</v>
      </c>
      <c r="O307" s="353">
        <v>0</v>
      </c>
      <c r="P307" s="354">
        <v>0</v>
      </c>
      <c r="Q307" s="354">
        <v>0</v>
      </c>
      <c r="R307" s="354">
        <v>0</v>
      </c>
      <c r="S307" s="354">
        <v>8.335967911258188E-6</v>
      </c>
      <c r="T307" s="354">
        <v>1.0070342597638218E-4</v>
      </c>
      <c r="U307" s="354">
        <v>0</v>
      </c>
      <c r="V307" s="354">
        <v>0</v>
      </c>
      <c r="W307" s="354">
        <v>0</v>
      </c>
      <c r="X307" s="354">
        <v>0</v>
      </c>
      <c r="Y307" s="365">
        <v>0</v>
      </c>
      <c r="Z307" s="305">
        <f t="shared" si="146"/>
        <v>1.9445774745194605E-6</v>
      </c>
      <c r="AA307" s="307">
        <f t="shared" si="147"/>
        <v>5.0680427839756637E-7</v>
      </c>
      <c r="AB307" s="91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0.14003777922571234</v>
      </c>
      <c r="AC307" s="91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0.2256441592237079</v>
      </c>
      <c r="AD307" s="920">
        <f t="shared" si="148"/>
        <v>0.14077178920541816</v>
      </c>
      <c r="AE307" s="897">
        <f t="shared" si="151"/>
        <v>2.248483038511222E-4</v>
      </c>
      <c r="AF307" s="897">
        <f t="shared" si="152"/>
        <v>1.9445774745194605E-6</v>
      </c>
      <c r="AG307" s="897">
        <f t="shared" si="153"/>
        <v>2.2679288132564166E-4</v>
      </c>
      <c r="AH307" s="1113">
        <f t="shared" si="149"/>
        <v>0.99142575612094574</v>
      </c>
      <c r="AI307" s="897">
        <f t="shared" si="150"/>
        <v>8.5742438790542518E-3</v>
      </c>
    </row>
    <row r="308" spans="1:35" x14ac:dyDescent="0.2">
      <c r="A308" s="339">
        <v>2029</v>
      </c>
      <c r="B308" s="353">
        <v>0</v>
      </c>
      <c r="C308" s="354">
        <v>0</v>
      </c>
      <c r="D308" s="354">
        <v>0</v>
      </c>
      <c r="E308" s="354">
        <v>0</v>
      </c>
      <c r="F308" s="354">
        <v>0</v>
      </c>
      <c r="G308" s="354">
        <v>8.9139214251950167E-5</v>
      </c>
      <c r="H308" s="354">
        <v>0</v>
      </c>
      <c r="I308" s="354">
        <v>4.5307788995453601E-3</v>
      </c>
      <c r="J308" s="354">
        <v>1.0625068642860853E-2</v>
      </c>
      <c r="K308" s="354">
        <v>1.968778422272165E-2</v>
      </c>
      <c r="L308" s="365">
        <v>0</v>
      </c>
      <c r="M308" s="305">
        <f t="shared" si="144"/>
        <v>4.6320047506866549E-4</v>
      </c>
      <c r="N308" s="307">
        <f t="shared" si="145"/>
        <v>7.4919324269193574E-5</v>
      </c>
      <c r="O308" s="353">
        <v>0</v>
      </c>
      <c r="P308" s="354">
        <v>0</v>
      </c>
      <c r="Q308" s="354">
        <v>0</v>
      </c>
      <c r="R308" s="354">
        <v>0</v>
      </c>
      <c r="S308" s="354">
        <v>1.7175829798009288E-5</v>
      </c>
      <c r="T308" s="354">
        <v>2.4485404221757722E-4</v>
      </c>
      <c r="U308" s="354">
        <v>0</v>
      </c>
      <c r="V308" s="354">
        <v>0</v>
      </c>
      <c r="W308" s="354">
        <v>0</v>
      </c>
      <c r="X308" s="354">
        <v>0</v>
      </c>
      <c r="Y308" s="365">
        <v>0</v>
      </c>
      <c r="Z308" s="305">
        <f t="shared" si="146"/>
        <v>4.6038830614301423E-6</v>
      </c>
      <c r="AA308" s="307">
        <f t="shared" si="147"/>
        <v>1.1961943493289529E-6</v>
      </c>
      <c r="AB308" s="91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0.14022060201907791</v>
      </c>
      <c r="AC308" s="91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0.22524981055406226</v>
      </c>
      <c r="AD308" s="920">
        <f t="shared" si="148"/>
        <v>0.14105741451579293</v>
      </c>
      <c r="AE308" s="897">
        <f t="shared" si="151"/>
        <v>4.6320047506866549E-4</v>
      </c>
      <c r="AF308" s="897">
        <f t="shared" si="152"/>
        <v>4.6038830614301423E-6</v>
      </c>
      <c r="AG308" s="897">
        <f t="shared" si="153"/>
        <v>4.6780435813009562E-4</v>
      </c>
      <c r="AH308" s="1113">
        <f t="shared" si="149"/>
        <v>0.99015852892043854</v>
      </c>
      <c r="AI308" s="897">
        <f t="shared" si="150"/>
        <v>9.8414710795614486E-3</v>
      </c>
    </row>
    <row r="309" spans="1:35" ht="13.5" thickBot="1" x14ac:dyDescent="0.25">
      <c r="A309" s="337">
        <v>2030</v>
      </c>
      <c r="B309" s="355">
        <v>0</v>
      </c>
      <c r="C309" s="356">
        <v>0</v>
      </c>
      <c r="D309" s="356">
        <v>0</v>
      </c>
      <c r="E309" s="356">
        <v>0</v>
      </c>
      <c r="F309" s="356">
        <v>4.2011486321943451E-5</v>
      </c>
      <c r="G309" s="356">
        <v>3.4745036534468524E-4</v>
      </c>
      <c r="H309" s="356">
        <v>0</v>
      </c>
      <c r="I309" s="356">
        <v>9.4917170285695636E-3</v>
      </c>
      <c r="J309" s="356">
        <v>2.1360839748746571E-2</v>
      </c>
      <c r="K309" s="356">
        <v>3.8004104850458673E-2</v>
      </c>
      <c r="L309" s="366">
        <v>0</v>
      </c>
      <c r="M309" s="319">
        <f t="shared" si="144"/>
        <v>9.4273467657662424E-4</v>
      </c>
      <c r="N309" s="321">
        <f t="shared" si="145"/>
        <v>1.5328191432969205E-4</v>
      </c>
      <c r="O309" s="355">
        <v>0</v>
      </c>
      <c r="P309" s="356">
        <v>0</v>
      </c>
      <c r="Q309" s="356">
        <v>0</v>
      </c>
      <c r="R309" s="356">
        <v>0</v>
      </c>
      <c r="S309" s="356">
        <v>8.7076277864100724E-5</v>
      </c>
      <c r="T309" s="356">
        <v>7.6375654001057563E-4</v>
      </c>
      <c r="U309" s="356">
        <v>0</v>
      </c>
      <c r="V309" s="356">
        <v>0</v>
      </c>
      <c r="W309" s="356">
        <v>0</v>
      </c>
      <c r="X309" s="356">
        <v>0</v>
      </c>
      <c r="Y309" s="366">
        <v>0</v>
      </c>
      <c r="Z309" s="319">
        <f t="shared" si="146"/>
        <v>1.5706383925640105E-5</v>
      </c>
      <c r="AA309" s="321">
        <f t="shared" si="147"/>
        <v>4.1219275782796227E-6</v>
      </c>
      <c r="AB309" s="91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0.14121176255863199</v>
      </c>
      <c r="AC309" s="91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0.22792585260866746</v>
      </c>
      <c r="AD309" s="920">
        <f t="shared" si="148"/>
        <v>0.14263278347083569</v>
      </c>
      <c r="AE309" s="897">
        <f t="shared" si="151"/>
        <v>9.4273467657662424E-4</v>
      </c>
      <c r="AF309" s="897">
        <f t="shared" si="152"/>
        <v>1.5706383925640105E-5</v>
      </c>
      <c r="AG309" s="897">
        <f t="shared" si="153"/>
        <v>9.5844106050226431E-4</v>
      </c>
      <c r="AH309" s="1113">
        <f t="shared" si="149"/>
        <v>0.98361257194322493</v>
      </c>
      <c r="AI309" s="897">
        <f t="shared" si="150"/>
        <v>1.6387428056775118E-2</v>
      </c>
    </row>
    <row r="310" spans="1:35" x14ac:dyDescent="0.2">
      <c r="A310" s="338">
        <v>2031</v>
      </c>
      <c r="B310" s="351">
        <v>0</v>
      </c>
      <c r="C310" s="352">
        <v>0</v>
      </c>
      <c r="D310" s="352">
        <v>0</v>
      </c>
      <c r="E310" s="352">
        <v>0</v>
      </c>
      <c r="F310" s="352">
        <v>1.7405883426677881E-4</v>
      </c>
      <c r="G310" s="352">
        <v>1.0637745753450626E-3</v>
      </c>
      <c r="H310" s="352">
        <v>0</v>
      </c>
      <c r="I310" s="352">
        <v>1.8186567077980893E-2</v>
      </c>
      <c r="J310" s="352">
        <v>3.5326960666294621E-2</v>
      </c>
      <c r="K310" s="352">
        <v>5.6124900686965379E-2</v>
      </c>
      <c r="L310" s="364">
        <v>0</v>
      </c>
      <c r="M310" s="291">
        <f t="shared" si="144"/>
        <v>1.6250903910043542E-3</v>
      </c>
      <c r="N310" s="293">
        <f t="shared" si="145"/>
        <v>2.6744022986662126E-4</v>
      </c>
      <c r="O310" s="351">
        <v>0</v>
      </c>
      <c r="P310" s="352">
        <v>0</v>
      </c>
      <c r="Q310" s="352">
        <v>0</v>
      </c>
      <c r="R310" s="352">
        <v>0</v>
      </c>
      <c r="S310" s="352">
        <v>2.9292756193528168E-4</v>
      </c>
      <c r="T310" s="352">
        <v>1.9265050605404908E-3</v>
      </c>
      <c r="U310" s="352">
        <v>0</v>
      </c>
      <c r="V310" s="352">
        <v>0</v>
      </c>
      <c r="W310" s="352">
        <v>0</v>
      </c>
      <c r="X310" s="352">
        <v>0</v>
      </c>
      <c r="Y310" s="364">
        <v>0</v>
      </c>
      <c r="Z310" s="291">
        <f t="shared" si="146"/>
        <v>4.2561947951891477E-5</v>
      </c>
      <c r="AA310" s="293">
        <f t="shared" si="147"/>
        <v>1.1251909847684769E-5</v>
      </c>
      <c r="AB310" s="91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0.14323153355633145</v>
      </c>
      <c r="AC310" s="91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0.23008810906652377</v>
      </c>
      <c r="AD310" s="920">
        <f t="shared" si="148"/>
        <v>0.14544829358465852</v>
      </c>
      <c r="AE310" s="897">
        <f t="shared" si="151"/>
        <v>1.6250903910043542E-3</v>
      </c>
      <c r="AF310" s="897">
        <f t="shared" si="152"/>
        <v>4.2561947951891477E-5</v>
      </c>
      <c r="AG310" s="897">
        <f t="shared" si="153"/>
        <v>1.6676523389562456E-3</v>
      </c>
      <c r="AH310" s="1113">
        <f t="shared" si="149"/>
        <v>0.97447792507008368</v>
      </c>
      <c r="AI310" s="897">
        <f t="shared" si="150"/>
        <v>2.5522074929916302E-2</v>
      </c>
    </row>
    <row r="311" spans="1:35" x14ac:dyDescent="0.2">
      <c r="A311" s="339">
        <v>2032</v>
      </c>
      <c r="B311" s="353">
        <v>0</v>
      </c>
      <c r="C311" s="354">
        <v>0</v>
      </c>
      <c r="D311" s="354">
        <v>0</v>
      </c>
      <c r="E311" s="354">
        <v>0</v>
      </c>
      <c r="F311" s="354">
        <v>9.5508309853546648E-4</v>
      </c>
      <c r="G311" s="354">
        <v>3.6326999757208284E-3</v>
      </c>
      <c r="H311" s="354">
        <v>0</v>
      </c>
      <c r="I311" s="354">
        <v>3.6260645265165613E-2</v>
      </c>
      <c r="J311" s="354">
        <v>5.9292654168674332E-2</v>
      </c>
      <c r="K311" s="354">
        <v>8.2234717025597592E-2</v>
      </c>
      <c r="L311" s="365">
        <v>0</v>
      </c>
      <c r="M311" s="305">
        <f t="shared" si="144"/>
        <v>2.9123521026079937E-3</v>
      </c>
      <c r="N311" s="307">
        <f t="shared" si="145"/>
        <v>4.88268040247226E-4</v>
      </c>
      <c r="O311" s="353">
        <v>0</v>
      </c>
      <c r="P311" s="354">
        <v>0</v>
      </c>
      <c r="Q311" s="354">
        <v>0</v>
      </c>
      <c r="R311" s="354">
        <v>0</v>
      </c>
      <c r="S311" s="354">
        <v>1.5198746005846708E-3</v>
      </c>
      <c r="T311" s="354">
        <v>6.1897386637921673E-3</v>
      </c>
      <c r="U311" s="354">
        <v>0</v>
      </c>
      <c r="V311" s="354">
        <v>0</v>
      </c>
      <c r="W311" s="354">
        <v>0</v>
      </c>
      <c r="X311" s="354">
        <v>0</v>
      </c>
      <c r="Y311" s="365">
        <v>0</v>
      </c>
      <c r="Z311" s="305">
        <f t="shared" si="146"/>
        <v>1.5999718807479423E-4</v>
      </c>
      <c r="AA311" s="307">
        <f t="shared" si="147"/>
        <v>4.2901235061466482E-5</v>
      </c>
      <c r="AB311" s="91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0.14622508695405448</v>
      </c>
      <c r="AC311" s="91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0.23386482997431002</v>
      </c>
      <c r="AD311" s="920">
        <f t="shared" si="148"/>
        <v>0.15078905775300042</v>
      </c>
      <c r="AE311" s="897">
        <f t="shared" si="151"/>
        <v>2.9123521026079937E-3</v>
      </c>
      <c r="AF311" s="897">
        <f t="shared" si="152"/>
        <v>1.5999718807479423E-4</v>
      </c>
      <c r="AG311" s="897">
        <f t="shared" si="153"/>
        <v>3.072349290682788E-3</v>
      </c>
      <c r="AH311" s="1113">
        <f t="shared" si="149"/>
        <v>0.94792350317719343</v>
      </c>
      <c r="AI311" s="897">
        <f t="shared" si="150"/>
        <v>5.2076496822806573E-2</v>
      </c>
    </row>
    <row r="312" spans="1:35" x14ac:dyDescent="0.2">
      <c r="A312" s="339">
        <v>2033</v>
      </c>
      <c r="B312" s="353">
        <v>0</v>
      </c>
      <c r="C312" s="354">
        <v>0</v>
      </c>
      <c r="D312" s="354">
        <v>0</v>
      </c>
      <c r="E312" s="354">
        <v>0</v>
      </c>
      <c r="F312" s="354">
        <v>3.5952943844951798E-3</v>
      </c>
      <c r="G312" s="354">
        <v>1.0322821739677225E-2</v>
      </c>
      <c r="H312" s="354">
        <v>0</v>
      </c>
      <c r="I312" s="354">
        <v>5.7618518555967217E-2</v>
      </c>
      <c r="J312" s="354">
        <v>8.172157245135693E-2</v>
      </c>
      <c r="K312" s="354">
        <v>0.10759814266618463</v>
      </c>
      <c r="L312" s="365">
        <v>0</v>
      </c>
      <c r="M312" s="305">
        <f t="shared" si="144"/>
        <v>4.3775257373159827E-3</v>
      </c>
      <c r="N312" s="307">
        <f t="shared" si="145"/>
        <v>7.5224340497343672E-4</v>
      </c>
      <c r="O312" s="353">
        <v>0</v>
      </c>
      <c r="P312" s="354">
        <v>0</v>
      </c>
      <c r="Q312" s="354">
        <v>0</v>
      </c>
      <c r="R312" s="354">
        <v>5.5640649091013749E-5</v>
      </c>
      <c r="S312" s="354">
        <v>4.7440145982510567E-3</v>
      </c>
      <c r="T312" s="354">
        <v>1.4738361358053181E-2</v>
      </c>
      <c r="U312" s="354">
        <v>0</v>
      </c>
      <c r="V312" s="354">
        <v>0</v>
      </c>
      <c r="W312" s="354">
        <v>0</v>
      </c>
      <c r="X312" s="354">
        <v>0</v>
      </c>
      <c r="Y312" s="365">
        <v>0</v>
      </c>
      <c r="Z312" s="305">
        <f t="shared" si="146"/>
        <v>4.2982729260278871E-4</v>
      </c>
      <c r="AA312" s="307">
        <f t="shared" si="147"/>
        <v>1.1667569899972643E-4</v>
      </c>
      <c r="AB312" s="91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0.15014639730499776</v>
      </c>
      <c r="AC312" s="91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0.23717650132325796</v>
      </c>
      <c r="AD312" s="920">
        <f t="shared" si="148"/>
        <v>0.15792779254522624</v>
      </c>
      <c r="AE312" s="897">
        <f t="shared" si="151"/>
        <v>4.3775257373159827E-3</v>
      </c>
      <c r="AF312" s="897">
        <f t="shared" si="152"/>
        <v>4.2982729260278871E-4</v>
      </c>
      <c r="AG312" s="897">
        <f t="shared" si="153"/>
        <v>4.8073530299187718E-3</v>
      </c>
      <c r="AH312" s="1113">
        <f t="shared" si="149"/>
        <v>0.91058961346759015</v>
      </c>
      <c r="AI312" s="897">
        <f t="shared" si="150"/>
        <v>8.9410386532409777E-2</v>
      </c>
    </row>
    <row r="313" spans="1:35" x14ac:dyDescent="0.2">
      <c r="A313" s="339">
        <v>2034</v>
      </c>
      <c r="B313" s="353">
        <v>0</v>
      </c>
      <c r="C313" s="354">
        <v>0</v>
      </c>
      <c r="D313" s="354">
        <v>0</v>
      </c>
      <c r="E313" s="354">
        <v>0</v>
      </c>
      <c r="F313" s="354">
        <v>7.6804381467752078E-3</v>
      </c>
      <c r="G313" s="354">
        <v>1.7919623400653738E-2</v>
      </c>
      <c r="H313" s="354">
        <v>0</v>
      </c>
      <c r="I313" s="354">
        <v>7.1850408777067262E-2</v>
      </c>
      <c r="J313" s="354">
        <v>9.855286932954406E-2</v>
      </c>
      <c r="K313" s="354">
        <v>0.12568946659956762</v>
      </c>
      <c r="L313" s="365">
        <v>0</v>
      </c>
      <c r="M313" s="305">
        <f t="shared" si="144"/>
        <v>5.5138967682099183E-3</v>
      </c>
      <c r="N313" s="307">
        <f t="shared" si="145"/>
        <v>9.6396006507719594E-4</v>
      </c>
      <c r="O313" s="353">
        <v>0</v>
      </c>
      <c r="P313" s="354">
        <v>0</v>
      </c>
      <c r="Q313" s="354">
        <v>0</v>
      </c>
      <c r="R313" s="354">
        <v>2.2173177170419907E-4</v>
      </c>
      <c r="S313" s="354">
        <v>8.7351942740240898E-3</v>
      </c>
      <c r="T313" s="354">
        <v>2.4904856106026257E-2</v>
      </c>
      <c r="U313" s="354">
        <v>0</v>
      </c>
      <c r="V313" s="354">
        <v>0</v>
      </c>
      <c r="W313" s="354">
        <v>0</v>
      </c>
      <c r="X313" s="354">
        <v>0</v>
      </c>
      <c r="Y313" s="365">
        <v>0</v>
      </c>
      <c r="Z313" s="305">
        <f t="shared" si="146"/>
        <v>7.6360338500370151E-4</v>
      </c>
      <c r="AA313" s="307">
        <f t="shared" si="147"/>
        <v>2.0876010054140235E-4</v>
      </c>
      <c r="AB313" s="91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0.15295309899394025</v>
      </c>
      <c r="AC313" s="91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0.23918697245931952</v>
      </c>
      <c r="AD313" s="920">
        <f t="shared" si="148"/>
        <v>0.16344270091715724</v>
      </c>
      <c r="AE313" s="897">
        <f t="shared" si="151"/>
        <v>5.5138967682099183E-3</v>
      </c>
      <c r="AF313" s="897">
        <f t="shared" si="152"/>
        <v>7.6360338500370151E-4</v>
      </c>
      <c r="AG313" s="897">
        <f t="shared" si="153"/>
        <v>6.2775001532136198E-3</v>
      </c>
      <c r="AH313" s="1113">
        <f t="shared" si="149"/>
        <v>0.87835868317537313</v>
      </c>
      <c r="AI313" s="897">
        <f t="shared" si="150"/>
        <v>0.12164131682462685</v>
      </c>
    </row>
    <row r="314" spans="1:35" ht="13.5" thickBot="1" x14ac:dyDescent="0.25">
      <c r="A314" s="337">
        <v>2035</v>
      </c>
      <c r="B314" s="355">
        <v>0</v>
      </c>
      <c r="C314" s="356">
        <v>0</v>
      </c>
      <c r="D314" s="356">
        <v>0</v>
      </c>
      <c r="E314" s="356">
        <v>2.4696478528178867E-4</v>
      </c>
      <c r="F314" s="356">
        <v>2.0028834929463907E-2</v>
      </c>
      <c r="G314" s="356">
        <v>3.7533695947834414E-2</v>
      </c>
      <c r="H314" s="356">
        <v>0</v>
      </c>
      <c r="I314" s="356">
        <v>0.10290535948160008</v>
      </c>
      <c r="J314" s="356">
        <v>0.13264469421002792</v>
      </c>
      <c r="K314" s="356">
        <v>0.14786006413704861</v>
      </c>
      <c r="L314" s="366">
        <v>0</v>
      </c>
      <c r="M314" s="319">
        <f t="shared" si="144"/>
        <v>7.9992624829298975E-3</v>
      </c>
      <c r="N314" s="321">
        <f t="shared" si="145"/>
        <v>1.4414569391769749E-3</v>
      </c>
      <c r="O314" s="355">
        <v>0</v>
      </c>
      <c r="P314" s="356">
        <v>0</v>
      </c>
      <c r="Q314" s="356">
        <v>0</v>
      </c>
      <c r="R314" s="356">
        <v>1.549212438578402E-3</v>
      </c>
      <c r="S314" s="356">
        <v>2.2429459422176477E-2</v>
      </c>
      <c r="T314" s="356">
        <v>4.5619412617855938E-2</v>
      </c>
      <c r="U314" s="356">
        <v>0</v>
      </c>
      <c r="V314" s="356">
        <v>0</v>
      </c>
      <c r="W314" s="356">
        <v>0</v>
      </c>
      <c r="X314" s="356">
        <v>0</v>
      </c>
      <c r="Y314" s="366">
        <v>0</v>
      </c>
      <c r="Z314" s="319">
        <f t="shared" si="146"/>
        <v>1.7322380996421236E-3</v>
      </c>
      <c r="AA314" s="321">
        <f t="shared" si="147"/>
        <v>4.8618370135001865E-4</v>
      </c>
      <c r="AB314" s="91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0.15799507405214033</v>
      </c>
      <c r="AC314" s="91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0.2460847099957407</v>
      </c>
      <c r="AD314" s="920">
        <f t="shared" si="148"/>
        <v>0.17367530982568422</v>
      </c>
      <c r="AE314" s="897">
        <f t="shared" si="151"/>
        <v>7.9992624829298975E-3</v>
      </c>
      <c r="AF314" s="897">
        <f t="shared" si="152"/>
        <v>1.7322380996421236E-3</v>
      </c>
      <c r="AG314" s="897">
        <f t="shared" si="153"/>
        <v>9.7315005825720207E-3</v>
      </c>
      <c r="AH314" s="1113">
        <f t="shared" si="149"/>
        <v>0.82199681488542897</v>
      </c>
      <c r="AI314" s="897">
        <f t="shared" si="150"/>
        <v>0.17800318511457108</v>
      </c>
    </row>
    <row r="315" spans="1:35" x14ac:dyDescent="0.2">
      <c r="A315" s="338">
        <v>2036</v>
      </c>
      <c r="B315" s="351">
        <v>0</v>
      </c>
      <c r="C315" s="352">
        <v>0</v>
      </c>
      <c r="D315" s="352">
        <v>0</v>
      </c>
      <c r="E315" s="352">
        <v>1.6719962099395512E-3</v>
      </c>
      <c r="F315" s="352">
        <v>4.017272084483129E-2</v>
      </c>
      <c r="G315" s="352">
        <v>6.2537351764301613E-2</v>
      </c>
      <c r="H315" s="352">
        <v>0</v>
      </c>
      <c r="I315" s="352">
        <v>0.12642494302914639</v>
      </c>
      <c r="J315" s="352">
        <v>0.14912888942861605</v>
      </c>
      <c r="K315" s="352">
        <v>0.16940757216295288</v>
      </c>
      <c r="L315" s="364">
        <v>0</v>
      </c>
      <c r="M315" s="291">
        <f t="shared" si="144"/>
        <v>1.005688166664636E-2</v>
      </c>
      <c r="N315" s="293">
        <f t="shared" si="145"/>
        <v>1.8778770407614292E-3</v>
      </c>
      <c r="O315" s="351">
        <v>0</v>
      </c>
      <c r="P315" s="352">
        <v>0</v>
      </c>
      <c r="Q315" s="352">
        <v>0</v>
      </c>
      <c r="R315" s="352">
        <v>6.2196333686866433E-3</v>
      </c>
      <c r="S315" s="352">
        <v>4.4699887682659194E-2</v>
      </c>
      <c r="T315" s="352">
        <v>7.5160416832570284E-2</v>
      </c>
      <c r="U315" s="352">
        <v>0</v>
      </c>
      <c r="V315" s="352">
        <v>0</v>
      </c>
      <c r="W315" s="352">
        <v>0</v>
      </c>
      <c r="X315" s="352">
        <v>0</v>
      </c>
      <c r="Y315" s="364">
        <v>0</v>
      </c>
      <c r="Z315" s="291">
        <f t="shared" si="146"/>
        <v>3.4065589308632481E-3</v>
      </c>
      <c r="AA315" s="293">
        <f t="shared" si="147"/>
        <v>9.8378390114374926E-4</v>
      </c>
      <c r="AB315" s="91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0.16879009381658674</v>
      </c>
      <c r="AC315" s="91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0.26105195352934235</v>
      </c>
      <c r="AD315" s="920">
        <f t="shared" si="148"/>
        <v>0.19213445812719815</v>
      </c>
      <c r="AE315" s="897">
        <f t="shared" si="151"/>
        <v>1.005688166664636E-2</v>
      </c>
      <c r="AF315" s="897">
        <f t="shared" si="152"/>
        <v>3.4065589308632481E-3</v>
      </c>
      <c r="AG315" s="897">
        <f t="shared" si="153"/>
        <v>1.3463440597509608E-2</v>
      </c>
      <c r="AH315" s="1113">
        <f t="shared" si="149"/>
        <v>0.74697708908870042</v>
      </c>
      <c r="AI315" s="897">
        <f t="shared" si="150"/>
        <v>0.25302291091129964</v>
      </c>
    </row>
    <row r="316" spans="1:35" x14ac:dyDescent="0.2">
      <c r="A316" s="339">
        <v>2037</v>
      </c>
      <c r="B316" s="353">
        <v>0</v>
      </c>
      <c r="C316" s="354">
        <v>0</v>
      </c>
      <c r="D316" s="354">
        <v>0</v>
      </c>
      <c r="E316" s="354">
        <v>3.1562949921005142E-3</v>
      </c>
      <c r="F316" s="354">
        <v>4.9438310040002112E-2</v>
      </c>
      <c r="G316" s="354">
        <v>7.4559180218435342E-2</v>
      </c>
      <c r="H316" s="354">
        <v>0</v>
      </c>
      <c r="I316" s="354">
        <v>0.14009274920863615</v>
      </c>
      <c r="J316" s="354">
        <v>0.15597872717228209</v>
      </c>
      <c r="K316" s="354">
        <v>0.17514148942886085</v>
      </c>
      <c r="L316" s="365">
        <v>0</v>
      </c>
      <c r="M316" s="305">
        <f t="shared" si="144"/>
        <v>1.1091374060668608E-2</v>
      </c>
      <c r="N316" s="307">
        <f t="shared" si="145"/>
        <v>2.1021675813065934E-3</v>
      </c>
      <c r="O316" s="353">
        <v>0</v>
      </c>
      <c r="P316" s="354">
        <v>0</v>
      </c>
      <c r="Q316" s="354">
        <v>0</v>
      </c>
      <c r="R316" s="354">
        <v>1.086494522410072E-2</v>
      </c>
      <c r="S316" s="354">
        <v>6.043857780064929E-2</v>
      </c>
      <c r="T316" s="354">
        <v>8.9999116076307908E-2</v>
      </c>
      <c r="U316" s="354">
        <v>0</v>
      </c>
      <c r="V316" s="354">
        <v>0</v>
      </c>
      <c r="W316" s="354">
        <v>0</v>
      </c>
      <c r="X316" s="354">
        <v>0</v>
      </c>
      <c r="Y316" s="365">
        <v>0</v>
      </c>
      <c r="Z316" s="305">
        <f t="shared" si="146"/>
        <v>4.5818219624794328E-3</v>
      </c>
      <c r="AA316" s="307">
        <f t="shared" si="147"/>
        <v>1.3447743770649684E-3</v>
      </c>
      <c r="AB316" s="91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0.17356523719530756</v>
      </c>
      <c r="AC316" s="91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0.2687769244320255</v>
      </c>
      <c r="AD316" s="920">
        <f t="shared" si="148"/>
        <v>0.20139893486753863</v>
      </c>
      <c r="AE316" s="897">
        <f t="shared" si="151"/>
        <v>1.1091374060668608E-2</v>
      </c>
      <c r="AF316" s="897">
        <f t="shared" si="152"/>
        <v>4.5818219624794328E-3</v>
      </c>
      <c r="AG316" s="897">
        <f t="shared" si="153"/>
        <v>1.5673196023148039E-2</v>
      </c>
      <c r="AH316" s="1113">
        <f t="shared" si="149"/>
        <v>0.70766511465099702</v>
      </c>
      <c r="AI316" s="897">
        <f t="shared" si="150"/>
        <v>0.29233488534900304</v>
      </c>
    </row>
    <row r="317" spans="1:35" x14ac:dyDescent="0.2">
      <c r="A317" s="339">
        <v>2038</v>
      </c>
      <c r="B317" s="353">
        <v>0</v>
      </c>
      <c r="C317" s="354">
        <v>0</v>
      </c>
      <c r="D317" s="354">
        <v>0</v>
      </c>
      <c r="E317" s="354">
        <v>7.609347262836106E-3</v>
      </c>
      <c r="F317" s="354">
        <v>7.1016426626103663E-2</v>
      </c>
      <c r="G317" s="354">
        <v>9.4302066624381078E-2</v>
      </c>
      <c r="H317" s="354">
        <v>0</v>
      </c>
      <c r="I317" s="354">
        <v>0.14810390919098371</v>
      </c>
      <c r="J317" s="354">
        <v>0.16946311798036337</v>
      </c>
      <c r="K317" s="354">
        <v>0.18263483013590434</v>
      </c>
      <c r="L317" s="365">
        <v>0</v>
      </c>
      <c r="M317" s="305">
        <f t="shared" si="144"/>
        <v>1.2560540395619768E-2</v>
      </c>
      <c r="N317" s="307">
        <f t="shared" si="145"/>
        <v>2.4460610841457392E-3</v>
      </c>
      <c r="O317" s="353">
        <v>0</v>
      </c>
      <c r="P317" s="354">
        <v>0</v>
      </c>
      <c r="Q317" s="354">
        <v>1.6604301408423502E-4</v>
      </c>
      <c r="R317" s="354">
        <v>2.0691764125107551E-2</v>
      </c>
      <c r="S317" s="354">
        <v>8.0264266771680859E-2</v>
      </c>
      <c r="T317" s="354">
        <v>0.11452975605209811</v>
      </c>
      <c r="U317" s="354">
        <v>0</v>
      </c>
      <c r="V317" s="354">
        <v>0</v>
      </c>
      <c r="W317" s="354">
        <v>0</v>
      </c>
      <c r="X317" s="354">
        <v>0</v>
      </c>
      <c r="Y317" s="365">
        <v>0</v>
      </c>
      <c r="Z317" s="305">
        <f t="shared" si="146"/>
        <v>6.4308349466607332E-3</v>
      </c>
      <c r="AA317" s="307">
        <f t="shared" si="147"/>
        <v>1.9308467174536251E-3</v>
      </c>
      <c r="AB317" s="91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0.18138591095822748</v>
      </c>
      <c r="AC317" s="91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0.27965656041566828</v>
      </c>
      <c r="AD317" s="920">
        <f t="shared" si="148"/>
        <v>0.21466219113131318</v>
      </c>
      <c r="AE317" s="897">
        <f t="shared" si="151"/>
        <v>1.2560540395619768E-2</v>
      </c>
      <c r="AF317" s="897">
        <f t="shared" si="152"/>
        <v>6.4308349466607332E-3</v>
      </c>
      <c r="AG317" s="897">
        <f t="shared" si="153"/>
        <v>1.89913753422805E-2</v>
      </c>
      <c r="AH317" s="1113">
        <f t="shared" si="149"/>
        <v>0.6613812938369048</v>
      </c>
      <c r="AI317" s="897">
        <f t="shared" si="150"/>
        <v>0.33861870616309525</v>
      </c>
    </row>
    <row r="318" spans="1:35" x14ac:dyDescent="0.2">
      <c r="A318" s="339">
        <v>2039</v>
      </c>
      <c r="B318" s="353">
        <v>0</v>
      </c>
      <c r="C318" s="354">
        <v>0</v>
      </c>
      <c r="D318" s="354">
        <v>2.4969849537495326E-4</v>
      </c>
      <c r="E318" s="354">
        <v>1.6896592385623056E-2</v>
      </c>
      <c r="F318" s="354">
        <v>9.0280107585207811E-2</v>
      </c>
      <c r="G318" s="354">
        <v>0.11586753622762404</v>
      </c>
      <c r="H318" s="354">
        <v>0</v>
      </c>
      <c r="I318" s="354">
        <v>0.16324682759049558</v>
      </c>
      <c r="J318" s="354">
        <v>0.17833899628883446</v>
      </c>
      <c r="K318" s="354">
        <v>0.19070490757908906</v>
      </c>
      <c r="L318" s="365">
        <v>0</v>
      </c>
      <c r="M318" s="305">
        <f t="shared" si="144"/>
        <v>1.4295129089718068E-2</v>
      </c>
      <c r="N318" s="307">
        <f t="shared" si="145"/>
        <v>2.8796772309612503E-3</v>
      </c>
      <c r="O318" s="353">
        <v>0</v>
      </c>
      <c r="P318" s="354">
        <v>0</v>
      </c>
      <c r="Q318" s="354">
        <v>9.9234322364053634E-4</v>
      </c>
      <c r="R318" s="354">
        <v>3.7277390590078924E-2</v>
      </c>
      <c r="S318" s="354">
        <v>0.1044981396275283</v>
      </c>
      <c r="T318" s="354">
        <v>0.13488564177507617</v>
      </c>
      <c r="U318" s="354">
        <v>0</v>
      </c>
      <c r="V318" s="354">
        <v>0</v>
      </c>
      <c r="W318" s="354">
        <v>0</v>
      </c>
      <c r="X318" s="354">
        <v>0</v>
      </c>
      <c r="Y318" s="365">
        <v>0</v>
      </c>
      <c r="Z318" s="305">
        <f t="shared" si="146"/>
        <v>8.8889589401852202E-3</v>
      </c>
      <c r="AA318" s="307">
        <f t="shared" si="147"/>
        <v>2.7511383022244119E-3</v>
      </c>
      <c r="AB318" s="91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0.19159470550706179</v>
      </c>
      <c r="AC318" s="91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0.29436711798795123</v>
      </c>
      <c r="AD318" s="920">
        <f t="shared" si="148"/>
        <v>0.23099844455205265</v>
      </c>
      <c r="AE318" s="897">
        <f t="shared" si="151"/>
        <v>1.4295129089718068E-2</v>
      </c>
      <c r="AF318" s="897">
        <f t="shared" si="152"/>
        <v>8.8889589401852202E-3</v>
      </c>
      <c r="AG318" s="897">
        <f t="shared" si="153"/>
        <v>2.3184088029903287E-2</v>
      </c>
      <c r="AH318" s="1113">
        <f t="shared" si="149"/>
        <v>0.6165922537595584</v>
      </c>
      <c r="AI318" s="897">
        <f t="shared" si="150"/>
        <v>0.38340774624044166</v>
      </c>
    </row>
    <row r="319" spans="1:35" ht="13.5" thickBot="1" x14ac:dyDescent="0.25">
      <c r="A319" s="337">
        <v>2040</v>
      </c>
      <c r="B319" s="355">
        <v>0</v>
      </c>
      <c r="C319" s="356">
        <v>0</v>
      </c>
      <c r="D319" s="356">
        <v>1.6874062117895063E-3</v>
      </c>
      <c r="E319" s="356">
        <v>3.4188192038018636E-2</v>
      </c>
      <c r="F319" s="356">
        <v>0.11976137504700864</v>
      </c>
      <c r="G319" s="356">
        <v>0.13908032254956315</v>
      </c>
      <c r="H319" s="356">
        <v>0</v>
      </c>
      <c r="I319" s="356">
        <v>0.17814835488286423</v>
      </c>
      <c r="J319" s="356">
        <v>0.19169913471158428</v>
      </c>
      <c r="K319" s="356">
        <v>0.19905814370694203</v>
      </c>
      <c r="L319" s="366">
        <v>0</v>
      </c>
      <c r="M319" s="319">
        <f t="shared" si="144"/>
        <v>1.6585258903292276E-2</v>
      </c>
      <c r="N319" s="321">
        <f t="shared" si="145"/>
        <v>3.4999815296230291E-3</v>
      </c>
      <c r="O319" s="355">
        <v>0</v>
      </c>
      <c r="P319" s="356">
        <v>0</v>
      </c>
      <c r="Q319" s="356">
        <v>4.8482315430619996E-3</v>
      </c>
      <c r="R319" s="356">
        <v>6.3066337593904995E-2</v>
      </c>
      <c r="S319" s="356">
        <v>0.13290211581982594</v>
      </c>
      <c r="T319" s="356">
        <v>0.16567873082292889</v>
      </c>
      <c r="U319" s="356">
        <v>0</v>
      </c>
      <c r="V319" s="356">
        <v>0</v>
      </c>
      <c r="W319" s="356">
        <v>0</v>
      </c>
      <c r="X319" s="356">
        <v>0</v>
      </c>
      <c r="Y319" s="366">
        <v>0</v>
      </c>
      <c r="Z319" s="319">
        <f t="shared" si="146"/>
        <v>1.2534202162335353E-2</v>
      </c>
      <c r="AA319" s="321">
        <f t="shared" si="147"/>
        <v>4.0295592257396061E-3</v>
      </c>
      <c r="AB319" s="91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0.20559700524810684</v>
      </c>
      <c r="AC319" s="91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0.31320892980502663</v>
      </c>
      <c r="AD319" s="920">
        <f t="shared" si="148"/>
        <v>0.25191756092166501</v>
      </c>
      <c r="AE319" s="897">
        <f t="shared" si="151"/>
        <v>1.6585258903292276E-2</v>
      </c>
      <c r="AF319" s="897">
        <f t="shared" si="152"/>
        <v>1.2534202162335353E-2</v>
      </c>
      <c r="AG319" s="897">
        <f t="shared" si="153"/>
        <v>2.9119461065627628E-2</v>
      </c>
      <c r="AH319" s="1113">
        <f t="shared" si="149"/>
        <v>0.56955926711395699</v>
      </c>
      <c r="AI319" s="897">
        <f t="shared" si="150"/>
        <v>0.43044073288604306</v>
      </c>
    </row>
    <row r="320" spans="1:35" x14ac:dyDescent="0.2">
      <c r="A320" s="338">
        <v>2041</v>
      </c>
      <c r="B320" s="351">
        <v>0</v>
      </c>
      <c r="C320" s="352">
        <v>0</v>
      </c>
      <c r="D320" s="352">
        <v>1.0024346259992359E-2</v>
      </c>
      <c r="E320" s="352">
        <v>6.7522953040199729E-2</v>
      </c>
      <c r="F320" s="352">
        <v>0.14199050663663873</v>
      </c>
      <c r="G320" s="352">
        <v>0.16189370155545849</v>
      </c>
      <c r="H320" s="352">
        <v>0</v>
      </c>
      <c r="I320" s="352">
        <v>0.19775943846999691</v>
      </c>
      <c r="J320" s="352">
        <v>0.20517320016732118</v>
      </c>
      <c r="K320" s="352">
        <v>0.21103680901403044</v>
      </c>
      <c r="L320" s="364">
        <v>0</v>
      </c>
      <c r="M320" s="291">
        <f t="shared" si="144"/>
        <v>1.9801469546615859E-2</v>
      </c>
      <c r="N320" s="293">
        <f t="shared" si="145"/>
        <v>4.525026797385848E-3</v>
      </c>
      <c r="O320" s="351">
        <v>0</v>
      </c>
      <c r="P320" s="352">
        <v>0</v>
      </c>
      <c r="Q320" s="352">
        <v>1.8981022994555646E-2</v>
      </c>
      <c r="R320" s="352">
        <v>9.9320432558303043E-2</v>
      </c>
      <c r="S320" s="352">
        <v>0.17289040691731578</v>
      </c>
      <c r="T320" s="352">
        <v>0.19798460284500921</v>
      </c>
      <c r="U320" s="352">
        <v>0</v>
      </c>
      <c r="V320" s="352">
        <v>0</v>
      </c>
      <c r="W320" s="352">
        <v>0</v>
      </c>
      <c r="X320" s="352">
        <v>0</v>
      </c>
      <c r="Y320" s="364">
        <v>0</v>
      </c>
      <c r="Z320" s="291">
        <f t="shared" si="146"/>
        <v>1.8195410739515201E-2</v>
      </c>
      <c r="AA320" s="293">
        <f t="shared" si="147"/>
        <v>6.1712380297354822E-3</v>
      </c>
      <c r="AB320" s="91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0.22839370775830056</v>
      </c>
      <c r="AC320" s="91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0.33897747143808304</v>
      </c>
      <c r="AD320" s="920">
        <f t="shared" si="148"/>
        <v>0.28134850262890876</v>
      </c>
      <c r="AE320" s="897">
        <f t="shared" si="151"/>
        <v>1.9801469546615859E-2</v>
      </c>
      <c r="AF320" s="897">
        <f t="shared" si="152"/>
        <v>1.8195410739515201E-2</v>
      </c>
      <c r="AG320" s="897">
        <f t="shared" si="153"/>
        <v>3.799688028613106E-2</v>
      </c>
      <c r="AH320" s="1113">
        <f t="shared" si="149"/>
        <v>0.52113408778571324</v>
      </c>
      <c r="AI320" s="897">
        <f t="shared" si="150"/>
        <v>0.47886591221428682</v>
      </c>
    </row>
    <row r="321" spans="1:35" x14ac:dyDescent="0.2">
      <c r="A321" s="339">
        <v>2042</v>
      </c>
      <c r="B321" s="353">
        <v>0</v>
      </c>
      <c r="C321" s="354">
        <v>0</v>
      </c>
      <c r="D321" s="354">
        <v>3.3733710946033231E-2</v>
      </c>
      <c r="E321" s="354">
        <v>0.10711232947376356</v>
      </c>
      <c r="F321" s="354">
        <v>0.17156164990769376</v>
      </c>
      <c r="G321" s="354">
        <v>0.18278269271009481</v>
      </c>
      <c r="H321" s="354">
        <v>0</v>
      </c>
      <c r="I321" s="354">
        <v>0.21078215885223356</v>
      </c>
      <c r="J321" s="354">
        <v>0.21666432883969181</v>
      </c>
      <c r="K321" s="354">
        <v>0.21806229172448111</v>
      </c>
      <c r="L321" s="365">
        <v>0</v>
      </c>
      <c r="M321" s="305">
        <f t="shared" si="144"/>
        <v>2.3806957337849686E-2</v>
      </c>
      <c r="N321" s="307">
        <f t="shared" si="145"/>
        <v>6.0475744976630922E-3</v>
      </c>
      <c r="O321" s="353">
        <v>0</v>
      </c>
      <c r="P321" s="354">
        <v>1.8548566740489184E-4</v>
      </c>
      <c r="Q321" s="354">
        <v>5.2498414854905112E-2</v>
      </c>
      <c r="R321" s="354">
        <v>0.15328627499285294</v>
      </c>
      <c r="S321" s="354">
        <v>0.21364445761809936</v>
      </c>
      <c r="T321" s="354">
        <v>0.22940805618784224</v>
      </c>
      <c r="U321" s="354">
        <v>0</v>
      </c>
      <c r="V321" s="354">
        <v>0</v>
      </c>
      <c r="W321" s="354">
        <v>0</v>
      </c>
      <c r="X321" s="354">
        <v>0</v>
      </c>
      <c r="Y321" s="365">
        <v>0</v>
      </c>
      <c r="Z321" s="305">
        <f t="shared" si="146"/>
        <v>2.6664427244194693E-2</v>
      </c>
      <c r="AA321" s="307">
        <f t="shared" si="147"/>
        <v>9.6715737270719991E-3</v>
      </c>
      <c r="AB321" s="91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0.2602848183627906</v>
      </c>
      <c r="AC321" s="91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0.37165192951230502</v>
      </c>
      <c r="AD321" s="920">
        <f t="shared" si="148"/>
        <v>0.31912093425763394</v>
      </c>
      <c r="AE321" s="897">
        <f t="shared" si="151"/>
        <v>2.3806957337849686E-2</v>
      </c>
      <c r="AF321" s="897">
        <f t="shared" si="152"/>
        <v>2.6664427244194693E-2</v>
      </c>
      <c r="AG321" s="897">
        <f t="shared" si="153"/>
        <v>5.0471384582044379E-2</v>
      </c>
      <c r="AH321" s="1113">
        <f t="shared" si="149"/>
        <v>0.47169217835009053</v>
      </c>
      <c r="AI321" s="897">
        <f t="shared" si="150"/>
        <v>0.52830782164990953</v>
      </c>
    </row>
    <row r="322" spans="1:35" x14ac:dyDescent="0.2">
      <c r="A322" s="339">
        <v>2043</v>
      </c>
      <c r="B322" s="353">
        <v>0</v>
      </c>
      <c r="C322" s="354">
        <v>1.6845532066801948E-3</v>
      </c>
      <c r="D322" s="354">
        <v>7.9104388718827467E-2</v>
      </c>
      <c r="E322" s="354">
        <v>0.14549115406681323</v>
      </c>
      <c r="F322" s="354">
        <v>0.19252050616277805</v>
      </c>
      <c r="G322" s="354">
        <v>0.20217699705904851</v>
      </c>
      <c r="H322" s="354">
        <v>0</v>
      </c>
      <c r="I322" s="354">
        <v>0.21742136904778517</v>
      </c>
      <c r="J322" s="354">
        <v>0.22272479281762383</v>
      </c>
      <c r="K322" s="354">
        <v>0.22687055865781022</v>
      </c>
      <c r="L322" s="365">
        <v>0</v>
      </c>
      <c r="M322" s="305">
        <f t="shared" si="144"/>
        <v>2.8808482429521585E-2</v>
      </c>
      <c r="N322" s="307">
        <f t="shared" si="145"/>
        <v>8.3861738567777306E-3</v>
      </c>
      <c r="O322" s="353">
        <v>0</v>
      </c>
      <c r="P322" s="354">
        <v>4.1505033105355537E-3</v>
      </c>
      <c r="Q322" s="354">
        <v>9.9508169448101216E-2</v>
      </c>
      <c r="R322" s="354">
        <v>0.19409106990212441</v>
      </c>
      <c r="S322" s="354">
        <v>0.24349732322704509</v>
      </c>
      <c r="T322" s="354">
        <v>0.25735490093930252</v>
      </c>
      <c r="U322" s="354">
        <v>0</v>
      </c>
      <c r="V322" s="354">
        <v>0</v>
      </c>
      <c r="W322" s="354">
        <v>0</v>
      </c>
      <c r="X322" s="354">
        <v>0</v>
      </c>
      <c r="Y322" s="365">
        <v>0</v>
      </c>
      <c r="Z322" s="305">
        <f t="shared" si="146"/>
        <v>3.5799789198158315E-2</v>
      </c>
      <c r="AA322" s="307">
        <f t="shared" si="147"/>
        <v>1.4168015096077407E-2</v>
      </c>
      <c r="AB322" s="91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0.30501356266467916</v>
      </c>
      <c r="AC322" s="91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0.41467152323534312</v>
      </c>
      <c r="AD322" s="920">
        <f t="shared" si="148"/>
        <v>0.36577562568584565</v>
      </c>
      <c r="AE322" s="897">
        <f t="shared" si="151"/>
        <v>2.8808482429521585E-2</v>
      </c>
      <c r="AF322" s="897">
        <f t="shared" si="152"/>
        <v>3.5799789198158315E-2</v>
      </c>
      <c r="AG322" s="897">
        <f t="shared" si="153"/>
        <v>6.4608271627679903E-2</v>
      </c>
      <c r="AH322" s="1113">
        <f t="shared" si="149"/>
        <v>0.44589464636257603</v>
      </c>
      <c r="AI322" s="897">
        <f t="shared" si="150"/>
        <v>0.55410535363742397</v>
      </c>
    </row>
    <row r="323" spans="1:35" x14ac:dyDescent="0.2">
      <c r="A323" s="339">
        <v>2044</v>
      </c>
      <c r="B323" s="353">
        <v>0</v>
      </c>
      <c r="C323" s="354">
        <v>1.3588443872871871E-2</v>
      </c>
      <c r="D323" s="354">
        <v>0.12194853857717605</v>
      </c>
      <c r="E323" s="354">
        <v>0.17487557556447761</v>
      </c>
      <c r="F323" s="354">
        <v>0.21163008004602646</v>
      </c>
      <c r="G323" s="354">
        <v>0.21410844634091733</v>
      </c>
      <c r="H323" s="354">
        <v>0</v>
      </c>
      <c r="I323" s="354">
        <v>0.22633597687452578</v>
      </c>
      <c r="J323" s="354">
        <v>0.22834020419765083</v>
      </c>
      <c r="K323" s="354">
        <v>0.22987268402201425</v>
      </c>
      <c r="L323" s="365">
        <v>0</v>
      </c>
      <c r="M323" s="305">
        <f t="shared" si="144"/>
        <v>3.4967339004905097E-2</v>
      </c>
      <c r="N323" s="307">
        <f t="shared" si="145"/>
        <v>1.2119294981507255E-2</v>
      </c>
      <c r="O323" s="353">
        <v>0</v>
      </c>
      <c r="P323" s="354">
        <v>2.173174746526246E-2</v>
      </c>
      <c r="Q323" s="354">
        <v>0.15305668123603439</v>
      </c>
      <c r="R323" s="354">
        <v>0.22454616927269178</v>
      </c>
      <c r="S323" s="354">
        <v>0.26231748228126101</v>
      </c>
      <c r="T323" s="354">
        <v>0.27437234606592398</v>
      </c>
      <c r="U323" s="354">
        <v>0</v>
      </c>
      <c r="V323" s="354">
        <v>0</v>
      </c>
      <c r="W323" s="354">
        <v>0</v>
      </c>
      <c r="X323" s="354">
        <v>0</v>
      </c>
      <c r="Y323" s="365">
        <v>0</v>
      </c>
      <c r="Z323" s="305">
        <f t="shared" si="146"/>
        <v>4.7507567577707889E-2</v>
      </c>
      <c r="AA323" s="307">
        <f t="shared" si="147"/>
        <v>2.164723453546399E-2</v>
      </c>
      <c r="AB323" s="91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0.36997648370889086</v>
      </c>
      <c r="AC323" s="91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0.486406058768795</v>
      </c>
      <c r="AD323" s="920">
        <f t="shared" si="148"/>
        <v>0.43704277252804413</v>
      </c>
      <c r="AE323" s="897">
        <f t="shared" si="151"/>
        <v>3.4967339004905097E-2</v>
      </c>
      <c r="AF323" s="897">
        <f t="shared" si="152"/>
        <v>4.7507567577707889E-2</v>
      </c>
      <c r="AG323" s="897">
        <f t="shared" si="153"/>
        <v>8.2474906582612986E-2</v>
      </c>
      <c r="AH323" s="1113">
        <f t="shared" si="149"/>
        <v>0.4239754908952727</v>
      </c>
      <c r="AI323" s="897">
        <f t="shared" si="150"/>
        <v>0.57602450910472736</v>
      </c>
    </row>
    <row r="324" spans="1:35" ht="13.5" thickBot="1" x14ac:dyDescent="0.25">
      <c r="A324" s="337">
        <v>2045</v>
      </c>
      <c r="B324" s="355">
        <v>0</v>
      </c>
      <c r="C324" s="356">
        <v>3.5789477221903121E-2</v>
      </c>
      <c r="D324" s="356">
        <v>0.1523913859128872</v>
      </c>
      <c r="E324" s="356">
        <v>0.19500082934151558</v>
      </c>
      <c r="F324" s="356">
        <v>0.22179357072151695</v>
      </c>
      <c r="G324" s="356">
        <v>0.22365817360826942</v>
      </c>
      <c r="H324" s="356">
        <v>0</v>
      </c>
      <c r="I324" s="356">
        <v>0.23098147440382213</v>
      </c>
      <c r="J324" s="356">
        <v>0.23251463073856937</v>
      </c>
      <c r="K324" s="356">
        <v>0.2335322901346458</v>
      </c>
      <c r="L324" s="366">
        <v>0</v>
      </c>
      <c r="M324" s="319">
        <f t="shared" si="144"/>
        <v>4.1634714721999783E-2</v>
      </c>
      <c r="N324" s="321">
        <f t="shared" si="145"/>
        <v>1.6942451582470909E-2</v>
      </c>
      <c r="O324" s="355">
        <v>0</v>
      </c>
      <c r="P324" s="356">
        <v>4.8088781025903041E-2</v>
      </c>
      <c r="Q324" s="356">
        <v>0.19237776225623671</v>
      </c>
      <c r="R324" s="356">
        <v>0.25148861292516012</v>
      </c>
      <c r="S324" s="356">
        <v>0.27738322185301878</v>
      </c>
      <c r="T324" s="356">
        <v>0.28258431258169375</v>
      </c>
      <c r="U324" s="356">
        <v>0</v>
      </c>
      <c r="V324" s="356">
        <v>0</v>
      </c>
      <c r="W324" s="356">
        <v>0</v>
      </c>
      <c r="X324" s="356">
        <v>0</v>
      </c>
      <c r="Y324" s="366">
        <v>0</v>
      </c>
      <c r="Z324" s="319">
        <f t="shared" si="146"/>
        <v>5.9685038287793007E-2</v>
      </c>
      <c r="AA324" s="321">
        <f t="shared" si="147"/>
        <v>3.0338150743129406E-2</v>
      </c>
      <c r="AB324" s="91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0.43971257247765805</v>
      </c>
      <c r="AC324" s="91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0.54783087445511702</v>
      </c>
      <c r="AD324" s="920">
        <f t="shared" si="148"/>
        <v>0.50340247302954844</v>
      </c>
      <c r="AE324" s="897">
        <f t="shared" si="151"/>
        <v>4.1634714721999783E-2</v>
      </c>
      <c r="AF324" s="897">
        <f t="shared" si="152"/>
        <v>5.9685038287793007E-2</v>
      </c>
      <c r="AG324" s="897">
        <f t="shared" si="153"/>
        <v>0.10131975300979279</v>
      </c>
      <c r="AH324" s="1113">
        <f t="shared" si="149"/>
        <v>0.410923965813218</v>
      </c>
      <c r="AI324" s="897">
        <f t="shared" si="150"/>
        <v>0.589076034186782</v>
      </c>
    </row>
    <row r="325" spans="1:35" x14ac:dyDescent="0.2">
      <c r="A325" s="338">
        <v>2046</v>
      </c>
      <c r="B325" s="351">
        <v>0</v>
      </c>
      <c r="C325" s="352">
        <v>6.0927200490603566E-2</v>
      </c>
      <c r="D325" s="352">
        <v>0.17449190738910861</v>
      </c>
      <c r="E325" s="352">
        <v>0.20720252044317553</v>
      </c>
      <c r="F325" s="352">
        <v>0.2268625769727157</v>
      </c>
      <c r="G325" s="352">
        <v>0.22841659707130477</v>
      </c>
      <c r="H325" s="352">
        <v>0</v>
      </c>
      <c r="I325" s="352">
        <v>0.23440655576670916</v>
      </c>
      <c r="J325" s="352">
        <v>0.23542443827854065</v>
      </c>
      <c r="K325" s="352">
        <v>0.23583465998715911</v>
      </c>
      <c r="L325" s="364">
        <v>0</v>
      </c>
      <c r="M325" s="291">
        <f t="shared" si="144"/>
        <v>4.786435203387146E-2</v>
      </c>
      <c r="N325" s="293">
        <f t="shared" si="145"/>
        <v>2.1829946451778628E-2</v>
      </c>
      <c r="O325" s="351">
        <v>0</v>
      </c>
      <c r="P325" s="352">
        <v>7.356454530227842E-2</v>
      </c>
      <c r="Q325" s="352">
        <v>0.21186723354635872</v>
      </c>
      <c r="R325" s="352">
        <v>0.25989240626058535</v>
      </c>
      <c r="S325" s="352">
        <v>0.28375751229955171</v>
      </c>
      <c r="T325" s="352">
        <v>0.28831733470614812</v>
      </c>
      <c r="U325" s="352">
        <v>0</v>
      </c>
      <c r="V325" s="352">
        <v>0</v>
      </c>
      <c r="W325" s="352">
        <v>0</v>
      </c>
      <c r="X325" s="352">
        <v>0</v>
      </c>
      <c r="Y325" s="364">
        <v>0</v>
      </c>
      <c r="Z325" s="291">
        <f t="shared" si="146"/>
        <v>6.8421101224127659E-2</v>
      </c>
      <c r="AA325" s="293">
        <f t="shared" si="147"/>
        <v>3.7363832654879546E-2</v>
      </c>
      <c r="AB325" s="91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0.49543528203405413</v>
      </c>
      <c r="AC325" s="91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0.59137537688215269</v>
      </c>
      <c r="AD325" s="920">
        <f t="shared" si="148"/>
        <v>0.55188539472777243</v>
      </c>
      <c r="AE325" s="897">
        <f t="shared" si="151"/>
        <v>4.786435203387146E-2</v>
      </c>
      <c r="AF325" s="897">
        <f t="shared" si="152"/>
        <v>6.8421101224127659E-2</v>
      </c>
      <c r="AG325" s="897">
        <f t="shared" si="153"/>
        <v>0.11628545325799912</v>
      </c>
      <c r="AH325" s="1113">
        <f t="shared" si="149"/>
        <v>0.41161083087216616</v>
      </c>
      <c r="AI325" s="897">
        <f t="shared" si="150"/>
        <v>0.58838916912783379</v>
      </c>
    </row>
    <row r="326" spans="1:35" x14ac:dyDescent="0.2">
      <c r="A326" s="339">
        <v>2047</v>
      </c>
      <c r="B326" s="353">
        <v>0</v>
      </c>
      <c r="C326" s="354">
        <v>7.5807964503471159E-2</v>
      </c>
      <c r="D326" s="354">
        <v>0.18839852870140042</v>
      </c>
      <c r="E326" s="354">
        <v>0.21318730733879188</v>
      </c>
      <c r="F326" s="354">
        <v>0.2309190948393505</v>
      </c>
      <c r="G326" s="354">
        <v>0.23217164260161152</v>
      </c>
      <c r="H326" s="354">
        <v>0</v>
      </c>
      <c r="I326" s="354">
        <v>0.23571235767426271</v>
      </c>
      <c r="J326" s="354">
        <v>0.23673036019421964</v>
      </c>
      <c r="K326" s="354">
        <v>0.23714061677270382</v>
      </c>
      <c r="L326" s="365">
        <v>0</v>
      </c>
      <c r="M326" s="305">
        <f t="shared" si="144"/>
        <v>5.1563509602561577E-2</v>
      </c>
      <c r="N326" s="307">
        <f t="shared" si="145"/>
        <v>2.4736650866527949E-2</v>
      </c>
      <c r="O326" s="353">
        <v>0</v>
      </c>
      <c r="P326" s="354">
        <v>9.0396773973014849E-2</v>
      </c>
      <c r="Q326" s="354">
        <v>0.22943582801986986</v>
      </c>
      <c r="R326" s="354">
        <v>0.2728426744244638</v>
      </c>
      <c r="S326" s="354">
        <v>0.28781022631930664</v>
      </c>
      <c r="T326" s="354">
        <v>0.29166779748811827</v>
      </c>
      <c r="U326" s="354">
        <v>0</v>
      </c>
      <c r="V326" s="354">
        <v>0</v>
      </c>
      <c r="W326" s="354">
        <v>0</v>
      </c>
      <c r="X326" s="354">
        <v>0</v>
      </c>
      <c r="Y326" s="365">
        <v>0</v>
      </c>
      <c r="Z326" s="305">
        <f t="shared" si="146"/>
        <v>7.5049111837582547E-2</v>
      </c>
      <c r="AA326" s="307">
        <f t="shared" si="147"/>
        <v>4.239782074065037E-2</v>
      </c>
      <c r="AB326" s="91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0.52282278504746282</v>
      </c>
      <c r="AC326" s="91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0.61369143370494739</v>
      </c>
      <c r="AD326" s="920">
        <f t="shared" si="148"/>
        <v>0.57668480368396591</v>
      </c>
      <c r="AE326" s="897">
        <f t="shared" si="151"/>
        <v>5.1563509602561577E-2</v>
      </c>
      <c r="AF326" s="897">
        <f t="shared" si="152"/>
        <v>7.5049111837582547E-2</v>
      </c>
      <c r="AG326" s="897">
        <f t="shared" si="153"/>
        <v>0.12661262144014412</v>
      </c>
      <c r="AH326" s="1113">
        <f t="shared" si="149"/>
        <v>0.40725410323281341</v>
      </c>
      <c r="AI326" s="897">
        <f t="shared" si="150"/>
        <v>0.59274589676718659</v>
      </c>
    </row>
    <row r="327" spans="1:35" x14ac:dyDescent="0.2">
      <c r="A327" s="339">
        <v>2048</v>
      </c>
      <c r="B327" s="353">
        <v>0</v>
      </c>
      <c r="C327" s="354">
        <v>8.603482735072035E-2</v>
      </c>
      <c r="D327" s="354">
        <v>0.19338731482943669</v>
      </c>
      <c r="E327" s="354">
        <v>0.21839827033821826</v>
      </c>
      <c r="F327" s="354">
        <v>0.23060029321365119</v>
      </c>
      <c r="G327" s="354">
        <v>0.23305172286034059</v>
      </c>
      <c r="H327" s="354">
        <v>0</v>
      </c>
      <c r="I327" s="354">
        <v>0.23761089768567753</v>
      </c>
      <c r="J327" s="354">
        <v>0.23802116375067994</v>
      </c>
      <c r="K327" s="354">
        <v>0.23802116375067994</v>
      </c>
      <c r="L327" s="365">
        <v>0</v>
      </c>
      <c r="M327" s="305">
        <f t="shared" si="144"/>
        <v>5.3853930570054186E-2</v>
      </c>
      <c r="N327" s="307">
        <f t="shared" si="145"/>
        <v>2.6597850414755049E-2</v>
      </c>
      <c r="O327" s="353">
        <v>8.4926491371203403E-5</v>
      </c>
      <c r="P327" s="354">
        <v>0.10312712221185963</v>
      </c>
      <c r="Q327" s="354">
        <v>0.2367255041632183</v>
      </c>
      <c r="R327" s="354">
        <v>0.27097344989624944</v>
      </c>
      <c r="S327" s="354">
        <v>0.28566100158782098</v>
      </c>
      <c r="T327" s="354">
        <v>0.29279372358746231</v>
      </c>
      <c r="U327" s="354">
        <v>0</v>
      </c>
      <c r="V327" s="354">
        <v>0</v>
      </c>
      <c r="W327" s="354">
        <v>0</v>
      </c>
      <c r="X327" s="354">
        <v>0</v>
      </c>
      <c r="Y327" s="365">
        <v>0</v>
      </c>
      <c r="Z327" s="305">
        <f t="shared" si="146"/>
        <v>7.8585206479590775E-2</v>
      </c>
      <c r="AA327" s="307">
        <f t="shared" si="147"/>
        <v>4.5604452045739145E-2</v>
      </c>
      <c r="AB327" s="91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0.53931753382183523</v>
      </c>
      <c r="AC327" s="91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0.63124272836366224</v>
      </c>
      <c r="AD327" s="920">
        <f t="shared" si="148"/>
        <v>0.59386304472348139</v>
      </c>
      <c r="AE327" s="897">
        <f t="shared" si="151"/>
        <v>5.3853930570054186E-2</v>
      </c>
      <c r="AF327" s="897">
        <f t="shared" si="152"/>
        <v>7.8585206479590775E-2</v>
      </c>
      <c r="AG327" s="897">
        <f t="shared" si="153"/>
        <v>0.13243913704964497</v>
      </c>
      <c r="AH327" s="1113">
        <f t="shared" si="149"/>
        <v>0.40663154238061044</v>
      </c>
      <c r="AI327" s="897">
        <f t="shared" si="150"/>
        <v>0.5933684576193895</v>
      </c>
    </row>
    <row r="328" spans="1:35" x14ac:dyDescent="0.2">
      <c r="A328" s="339">
        <v>2049</v>
      </c>
      <c r="B328" s="353">
        <v>0</v>
      </c>
      <c r="C328" s="354">
        <v>9.7644722160279002E-2</v>
      </c>
      <c r="D328" s="354">
        <v>0.19961139781788173</v>
      </c>
      <c r="E328" s="354">
        <v>0.22294537988278351</v>
      </c>
      <c r="F328" s="354">
        <v>0.23363980125197392</v>
      </c>
      <c r="G328" s="354">
        <v>0.23276612086103513</v>
      </c>
      <c r="H328" s="354">
        <v>0</v>
      </c>
      <c r="I328" s="354">
        <v>0.23819921250447745</v>
      </c>
      <c r="J328" s="354">
        <v>0.23860947869057419</v>
      </c>
      <c r="K328" s="354">
        <v>0.23860947869057419</v>
      </c>
      <c r="L328" s="365">
        <v>0</v>
      </c>
      <c r="M328" s="305">
        <f t="shared" si="144"/>
        <v>5.6370729416013433E-2</v>
      </c>
      <c r="N328" s="307">
        <f t="shared" si="145"/>
        <v>2.8698940889592038E-2</v>
      </c>
      <c r="O328" s="353">
        <v>1.7744664909784768E-4</v>
      </c>
      <c r="P328" s="354">
        <v>0.11616324035291534</v>
      </c>
      <c r="Q328" s="354">
        <v>0.24252291867361742</v>
      </c>
      <c r="R328" s="354">
        <v>0.27370427883864795</v>
      </c>
      <c r="S328" s="354">
        <v>0.28653807388365332</v>
      </c>
      <c r="T328" s="354">
        <v>0.28956303525157384</v>
      </c>
      <c r="U328" s="354">
        <v>0</v>
      </c>
      <c r="V328" s="354">
        <v>0</v>
      </c>
      <c r="W328" s="354">
        <v>0</v>
      </c>
      <c r="X328" s="354">
        <v>0</v>
      </c>
      <c r="Y328" s="365">
        <v>0</v>
      </c>
      <c r="Z328" s="305">
        <f t="shared" si="146"/>
        <v>8.2430503088458673E-2</v>
      </c>
      <c r="AA328" s="307">
        <f t="shared" si="147"/>
        <v>4.8950681797511796E-2</v>
      </c>
      <c r="AB328" s="91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0.55644341421238352</v>
      </c>
      <c r="AC328" s="91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0.64621595755664674</v>
      </c>
      <c r="AD328" s="920">
        <f t="shared" si="148"/>
        <v>0.6097570323833148</v>
      </c>
      <c r="AE328" s="897">
        <f t="shared" si="151"/>
        <v>5.6370729416013433E-2</v>
      </c>
      <c r="AF328" s="897">
        <f t="shared" si="152"/>
        <v>8.2430503088458673E-2</v>
      </c>
      <c r="AG328" s="897">
        <f t="shared" si="153"/>
        <v>0.1388012325044721</v>
      </c>
      <c r="AH328" s="1113">
        <f t="shared" si="149"/>
        <v>0.40612556818756779</v>
      </c>
      <c r="AI328" s="897">
        <f t="shared" si="150"/>
        <v>0.59387443181243227</v>
      </c>
    </row>
    <row r="329" spans="1:35" ht="13.5" thickBot="1" x14ac:dyDescent="0.25">
      <c r="A329" s="337">
        <v>2050</v>
      </c>
      <c r="B329" s="355">
        <v>2.4543661371483159E-4</v>
      </c>
      <c r="C329" s="356">
        <v>0.10869777130268188</v>
      </c>
      <c r="D329" s="356">
        <v>0.20610849156461333</v>
      </c>
      <c r="E329" s="356">
        <v>0.22251945652350535</v>
      </c>
      <c r="F329" s="356">
        <v>0.2339099741308151</v>
      </c>
      <c r="G329" s="356">
        <v>0.23680078299309718</v>
      </c>
      <c r="H329" s="356">
        <v>0</v>
      </c>
      <c r="I329" s="356">
        <v>0.23916634448918334</v>
      </c>
      <c r="J329" s="356">
        <v>0.23976325503104109</v>
      </c>
      <c r="K329" s="356">
        <v>0.23976325503104109</v>
      </c>
      <c r="L329" s="366">
        <v>0</v>
      </c>
      <c r="M329" s="319">
        <f t="shared" si="144"/>
        <v>5.8793280497065406E-2</v>
      </c>
      <c r="N329" s="321">
        <f t="shared" si="145"/>
        <v>3.072209412375821E-2</v>
      </c>
      <c r="O329" s="355">
        <v>5.7979851805963596E-4</v>
      </c>
      <c r="P329" s="356">
        <v>0.12870924870959355</v>
      </c>
      <c r="Q329" s="356">
        <v>0.24731236523179972</v>
      </c>
      <c r="R329" s="356">
        <v>0.27588586711348401</v>
      </c>
      <c r="S329" s="356">
        <v>0.28328479699699399</v>
      </c>
      <c r="T329" s="356">
        <v>0.28629430894398478</v>
      </c>
      <c r="U329" s="356">
        <v>0</v>
      </c>
      <c r="V329" s="356">
        <v>0</v>
      </c>
      <c r="W329" s="356">
        <v>0</v>
      </c>
      <c r="X329" s="356">
        <v>0</v>
      </c>
      <c r="Y329" s="366">
        <v>0</v>
      </c>
      <c r="Z329" s="319">
        <f t="shared" si="146"/>
        <v>8.5914018281189206E-2</v>
      </c>
      <c r="AA329" s="321">
        <f t="shared" si="147"/>
        <v>5.2176976131884462E-2</v>
      </c>
      <c r="AB329" s="921">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0.57221425328365383</v>
      </c>
      <c r="AC329" s="922">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0.66150042528684772</v>
      </c>
      <c r="AD329" s="923">
        <f t="shared" si="148"/>
        <v>0.62522425263064274</v>
      </c>
      <c r="AE329" s="897">
        <f t="shared" ref="AE329" si="154">SUMPRODUCT($B$74:$L$74,B329:L329)</f>
        <v>5.8793280497065406E-2</v>
      </c>
      <c r="AF329" s="897">
        <f t="shared" ref="AF329" si="155">SUMPRODUCT($O$74:$Y$74,O329:Y329)</f>
        <v>8.5914018281189206E-2</v>
      </c>
      <c r="AG329" s="897">
        <f t="shared" ref="AG329" si="156">SUM(AE329:AF329)</f>
        <v>0.14470729877825461</v>
      </c>
      <c r="AH329" s="1113">
        <f t="shared" ref="AH329" si="157">IF(AG329&gt;0,AE329/AG329,0)</f>
        <v>0.40629105092451884</v>
      </c>
      <c r="AI329" s="897">
        <f t="shared" ref="AI329" si="158">IF(AG329&gt;0,AF329/AG329,0)</f>
        <v>0.59370894907548122</v>
      </c>
    </row>
    <row r="330" spans="1:35" x14ac:dyDescent="0.2">
      <c r="B330" s="236" t="str">
        <f>B$120</f>
        <v>Output generated: 11/04/2020 14:43</v>
      </c>
      <c r="O330" s="236" t="str">
        <f>O$120</f>
        <v>Output generated: 11/04/2020 14:43</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2" priority="16">
      <formula>$C$14="not used"</formula>
    </cfRule>
  </conditionalFormatting>
  <conditionalFormatting sqref="F68 R20:R67">
    <cfRule type="expression" dxfId="41" priority="15">
      <formula>$C$15 = "not used"</formula>
    </cfRule>
  </conditionalFormatting>
  <conditionalFormatting sqref="G20 S20:S67 X20 AH20:AH67 AM20:AM67 AR20:AR67 BB20:BB67 BH20:BH67 M20 AW20:AW67 M24:M67 G24:G67 X22:X67 AC20:AC67">
    <cfRule type="expression" dxfId="40" priority="14">
      <formula>$C$16="not used"</formula>
    </cfRule>
  </conditionalFormatting>
  <conditionalFormatting sqref="F20 AG20:AG67 AL20:AL67 AQ20:AQ67 BA20:BA67 BG20:BG67 L20 AV20:AV67 L24:L67 F24:F67">
    <cfRule type="expression" dxfId="39" priority="13">
      <formula>$C$15="not used"</formula>
    </cfRule>
  </conditionalFormatting>
  <conditionalFormatting sqref="Q20:Q67 V20 AF20:AF67 AK20:AK67 AP20:AP67 AZ20:AZ67 BF20:BF67 AU20:AU67 K20:K67 E20:E67 V22:V67 AA20:AA67">
    <cfRule type="expression" dxfId="38" priority="12">
      <formula>$C$14 = "not used"</formula>
    </cfRule>
  </conditionalFormatting>
  <conditionalFormatting sqref="L20">
    <cfRule type="expression" dxfId="37" priority="11">
      <formula>$C$17="not used"</formula>
    </cfRule>
  </conditionalFormatting>
  <conditionalFormatting sqref="M20">
    <cfRule type="expression" dxfId="36" priority="10">
      <formula>$C$18="not used"</formula>
    </cfRule>
  </conditionalFormatting>
  <conditionalFormatting sqref="L20">
    <cfRule type="expression" dxfId="35" priority="9">
      <formula>$C$17="not used"</formula>
    </cfRule>
  </conditionalFormatting>
  <conditionalFormatting sqref="M20">
    <cfRule type="expression" dxfId="34" priority="8">
      <formula>$C$18="not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Cls1">
    <tabColor indexed="48"/>
  </sheetPr>
  <dimension ref="A1:BL330"/>
  <sheetViews>
    <sheetView showZeros="0" zoomScale="70" zoomScaleNormal="70" workbookViewId="0">
      <pane xSplit="1" topLeftCell="X1" activePane="topRight" state="frozen"/>
      <selection pane="topRight" activeCell="AO10" sqref="AO10"/>
    </sheetView>
  </sheetViews>
  <sheetFormatPr defaultColWidth="8.42578125" defaultRowHeight="12.75" x14ac:dyDescent="0.2"/>
  <cols>
    <col min="1" max="1" width="6" style="236" customWidth="1"/>
    <col min="2" max="2" width="11.140625" style="236" customWidth="1"/>
    <col min="3" max="3" width="12" style="236" customWidth="1"/>
    <col min="4" max="4" width="13.5703125" style="236" bestFit="1" customWidth="1"/>
    <col min="5" max="5" width="11" style="236" customWidth="1"/>
    <col min="6" max="6" width="13.5703125" style="236" bestFit="1" customWidth="1"/>
    <col min="7" max="7" width="10.85546875" style="236" customWidth="1"/>
    <col min="8" max="8" width="12.140625" style="236" customWidth="1"/>
    <col min="9" max="9" width="11.7109375" style="236" customWidth="1"/>
    <col min="10" max="10" width="9.7109375" style="236" customWidth="1"/>
    <col min="11" max="11" width="10.140625" style="236" customWidth="1"/>
    <col min="12" max="13" width="12.28515625" style="236" customWidth="1"/>
    <col min="14" max="14" width="11.5703125" style="236" customWidth="1"/>
    <col min="15" max="16" width="11.28515625" style="236" customWidth="1"/>
    <col min="17" max="17" width="10.28515625" style="236" customWidth="1"/>
    <col min="18" max="18" width="10.42578125" style="236" customWidth="1"/>
    <col min="19" max="20" width="9.85546875" style="236" customWidth="1"/>
    <col min="21" max="21" width="10.42578125" style="236" customWidth="1"/>
    <col min="22" max="22" width="8.42578125" style="236" customWidth="1"/>
    <col min="23" max="23" width="10" style="236" customWidth="1"/>
    <col min="24" max="24" width="10.7109375" style="236" customWidth="1"/>
    <col min="25" max="25" width="9.7109375" style="236" customWidth="1"/>
    <col min="26" max="26" width="9.85546875" style="236" customWidth="1"/>
    <col min="27" max="27" width="11.28515625" style="236" customWidth="1"/>
    <col min="28" max="28" width="10" style="236" customWidth="1"/>
    <col min="29" max="29" width="11.140625" style="236" customWidth="1"/>
    <col min="30" max="30" width="10.5703125" style="236" customWidth="1"/>
    <col min="31" max="31" width="10" style="236" customWidth="1"/>
    <col min="32" max="32" width="11.85546875" style="236" customWidth="1"/>
    <col min="33" max="34" width="8.42578125" style="236" customWidth="1"/>
    <col min="35" max="36" width="8.42578125" style="332" customWidth="1"/>
    <col min="37" max="37" width="9.42578125" style="332" customWidth="1"/>
    <col min="38" max="39" width="8.42578125" style="332" customWidth="1"/>
    <col min="40" max="40" width="9.5703125" style="236" customWidth="1"/>
    <col min="41" max="41" width="10.42578125" style="236" customWidth="1"/>
    <col min="42" max="42" width="9.28515625" style="236" customWidth="1"/>
    <col min="43" max="43" width="9.42578125" style="236" customWidth="1"/>
    <col min="44" max="44" width="8.42578125" style="236"/>
    <col min="45" max="45" width="11.140625" style="236" customWidth="1"/>
    <col min="46" max="46" width="9" style="236" customWidth="1"/>
    <col min="47" max="47" width="8.42578125" style="236"/>
    <col min="48" max="48" width="9" style="236" customWidth="1"/>
    <col min="49" max="50" width="8.42578125" style="236"/>
    <col min="51" max="52" width="8.5703125" style="236" customWidth="1"/>
    <col min="53" max="53" width="9.28515625" style="236" customWidth="1"/>
    <col min="54" max="61" width="8.5703125" style="236" customWidth="1"/>
    <col min="62" max="62" width="13" style="236" customWidth="1"/>
    <col min="63" max="16384" width="8.42578125" style="236"/>
  </cols>
  <sheetData>
    <row r="1" spans="2:64" ht="15.75" x14ac:dyDescent="0.25">
      <c r="B1" s="53" t="s">
        <v>347</v>
      </c>
      <c r="C1" s="241"/>
      <c r="D1" s="241"/>
      <c r="E1" s="241"/>
      <c r="F1" s="241"/>
      <c r="L1" s="236" t="s">
        <v>260</v>
      </c>
      <c r="AI1" s="236"/>
      <c r="AJ1" s="236"/>
      <c r="AK1" s="236"/>
      <c r="AL1" s="236"/>
      <c r="AM1" s="236"/>
    </row>
    <row r="2" spans="2:64" x14ac:dyDescent="0.2">
      <c r="Y2" s="244"/>
      <c r="AI2" s="236"/>
      <c r="AJ2" s="236"/>
      <c r="AK2" s="236"/>
      <c r="AL2" s="236"/>
      <c r="AM2" s="236"/>
    </row>
    <row r="3" spans="2:64" x14ac:dyDescent="0.2">
      <c r="B3" s="1646" t="s">
        <v>55</v>
      </c>
      <c r="C3" s="1647"/>
      <c r="D3" s="245">
        <f>'Run Model'!C6</f>
        <v>7.4999999999999997E-2</v>
      </c>
      <c r="F3"/>
      <c r="G3"/>
      <c r="H3"/>
      <c r="L3" s="236" t="s">
        <v>346</v>
      </c>
      <c r="N3" s="236" t="s">
        <v>131</v>
      </c>
      <c r="P3" s="1654" t="s">
        <v>260</v>
      </c>
      <c r="Q3" s="1655"/>
      <c r="R3" s="1655"/>
      <c r="S3" s="1655"/>
      <c r="T3" s="1655"/>
      <c r="U3" s="1656"/>
      <c r="Y3" s="225"/>
      <c r="AI3" s="236"/>
      <c r="AJ3" s="236"/>
      <c r="AK3" s="236"/>
      <c r="AL3" s="236"/>
      <c r="AM3" s="236"/>
    </row>
    <row r="4" spans="2:64" x14ac:dyDescent="0.2">
      <c r="B4" s="1646" t="s">
        <v>108</v>
      </c>
      <c r="C4" s="1647"/>
      <c r="D4" s="234" t="str">
        <f>'Run Model'!C7</f>
        <v>Moderate</v>
      </c>
      <c r="F4"/>
      <c r="G4"/>
      <c r="H4"/>
      <c r="N4" s="236" t="s">
        <v>130</v>
      </c>
      <c r="P4" s="1657">
        <v>44139.613217592596</v>
      </c>
      <c r="Q4" s="1655"/>
      <c r="R4" s="1655"/>
      <c r="S4" s="1655"/>
      <c r="T4" s="1655"/>
      <c r="U4" s="1656"/>
      <c r="V4" s="236" t="s">
        <v>174</v>
      </c>
      <c r="AI4" s="236"/>
      <c r="AJ4" s="236"/>
      <c r="AK4" s="236"/>
      <c r="AL4" s="236"/>
      <c r="AM4" s="236"/>
    </row>
    <row r="5" spans="2:64" x14ac:dyDescent="0.2">
      <c r="B5" s="1646" t="s">
        <v>122</v>
      </c>
      <c r="C5" s="1647"/>
      <c r="D5" s="234" t="s">
        <v>15</v>
      </c>
      <c r="F5"/>
      <c r="G5"/>
      <c r="H5"/>
      <c r="P5" s="1657">
        <v>44139.613217592596</v>
      </c>
      <c r="Q5" s="1655"/>
      <c r="R5" s="1655"/>
      <c r="S5" s="1655"/>
      <c r="T5" s="1655"/>
      <c r="U5" s="1656"/>
      <c r="V5" s="236" t="s">
        <v>15</v>
      </c>
      <c r="AI5" s="236"/>
      <c r="AJ5" s="236"/>
      <c r="AK5" s="236"/>
      <c r="AL5" s="236"/>
      <c r="AM5" s="236"/>
    </row>
    <row r="6" spans="2:64" x14ac:dyDescent="0.2">
      <c r="B6" s="1646" t="s">
        <v>71</v>
      </c>
      <c r="C6" s="1647"/>
      <c r="D6" s="247">
        <v>200000</v>
      </c>
      <c r="F6"/>
      <c r="G6"/>
      <c r="H6"/>
      <c r="AI6" s="236"/>
      <c r="AJ6" s="236"/>
      <c r="AK6" s="236"/>
      <c r="AL6" s="236"/>
      <c r="AM6" s="236"/>
    </row>
    <row r="7" spans="2:64" ht="6.75" customHeight="1" x14ac:dyDescent="0.2">
      <c r="Y7" s="248"/>
      <c r="AI7" s="236"/>
      <c r="AJ7" s="236"/>
      <c r="AK7" s="236"/>
      <c r="AL7" s="236"/>
      <c r="AM7" s="236"/>
    </row>
    <row r="8" spans="2:64" s="249" customFormat="1" ht="15.75" thickBot="1" x14ac:dyDescent="0.3">
      <c r="B8" s="22" t="s">
        <v>77</v>
      </c>
      <c r="C8" s="236"/>
      <c r="D8" s="236"/>
      <c r="E8" s="236"/>
      <c r="F8" s="236"/>
      <c r="G8" s="236"/>
      <c r="H8" s="236"/>
      <c r="I8" s="236"/>
      <c r="J8" s="236"/>
      <c r="K8" s="236"/>
      <c r="L8" s="236"/>
      <c r="M8" s="236"/>
      <c r="N8" s="236"/>
      <c r="O8" s="236"/>
      <c r="P8" s="236"/>
      <c r="Q8" s="236"/>
      <c r="R8" s="248"/>
      <c r="S8" s="248"/>
      <c r="T8" s="250"/>
      <c r="U8" s="251"/>
      <c r="AJ8" s="252"/>
      <c r="AK8" s="253"/>
      <c r="AL8" s="253"/>
      <c r="AM8" s="253"/>
      <c r="BI8" s="254"/>
      <c r="BJ8" s="254"/>
      <c r="BK8" s="254"/>
      <c r="BL8" s="254"/>
    </row>
    <row r="9" spans="2:64" s="249" customFormat="1" ht="26.25" customHeight="1" thickBot="1" x14ac:dyDescent="0.25">
      <c r="B9" s="255"/>
      <c r="C9" s="256"/>
      <c r="D9" s="257"/>
      <c r="E9" s="257"/>
      <c r="F9" s="255"/>
      <c r="G9" s="694"/>
      <c r="H9" s="280"/>
      <c r="I9" s="280"/>
      <c r="J9" s="1633" t="s">
        <v>79</v>
      </c>
      <c r="K9" s="1634"/>
      <c r="L9" s="1659" t="s">
        <v>87</v>
      </c>
      <c r="M9" s="1660"/>
      <c r="N9" s="1661" t="s">
        <v>113</v>
      </c>
      <c r="O9" s="1661"/>
      <c r="P9" s="1661"/>
      <c r="Q9" s="1662"/>
      <c r="R9" s="566"/>
      <c r="S9" s="250"/>
      <c r="T9" s="251"/>
      <c r="AD9" s="768"/>
      <c r="AG9" s="252"/>
      <c r="AH9" s="521"/>
      <c r="AI9" s="521"/>
      <c r="AJ9" s="253"/>
      <c r="BF9" s="254"/>
      <c r="BG9" s="254"/>
      <c r="BH9" s="254"/>
      <c r="BI9" s="254"/>
      <c r="BJ9" s="254"/>
      <c r="BK9" s="254"/>
    </row>
    <row r="10" spans="2:64" s="249" customFormat="1" ht="39" customHeight="1" thickBot="1" x14ac:dyDescent="0.25">
      <c r="B10" s="282"/>
      <c r="C10" s="566" t="s">
        <v>78</v>
      </c>
      <c r="D10" s="566"/>
      <c r="E10" s="566"/>
      <c r="F10" s="695" t="s">
        <v>187</v>
      </c>
      <c r="G10" s="696" t="s">
        <v>186</v>
      </c>
      <c r="H10" s="817" t="s">
        <v>208</v>
      </c>
      <c r="I10" s="704" t="s">
        <v>85</v>
      </c>
      <c r="J10" s="1066" t="s">
        <v>224</v>
      </c>
      <c r="K10" s="1067" t="s">
        <v>225</v>
      </c>
      <c r="L10" s="551" t="s">
        <v>117</v>
      </c>
      <c r="M10" s="552" t="s">
        <v>88</v>
      </c>
      <c r="N10" s="549" t="s">
        <v>99</v>
      </c>
      <c r="O10" s="550" t="s">
        <v>116</v>
      </c>
      <c r="P10" s="550" t="s">
        <v>124</v>
      </c>
      <c r="Q10" s="552" t="s">
        <v>112</v>
      </c>
      <c r="R10" s="251"/>
      <c r="AD10" s="768"/>
      <c r="AE10" s="252"/>
      <c r="AF10" s="253"/>
      <c r="BD10" s="809"/>
      <c r="BE10" s="254"/>
      <c r="BF10" s="254"/>
      <c r="BG10" s="254"/>
      <c r="BH10" s="254"/>
      <c r="BI10" s="254"/>
    </row>
    <row r="11" spans="2:64" s="249" customFormat="1" x14ac:dyDescent="0.2">
      <c r="B11" s="563" t="s">
        <v>72</v>
      </c>
      <c r="C11" s="558" t="str">
        <f t="shared" ref="C11:C16" si="0">INDEX(TECH_OPT_PARAMS_Cls1,MATCH($B11,TECH_OPT_ROWS_Cls1,0),MATCH(C$10,TECH_OPT_COLS_Cls1,0))</f>
        <v>Conventional gasoline</v>
      </c>
      <c r="D11" s="558"/>
      <c r="E11" s="558"/>
      <c r="F11" s="689" t="str">
        <f t="shared" ref="F11:O16" si="1">INDEX(TECH_OPT_PARAMS_Cls1,MATCH($B11,TECH_OPT_ROWS_Cls1,0),MATCH(F$10,TECH_OPT_COLS_Cls1,0))</f>
        <v>Diesel</v>
      </c>
      <c r="G11" s="693" t="str">
        <f t="shared" si="1"/>
        <v>N/A</v>
      </c>
      <c r="H11" s="867" t="b">
        <f>INDEX(TECH_OPT_PARAMS_Cls1,MATCH($B11,TECH_OPT_ROWS_Cls1,0),MATCH(H$10,TECH_OPT_COLS_Cls1,0))</f>
        <v>0</v>
      </c>
      <c r="I11" s="705">
        <f t="shared" si="1"/>
        <v>0</v>
      </c>
      <c r="J11" s="957">
        <f t="shared" si="1"/>
        <v>0</v>
      </c>
      <c r="K11" s="958">
        <f t="shared" si="1"/>
        <v>0</v>
      </c>
      <c r="L11" s="957">
        <f t="shared" si="1"/>
        <v>0</v>
      </c>
      <c r="M11" s="958">
        <f t="shared" si="1"/>
        <v>0</v>
      </c>
      <c r="N11" s="961">
        <f t="shared" si="1"/>
        <v>0</v>
      </c>
      <c r="O11" s="553">
        <f t="shared" si="1"/>
        <v>350</v>
      </c>
      <c r="P11" s="554" t="e">
        <f>$D$6*(#REF!/(#REF!*1000))/12</f>
        <v>#REF!</v>
      </c>
      <c r="Q11" s="555">
        <f>$D$6*('Inputs 4-6 Diesel'!$N8/('Inputs 4-6 Diesel'!$O8*1000))/12</f>
        <v>0</v>
      </c>
      <c r="R11" s="251"/>
    </row>
    <row r="12" spans="2:64" s="249" customFormat="1" x14ac:dyDescent="0.2">
      <c r="B12" s="564" t="s">
        <v>68</v>
      </c>
      <c r="C12" s="559" t="str">
        <f t="shared" si="0"/>
        <v>not used</v>
      </c>
      <c r="D12" s="560"/>
      <c r="E12" s="560"/>
      <c r="F12" s="689" t="str">
        <f t="shared" si="1"/>
        <v>Diesel</v>
      </c>
      <c r="G12" s="690" t="str">
        <f t="shared" si="1"/>
        <v>Electricity</v>
      </c>
      <c r="H12" s="865" t="b">
        <f t="shared" si="1"/>
        <v>0</v>
      </c>
      <c r="I12" s="706">
        <f t="shared" si="1"/>
        <v>2021</v>
      </c>
      <c r="J12" s="959">
        <f t="shared" si="1"/>
        <v>0.4</v>
      </c>
      <c r="K12" s="960">
        <f t="shared" si="1"/>
        <v>0.5</v>
      </c>
      <c r="L12" s="959">
        <f t="shared" si="1"/>
        <v>5000</v>
      </c>
      <c r="M12" s="960">
        <f t="shared" si="1"/>
        <v>100</v>
      </c>
      <c r="N12" s="702">
        <f t="shared" si="1"/>
        <v>0</v>
      </c>
      <c r="O12" s="246">
        <f t="shared" si="1"/>
        <v>350</v>
      </c>
      <c r="P12" s="267" t="e">
        <f>$D$6*(#REF!/(#REF!*1000))/12</f>
        <v>#REF!</v>
      </c>
      <c r="Q12" s="268">
        <f>$D$6*('Inputs 4-6 Diesel'!$N9/('Inputs 4-6 Diesel'!$O9*1000))/12</f>
        <v>0</v>
      </c>
      <c r="R12" s="269"/>
    </row>
    <row r="13" spans="2:64" s="249" customFormat="1" x14ac:dyDescent="0.2">
      <c r="B13" s="564" t="s">
        <v>69</v>
      </c>
      <c r="C13" s="559" t="str">
        <f t="shared" si="0"/>
        <v>not used</v>
      </c>
      <c r="D13" s="560"/>
      <c r="E13" s="560"/>
      <c r="F13" s="689" t="str">
        <f t="shared" si="1"/>
        <v>Diesel</v>
      </c>
      <c r="G13" s="690" t="str">
        <f t="shared" si="1"/>
        <v>N/A</v>
      </c>
      <c r="H13" s="865" t="b">
        <f t="shared" si="1"/>
        <v>0</v>
      </c>
      <c r="I13" s="706">
        <f t="shared" si="1"/>
        <v>2025</v>
      </c>
      <c r="J13" s="959">
        <f t="shared" si="1"/>
        <v>0.2</v>
      </c>
      <c r="K13" s="960">
        <f t="shared" si="1"/>
        <v>0.5</v>
      </c>
      <c r="L13" s="959">
        <f t="shared" si="1"/>
        <v>5000</v>
      </c>
      <c r="M13" s="960">
        <f t="shared" si="1"/>
        <v>100</v>
      </c>
      <c r="N13" s="702">
        <f t="shared" si="1"/>
        <v>0</v>
      </c>
      <c r="O13" s="246">
        <f t="shared" si="1"/>
        <v>350</v>
      </c>
      <c r="P13" s="267" t="e">
        <f>$D$6*(#REF!/(#REF!*1000))/12</f>
        <v>#REF!</v>
      </c>
      <c r="Q13" s="268">
        <f>$D$6*('Inputs 4-6 Diesel'!$N10/('Inputs 4-6 Diesel'!$O10*1000))/12</f>
        <v>0</v>
      </c>
      <c r="R13" s="269"/>
    </row>
    <row r="14" spans="2:64" s="249" customFormat="1" x14ac:dyDescent="0.2">
      <c r="B14" s="564" t="s">
        <v>70</v>
      </c>
      <c r="C14" s="559" t="str">
        <f t="shared" si="0"/>
        <v>not used</v>
      </c>
      <c r="D14" s="560"/>
      <c r="E14" s="560"/>
      <c r="F14" s="689" t="str">
        <f t="shared" si="1"/>
        <v>Diesel</v>
      </c>
      <c r="G14" s="690" t="str">
        <f t="shared" si="1"/>
        <v>N/A</v>
      </c>
      <c r="H14" s="865" t="b">
        <f t="shared" si="1"/>
        <v>0</v>
      </c>
      <c r="I14" s="706">
        <f t="shared" si="1"/>
        <v>2020</v>
      </c>
      <c r="J14" s="959">
        <f t="shared" si="1"/>
        <v>0.5</v>
      </c>
      <c r="K14" s="960">
        <f t="shared" si="1"/>
        <v>0.5</v>
      </c>
      <c r="L14" s="959">
        <f t="shared" si="1"/>
        <v>5000</v>
      </c>
      <c r="M14" s="960">
        <f t="shared" si="1"/>
        <v>100</v>
      </c>
      <c r="N14" s="702">
        <f t="shared" si="1"/>
        <v>0</v>
      </c>
      <c r="O14" s="246">
        <f t="shared" si="1"/>
        <v>350</v>
      </c>
      <c r="P14" s="675" t="e">
        <f>$D$6*(#REF!/(#REF!*1000))/12</f>
        <v>#REF!</v>
      </c>
      <c r="Q14" s="676">
        <f>$D$6*('Inputs 4-6 Diesel'!$N11/('Inputs 4-6 Diesel'!$O11*1000))/12</f>
        <v>0</v>
      </c>
      <c r="R14" s="269"/>
    </row>
    <row r="15" spans="2:64" s="249" customFormat="1" x14ac:dyDescent="0.2">
      <c r="B15" s="564" t="s">
        <v>178</v>
      </c>
      <c r="C15" s="561" t="str">
        <f t="shared" si="0"/>
        <v>not used</v>
      </c>
      <c r="D15" s="562"/>
      <c r="E15" s="562"/>
      <c r="F15" s="691" t="str">
        <f t="shared" si="1"/>
        <v>Electricity</v>
      </c>
      <c r="G15" s="692" t="str">
        <f t="shared" si="1"/>
        <v>N/A</v>
      </c>
      <c r="H15" s="865" t="b">
        <f t="shared" si="1"/>
        <v>1</v>
      </c>
      <c r="I15" s="706">
        <f t="shared" si="1"/>
        <v>2025</v>
      </c>
      <c r="J15" s="959">
        <f t="shared" si="1"/>
        <v>0.5</v>
      </c>
      <c r="K15" s="960">
        <f t="shared" si="1"/>
        <v>0.5</v>
      </c>
      <c r="L15" s="959">
        <f t="shared" si="1"/>
        <v>5000</v>
      </c>
      <c r="M15" s="960">
        <f t="shared" si="1"/>
        <v>100</v>
      </c>
      <c r="N15" s="702">
        <f t="shared" si="1"/>
        <v>0</v>
      </c>
      <c r="O15" s="246">
        <f t="shared" si="1"/>
        <v>350</v>
      </c>
      <c r="P15" s="675" t="e">
        <f>$D$6*(#REF!/(#REF!*1000))/12</f>
        <v>#REF!</v>
      </c>
      <c r="Q15" s="676">
        <f>$D$6*('Inputs 4-6 Diesel'!$N12/('Inputs 4-6 Diesel'!$O12*1000))/12</f>
        <v>0</v>
      </c>
      <c r="R15" s="269"/>
    </row>
    <row r="16" spans="2:64" s="249" customFormat="1" ht="13.5" thickBot="1" x14ac:dyDescent="0.25">
      <c r="B16" s="565" t="s">
        <v>179</v>
      </c>
      <c r="C16" s="556" t="str">
        <f t="shared" si="0"/>
        <v>not used</v>
      </c>
      <c r="D16" s="557"/>
      <c r="E16" s="557"/>
      <c r="F16" s="272" t="str">
        <f t="shared" si="1"/>
        <v>Hydrogen</v>
      </c>
      <c r="G16" s="271" t="str">
        <f t="shared" si="1"/>
        <v>N/A</v>
      </c>
      <c r="H16" s="866" t="b">
        <f t="shared" si="1"/>
        <v>0</v>
      </c>
      <c r="I16" s="707">
        <f t="shared" si="1"/>
        <v>2030</v>
      </c>
      <c r="J16" s="272">
        <f t="shared" si="1"/>
        <v>0.2</v>
      </c>
      <c r="K16" s="271">
        <f t="shared" si="1"/>
        <v>0.5</v>
      </c>
      <c r="L16" s="272">
        <f t="shared" si="1"/>
        <v>5000</v>
      </c>
      <c r="M16" s="271">
        <f t="shared" si="1"/>
        <v>100</v>
      </c>
      <c r="N16" s="703">
        <f t="shared" si="1"/>
        <v>0</v>
      </c>
      <c r="O16" s="273">
        <f t="shared" si="1"/>
        <v>350</v>
      </c>
      <c r="P16" s="677" t="e">
        <f>$D$6*(#REF!/(#REF!*1000))/12</f>
        <v>#REF!</v>
      </c>
      <c r="Q16" s="678">
        <f>$D$6*('Inputs 4-6 Diesel'!$N13/('Inputs 4-6 Diesel'!$O13*1000))/12</f>
        <v>0</v>
      </c>
      <c r="R16" s="269"/>
      <c r="Y16" s="813"/>
    </row>
    <row r="17" spans="1:60" s="249" customFormat="1" x14ac:dyDescent="0.2">
      <c r="B17" s="276"/>
      <c r="C17" s="276"/>
      <c r="D17" s="276"/>
      <c r="E17" s="253"/>
      <c r="F17" s="253"/>
      <c r="G17" s="253"/>
      <c r="H17" s="253"/>
      <c r="I17" s="248"/>
      <c r="J17" s="248"/>
      <c r="K17" s="251"/>
      <c r="L17" s="251"/>
      <c r="M17" s="248"/>
      <c r="N17" s="248"/>
      <c r="O17" s="277"/>
      <c r="P17" s="250"/>
      <c r="Q17" s="248"/>
      <c r="R17" s="248"/>
      <c r="S17" s="248"/>
      <c r="T17" s="248"/>
      <c r="U17" s="277"/>
      <c r="V17" s="250"/>
      <c r="W17" s="250"/>
      <c r="AD17"/>
      <c r="AE17"/>
      <c r="AF17"/>
      <c r="AG17"/>
      <c r="AH17"/>
      <c r="AI17"/>
      <c r="AJ17"/>
      <c r="AK17"/>
      <c r="AL17"/>
      <c r="AM17"/>
      <c r="AN17" s="774" t="s">
        <v>81</v>
      </c>
      <c r="AO17" s="778">
        <f>'S-curves'!Z4</f>
        <v>2</v>
      </c>
      <c r="AP17" s="775" t="s">
        <v>105</v>
      </c>
      <c r="AQ17" s="778">
        <f>'S-curves'!Z6</f>
        <v>1</v>
      </c>
      <c r="AR17" s="771"/>
      <c r="AS17"/>
      <c r="AT17" s="781"/>
      <c r="AU17" s="781"/>
      <c r="AV17" s="780"/>
      <c r="AW17" s="771"/>
    </row>
    <row r="18" spans="1:60" ht="13.5" thickBot="1" x14ac:dyDescent="0.25">
      <c r="B18" s="238"/>
      <c r="D18" s="278"/>
      <c r="T18" s="279"/>
      <c r="AD18"/>
      <c r="AE18"/>
      <c r="AF18"/>
      <c r="AG18"/>
      <c r="AH18"/>
      <c r="AI18"/>
      <c r="AJ18"/>
      <c r="AK18"/>
      <c r="AL18"/>
      <c r="AM18"/>
      <c r="AN18" s="776" t="s">
        <v>82</v>
      </c>
      <c r="AO18" s="779">
        <f>'S-curves'!Z5</f>
        <v>0.6</v>
      </c>
      <c r="AP18" s="777"/>
      <c r="AQ18" s="777"/>
      <c r="AR18" s="773"/>
      <c r="AS18" s="782" t="s">
        <v>109</v>
      </c>
      <c r="AT18" s="783"/>
      <c r="AU18" s="784">
        <f>MATCH('Run Model'!C7,AdoptCols,0)</f>
        <v>4</v>
      </c>
      <c r="AV18" s="783" t="str">
        <f>INDEX(AdoptCols,'4-6 Gas'!AU18)</f>
        <v>Moderate</v>
      </c>
      <c r="AW18" s="773"/>
    </row>
    <row r="19" spans="1:60" s="28" customFormat="1" ht="15.75" thickBot="1" x14ac:dyDescent="0.3">
      <c r="A19" s="785"/>
      <c r="B19" s="1638" t="s">
        <v>200</v>
      </c>
      <c r="C19" s="1639"/>
      <c r="D19" s="1639"/>
      <c r="E19" s="1639"/>
      <c r="F19" s="1639"/>
      <c r="G19" s="1640"/>
      <c r="H19" s="1638" t="s">
        <v>188</v>
      </c>
      <c r="I19" s="1639"/>
      <c r="J19" s="1639"/>
      <c r="K19" s="1639"/>
      <c r="L19" s="1639"/>
      <c r="M19" s="1640"/>
      <c r="N19" s="1638" t="s">
        <v>74</v>
      </c>
      <c r="O19" s="1639"/>
      <c r="P19" s="1639"/>
      <c r="Q19" s="1639"/>
      <c r="R19" s="1639"/>
      <c r="S19" s="1640"/>
      <c r="T19" s="1638" t="s">
        <v>111</v>
      </c>
      <c r="U19" s="1639"/>
      <c r="V19" s="1639"/>
      <c r="W19" s="1639"/>
      <c r="X19" s="1640"/>
      <c r="Y19" s="1638" t="s">
        <v>75</v>
      </c>
      <c r="Z19" s="1639"/>
      <c r="AA19" s="1639"/>
      <c r="AB19" s="1639"/>
      <c r="AC19" s="1640"/>
      <c r="AD19" s="1638" t="s">
        <v>96</v>
      </c>
      <c r="AE19" s="1639"/>
      <c r="AF19" s="1639"/>
      <c r="AG19" s="1639"/>
      <c r="AH19" s="1640"/>
      <c r="AI19" s="1638" t="s">
        <v>79</v>
      </c>
      <c r="AJ19" s="1639"/>
      <c r="AK19" s="1639"/>
      <c r="AL19" s="1639"/>
      <c r="AM19" s="1640"/>
      <c r="AN19" s="1638" t="s">
        <v>104</v>
      </c>
      <c r="AO19" s="1639"/>
      <c r="AP19" s="1639"/>
      <c r="AQ19" s="1639"/>
      <c r="AR19" s="1640"/>
      <c r="AS19" s="1638" t="s">
        <v>76</v>
      </c>
      <c r="AT19" s="1639"/>
      <c r="AU19" s="1639"/>
      <c r="AV19" s="1639"/>
      <c r="AW19" s="1640"/>
      <c r="AX19" s="1638" t="s">
        <v>106</v>
      </c>
      <c r="AY19" s="1639"/>
      <c r="AZ19" s="1639"/>
      <c r="BA19" s="1639"/>
      <c r="BB19" s="1640"/>
      <c r="BC19" s="1638" t="s">
        <v>86</v>
      </c>
      <c r="BD19" s="1639"/>
      <c r="BE19" s="1639"/>
      <c r="BF19" s="1639"/>
      <c r="BG19" s="1639"/>
      <c r="BH19" s="1640"/>
    </row>
    <row r="20" spans="1:60" ht="15" customHeight="1" x14ac:dyDescent="0.2">
      <c r="A20" s="281"/>
      <c r="B20" s="1004" t="s">
        <v>72</v>
      </c>
      <c r="C20" s="1005" t="s">
        <v>68</v>
      </c>
      <c r="D20" s="1005" t="s">
        <v>69</v>
      </c>
      <c r="E20" s="1005" t="s">
        <v>70</v>
      </c>
      <c r="F20" s="1005" t="s">
        <v>178</v>
      </c>
      <c r="G20" s="1037" t="s">
        <v>179</v>
      </c>
      <c r="H20" s="1004" t="s">
        <v>72</v>
      </c>
      <c r="I20" s="1005" t="s">
        <v>68</v>
      </c>
      <c r="J20" s="1005" t="s">
        <v>69</v>
      </c>
      <c r="K20" s="1005" t="s">
        <v>70</v>
      </c>
      <c r="L20" s="1005" t="s">
        <v>178</v>
      </c>
      <c r="M20" s="1037" t="s">
        <v>179</v>
      </c>
      <c r="N20" s="1004" t="s">
        <v>72</v>
      </c>
      <c r="O20" s="1005" t="s">
        <v>68</v>
      </c>
      <c r="P20" s="1005" t="s">
        <v>69</v>
      </c>
      <c r="Q20" s="1005" t="s">
        <v>70</v>
      </c>
      <c r="R20" s="1005" t="s">
        <v>178</v>
      </c>
      <c r="S20" s="1037" t="s">
        <v>179</v>
      </c>
      <c r="T20" s="1009" t="s">
        <v>68</v>
      </c>
      <c r="U20" s="1010" t="s">
        <v>69</v>
      </c>
      <c r="V20" s="1010" t="s">
        <v>70</v>
      </c>
      <c r="W20" s="1005" t="s">
        <v>178</v>
      </c>
      <c r="X20" s="1037" t="s">
        <v>179</v>
      </c>
      <c r="Y20" s="1009" t="s">
        <v>68</v>
      </c>
      <c r="Z20" s="1010" t="s">
        <v>69</v>
      </c>
      <c r="AA20" s="1010" t="s">
        <v>70</v>
      </c>
      <c r="AB20" s="1005" t="s">
        <v>178</v>
      </c>
      <c r="AC20" s="1037" t="s">
        <v>179</v>
      </c>
      <c r="AD20" s="1009" t="s">
        <v>68</v>
      </c>
      <c r="AE20" s="1010" t="s">
        <v>69</v>
      </c>
      <c r="AF20" s="1010" t="s">
        <v>70</v>
      </c>
      <c r="AG20" s="1005" t="s">
        <v>178</v>
      </c>
      <c r="AH20" s="1037" t="s">
        <v>179</v>
      </c>
      <c r="AI20" s="1076" t="s">
        <v>68</v>
      </c>
      <c r="AJ20" s="1077" t="s">
        <v>69</v>
      </c>
      <c r="AK20" s="1077" t="s">
        <v>70</v>
      </c>
      <c r="AL20" s="1078" t="s">
        <v>178</v>
      </c>
      <c r="AM20" s="1079" t="s">
        <v>179</v>
      </c>
      <c r="AN20" s="1009" t="s">
        <v>68</v>
      </c>
      <c r="AO20" s="1010" t="s">
        <v>69</v>
      </c>
      <c r="AP20" s="1010" t="s">
        <v>70</v>
      </c>
      <c r="AQ20" s="1005" t="s">
        <v>178</v>
      </c>
      <c r="AR20" s="1037" t="s">
        <v>179</v>
      </c>
      <c r="AS20" s="1009" t="s">
        <v>68</v>
      </c>
      <c r="AT20" s="1010" t="s">
        <v>69</v>
      </c>
      <c r="AU20" s="1010" t="s">
        <v>70</v>
      </c>
      <c r="AV20" s="1005" t="s">
        <v>178</v>
      </c>
      <c r="AW20" s="1037" t="s">
        <v>179</v>
      </c>
      <c r="AX20" s="1009" t="s">
        <v>68</v>
      </c>
      <c r="AY20" s="1010" t="s">
        <v>69</v>
      </c>
      <c r="AZ20" s="1010" t="s">
        <v>70</v>
      </c>
      <c r="BA20" s="1005" t="s">
        <v>178</v>
      </c>
      <c r="BB20" s="1037" t="s">
        <v>179</v>
      </c>
      <c r="BC20" s="1009" t="s">
        <v>72</v>
      </c>
      <c r="BD20" s="1010" t="s">
        <v>68</v>
      </c>
      <c r="BE20" s="1010" t="s">
        <v>69</v>
      </c>
      <c r="BF20" s="1010" t="s">
        <v>70</v>
      </c>
      <c r="BG20" s="1005" t="s">
        <v>178</v>
      </c>
      <c r="BH20" s="1037" t="s">
        <v>179</v>
      </c>
    </row>
    <row r="21" spans="1:60" s="243" customFormat="1" x14ac:dyDescent="0.2">
      <c r="A21" s="732"/>
      <c r="B21" s="1025"/>
      <c r="C21" s="1026"/>
      <c r="D21" s="1026"/>
      <c r="E21" s="1026"/>
      <c r="F21" s="1026"/>
      <c r="G21" s="1027"/>
      <c r="H21" s="1031" t="str">
        <f>IF(INDEX($G$11:$G$16,MATCH(H20,$B$11:$B$16,0))="N/A","Single-fuel","Dual-Fuel")</f>
        <v>Single-fuel</v>
      </c>
      <c r="I21" s="1032" t="str">
        <f t="shared" ref="I21:M21" si="2">IF(INDEX($G$11:$G$16,MATCH(I20,$B$11:$B$16,0))="N/A","Single-fuel","Dual-Fuel")</f>
        <v>Dual-Fuel</v>
      </c>
      <c r="J21" s="1032" t="str">
        <f t="shared" si="2"/>
        <v>Single-fuel</v>
      </c>
      <c r="K21" s="1032" t="str">
        <f t="shared" si="2"/>
        <v>Single-fuel</v>
      </c>
      <c r="L21" s="1032" t="str">
        <f t="shared" si="2"/>
        <v>Single-fuel</v>
      </c>
      <c r="M21" s="1033" t="str">
        <f t="shared" si="2"/>
        <v>Single-fuel</v>
      </c>
      <c r="N21" s="962" t="str">
        <f>INDEX($F$11:$F$16,MATCH(N20,$B$11:$B$16,0))</f>
        <v>Diesel</v>
      </c>
      <c r="O21" s="963" t="str">
        <f>INDEX($F$11:$F$16,MATCH(O20,$B$11:$B$16,0))</f>
        <v>Diesel</v>
      </c>
      <c r="P21" s="963" t="str">
        <f t="shared" ref="P21" si="3">INDEX($F$11:$F$16,MATCH(P20,$B$11:$B$16,0))</f>
        <v>Diesel</v>
      </c>
      <c r="Q21" s="963" t="str">
        <f t="shared" ref="Q21" si="4">INDEX($F$11:$F$16,MATCH(Q20,$B$11:$B$16,0))</f>
        <v>Diesel</v>
      </c>
      <c r="R21" s="963" t="str">
        <f t="shared" ref="R21" si="5">INDEX($F$11:$F$16,MATCH(R20,$B$11:$B$16,0))</f>
        <v>Electricity</v>
      </c>
      <c r="S21" s="964" t="str">
        <f t="shared" ref="S21" si="6">INDEX($F$11:$F$16,MATCH(S20,$B$11:$B$16,0))</f>
        <v>Hydrogen</v>
      </c>
      <c r="T21" s="1666" t="s">
        <v>121</v>
      </c>
      <c r="U21" s="1667"/>
      <c r="V21" s="1667"/>
      <c r="W21" s="1667"/>
      <c r="X21" s="1668"/>
      <c r="Y21" s="962" t="str">
        <f>INDEX($F$11:$F$16,MATCH(Y20,$B$11:$B$16,0))</f>
        <v>Diesel</v>
      </c>
      <c r="Z21" s="963" t="str">
        <f t="shared" ref="Z21:AC21" si="7">INDEX($F$11:$F$16,MATCH(Z20,$B$11:$B$16,0))</f>
        <v>Diesel</v>
      </c>
      <c r="AA21" s="963" t="str">
        <f t="shared" si="7"/>
        <v>Diesel</v>
      </c>
      <c r="AB21" s="963" t="str">
        <f t="shared" si="7"/>
        <v>Electricity</v>
      </c>
      <c r="AC21" s="964" t="str">
        <f t="shared" si="7"/>
        <v>Hydrogen</v>
      </c>
      <c r="AD21" s="983">
        <f>INDEX($L$11:$L$16,MATCH(AD20,$B$11:$B$16,0))</f>
        <v>5000</v>
      </c>
      <c r="AE21" s="984">
        <f>INDEX($L$11:$L$16,MATCH(AE20,$B$11:$B$16,0))</f>
        <v>5000</v>
      </c>
      <c r="AF21" s="984">
        <f>INDEX($L$11:$L$16,MATCH(AF20,$B$11:$B$16,0))</f>
        <v>5000</v>
      </c>
      <c r="AG21" s="984">
        <f>INDEX($L$11:$L$16,MATCH(AG20,$B$11:$B$16,0))</f>
        <v>5000</v>
      </c>
      <c r="AH21" s="985">
        <f>INDEX($L$11:$L$16,MATCH(AH20,$B$11:$B$16,0))</f>
        <v>5000</v>
      </c>
      <c r="AI21" s="962">
        <f>INDEX($J$11:$J$16,MATCH(AI20,$B$11:$B$16,0))</f>
        <v>0.4</v>
      </c>
      <c r="AJ21" s="963">
        <f t="shared" ref="AJ21:AM21" si="8">INDEX($J$11:$J$16,MATCH(AJ20,$B$11:$B$16,0))</f>
        <v>0.2</v>
      </c>
      <c r="AK21" s="963">
        <f t="shared" si="8"/>
        <v>0.5</v>
      </c>
      <c r="AL21" s="963">
        <f t="shared" si="8"/>
        <v>0.5</v>
      </c>
      <c r="AM21" s="964">
        <f t="shared" si="8"/>
        <v>0.2</v>
      </c>
      <c r="AN21" s="962" t="str">
        <f>INDEX($F$11:$F$16,MATCH(AN20,$B$11:$B$16,0))</f>
        <v>Diesel</v>
      </c>
      <c r="AO21" s="963" t="str">
        <f t="shared" ref="AO21" si="9">INDEX($F$11:$F$16,MATCH(AO20,$B$11:$B$16,0))</f>
        <v>Diesel</v>
      </c>
      <c r="AP21" s="963" t="str">
        <f t="shared" ref="AP21" si="10">INDEX($F$11:$F$16,MATCH(AP20,$B$11:$B$16,0))</f>
        <v>Diesel</v>
      </c>
      <c r="AQ21" s="963" t="str">
        <f t="shared" ref="AQ21" si="11">INDEX($F$11:$F$16,MATCH(AQ20,$B$11:$B$16,0))</f>
        <v>Electricity</v>
      </c>
      <c r="AR21" s="964" t="str">
        <f t="shared" ref="AR21" si="12">INDEX($F$11:$F$16,MATCH(AR20,$B$11:$B$16,0))</f>
        <v>Hydrogen</v>
      </c>
      <c r="AS21" s="962" t="str">
        <f>INDEX($F$11:$F$16,MATCH(AS20,$B$11:$B$16,0))</f>
        <v>Diesel</v>
      </c>
      <c r="AT21" s="963" t="str">
        <f t="shared" ref="AT21:AV21" si="13">INDEX($F$11:$F$16,MATCH(AT20,$B$11:$B$16,0))</f>
        <v>Diesel</v>
      </c>
      <c r="AU21" s="963" t="str">
        <f t="shared" ref="AU21" si="14">INDEX($F$11:$F$16,MATCH(AU20,$B$11:$B$16,0))</f>
        <v>Diesel</v>
      </c>
      <c r="AV21" s="963" t="str">
        <f t="shared" si="13"/>
        <v>Electricity</v>
      </c>
      <c r="AW21" s="964" t="str">
        <f t="shared" ref="AW21" si="15">INDEX($F$11:$F$16,MATCH(AW20,$B$11:$B$16,0))</f>
        <v>Hydrogen</v>
      </c>
      <c r="AX21" s="962" t="str">
        <f>INDEX($F$11:$F$16,MATCH(AX20,$B$11:$B$16,0))</f>
        <v>Diesel</v>
      </c>
      <c r="AY21" s="963" t="str">
        <f t="shared" ref="AY21" si="16">INDEX($F$11:$F$16,MATCH(AY20,$B$11:$B$16,0))</f>
        <v>Diesel</v>
      </c>
      <c r="AZ21" s="963" t="str">
        <f t="shared" ref="AZ21" si="17">INDEX($F$11:$F$16,MATCH(AZ20,$B$11:$B$16,0))</f>
        <v>Diesel</v>
      </c>
      <c r="BA21" s="963" t="str">
        <f t="shared" ref="BA21" si="18">INDEX($F$11:$F$16,MATCH(BA20,$B$11:$B$16,0))</f>
        <v>Electricity</v>
      </c>
      <c r="BB21" s="964" t="str">
        <f t="shared" ref="BB21" si="19">INDEX($F$11:$F$16,MATCH(BB20,$B$11:$B$16,0))</f>
        <v>Hydrogen</v>
      </c>
      <c r="BC21" s="993" t="str">
        <f>INDEX($F$11:$F$16,MATCH(BC20,$B$11:$B$16,0))</f>
        <v>Diesel</v>
      </c>
      <c r="BD21" s="963" t="str">
        <f>INDEX($F$11:$F$16,MATCH(BD20,$B$11:$B$16,0))</f>
        <v>Diesel</v>
      </c>
      <c r="BE21" s="963" t="str">
        <f t="shared" ref="BE21" si="20">INDEX($F$11:$F$16,MATCH(BE20,$B$11:$B$16,0))</f>
        <v>Diesel</v>
      </c>
      <c r="BF21" s="963" t="str">
        <f t="shared" ref="BF21" si="21">INDEX($F$11:$F$16,MATCH(BF20,$B$11:$B$16,0))</f>
        <v>Diesel</v>
      </c>
      <c r="BG21" s="963" t="str">
        <f t="shared" ref="BG21" si="22">INDEX($F$11:$F$16,MATCH(BG20,$B$11:$B$16,0))</f>
        <v>Electricity</v>
      </c>
      <c r="BH21" s="964" t="str">
        <f t="shared" ref="BH21" si="23">INDEX($F$11:$F$16,MATCH(BH20,$B$11:$B$16,0))</f>
        <v>Hydrogen</v>
      </c>
    </row>
    <row r="22" spans="1:60" x14ac:dyDescent="0.2">
      <c r="A22" s="732"/>
      <c r="B22" s="1025"/>
      <c r="C22" s="1026"/>
      <c r="D22" s="1026"/>
      <c r="E22" s="1026"/>
      <c r="F22" s="1026"/>
      <c r="G22" s="1027"/>
      <c r="H22" s="1031"/>
      <c r="I22" s="1032"/>
      <c r="J22" s="1032"/>
      <c r="K22" s="1032"/>
      <c r="L22" s="1032"/>
      <c r="M22" s="1033"/>
      <c r="N22" s="965"/>
      <c r="O22" s="966"/>
      <c r="P22" s="966"/>
      <c r="Q22" s="966"/>
      <c r="R22" s="966"/>
      <c r="S22" s="967"/>
      <c r="T22" s="971">
        <f>INDEX($Q$11:$Q$16,MATCH(T20,$B$11:$B$16,0))</f>
        <v>0</v>
      </c>
      <c r="U22" s="972">
        <f>INDEX($Q$11:$Q$16,MATCH(U20,$B$11:$B$16,0))</f>
        <v>0</v>
      </c>
      <c r="V22" s="972">
        <f>INDEX($Q$11:$Q$16,MATCH(V20,$B$11:$B$16,0))</f>
        <v>0</v>
      </c>
      <c r="W22" s="972">
        <f>INDEX($Q$11:$Q$16,MATCH(W20,$B$11:$B$16,0))</f>
        <v>0</v>
      </c>
      <c r="X22" s="973">
        <f>INDEX($Q$11:$Q$16,MATCH(X20,$B$11:$B$16,0))</f>
        <v>0</v>
      </c>
      <c r="Y22" s="977" t="b">
        <f>INDEX($H$11:$H$16,MATCH(Y20,$B$11:$B$16,0))</f>
        <v>0</v>
      </c>
      <c r="Z22" s="978" t="b">
        <f t="shared" ref="Z22:AC22" si="24">INDEX($H$11:$H$16,MATCH(Z20,$B$11:$B$16,0))</f>
        <v>0</v>
      </c>
      <c r="AA22" s="978" t="b">
        <f t="shared" si="24"/>
        <v>0</v>
      </c>
      <c r="AB22" s="978" t="b">
        <f t="shared" si="24"/>
        <v>1</v>
      </c>
      <c r="AC22" s="979" t="b">
        <f t="shared" si="24"/>
        <v>0</v>
      </c>
      <c r="AD22" s="962">
        <f>INDEX($M$11:$M$16,MATCH(AD20,$B$11:$B$16,0))</f>
        <v>100</v>
      </c>
      <c r="AE22" s="986">
        <f>INDEX($M$11:$M$16,MATCH(AE20,$B$11:$B$16,0))</f>
        <v>100</v>
      </c>
      <c r="AF22" s="986">
        <f>INDEX($M$11:$M$16,MATCH(AF20,$B$11:$B$16,0))</f>
        <v>100</v>
      </c>
      <c r="AG22" s="986">
        <f>INDEX($M$11:$M$16,MATCH(AG20,$B$11:$B$16,0))</f>
        <v>100</v>
      </c>
      <c r="AH22" s="987">
        <f>INDEX($M$11:$M$16,MATCH(AH20,$B$11:$B$16,0))</f>
        <v>100</v>
      </c>
      <c r="AI22" s="962">
        <f>INDEX($K$11:$K$16,MATCH(AI20,$B$11:$B$16,0))</f>
        <v>0.5</v>
      </c>
      <c r="AJ22" s="963">
        <f t="shared" ref="AJ22:AM22" si="25">INDEX($K$11:$K$16,MATCH(AJ20,$B$11:$B$16,0))</f>
        <v>0.5</v>
      </c>
      <c r="AK22" s="963">
        <f t="shared" si="25"/>
        <v>0.5</v>
      </c>
      <c r="AL22" s="963">
        <f t="shared" si="25"/>
        <v>0.5</v>
      </c>
      <c r="AM22" s="964">
        <f t="shared" si="25"/>
        <v>0.5</v>
      </c>
      <c r="AN22" s="962"/>
      <c r="AO22" s="963"/>
      <c r="AP22" s="963"/>
      <c r="AQ22" s="963"/>
      <c r="AR22" s="964"/>
      <c r="AS22" s="977"/>
      <c r="AT22" s="978"/>
      <c r="AU22" s="978"/>
      <c r="AV22" s="978"/>
      <c r="AW22" s="979"/>
      <c r="AX22" s="977"/>
      <c r="AY22" s="978"/>
      <c r="AZ22" s="978"/>
      <c r="BA22" s="978"/>
      <c r="BB22" s="979"/>
      <c r="BC22" s="977"/>
      <c r="BD22" s="978"/>
      <c r="BE22" s="978"/>
      <c r="BF22" s="978"/>
      <c r="BG22" s="978"/>
      <c r="BH22" s="979"/>
    </row>
    <row r="23" spans="1:60" ht="13.5" thickBot="1" x14ac:dyDescent="0.25">
      <c r="A23" s="709"/>
      <c r="B23" s="1028"/>
      <c r="C23" s="1029"/>
      <c r="D23" s="1029"/>
      <c r="E23" s="1029"/>
      <c r="F23" s="1029"/>
      <c r="G23" s="1030"/>
      <c r="H23" s="1034"/>
      <c r="I23" s="1035"/>
      <c r="J23" s="1035"/>
      <c r="K23" s="1035"/>
      <c r="L23" s="1035"/>
      <c r="M23" s="1036"/>
      <c r="N23" s="968"/>
      <c r="O23" s="969"/>
      <c r="P23" s="969"/>
      <c r="Q23" s="969"/>
      <c r="R23" s="969"/>
      <c r="S23" s="970"/>
      <c r="T23" s="974"/>
      <c r="U23" s="975"/>
      <c r="V23" s="975"/>
      <c r="W23" s="975"/>
      <c r="X23" s="976"/>
      <c r="Y23" s="980"/>
      <c r="Z23" s="981"/>
      <c r="AA23" s="981"/>
      <c r="AB23" s="981"/>
      <c r="AC23" s="982"/>
      <c r="AD23" s="988"/>
      <c r="AE23" s="989"/>
      <c r="AF23" s="989"/>
      <c r="AG23" s="989"/>
      <c r="AH23" s="990"/>
      <c r="AI23" s="988">
        <f>INDEX($I$11:$I$16,MATCH(AI20,$B$11:$B$16,0))</f>
        <v>2021</v>
      </c>
      <c r="AJ23" s="991">
        <f>INDEX($I$11:$I$16,MATCH(AJ20,$B$11:$B$16,0))</f>
        <v>2025</v>
      </c>
      <c r="AK23" s="991">
        <f>INDEX($I$11:$I$16,MATCH(AK20,$B$11:$B$16,0))</f>
        <v>2020</v>
      </c>
      <c r="AL23" s="991">
        <f>INDEX($I$11:$I$16,MATCH(AL20,$B$11:$B$16,0))</f>
        <v>2025</v>
      </c>
      <c r="AM23" s="992">
        <f>INDEX($I$11:$I$16,MATCH(AM20,$B$11:$B$16,0))</f>
        <v>2030</v>
      </c>
      <c r="AN23" s="988"/>
      <c r="AO23" s="991"/>
      <c r="AP23" s="991"/>
      <c r="AQ23" s="991"/>
      <c r="AR23" s="992"/>
      <c r="AS23" s="980"/>
      <c r="AT23" s="981"/>
      <c r="AU23" s="981"/>
      <c r="AV23" s="981"/>
      <c r="AW23" s="982"/>
      <c r="AX23" s="980"/>
      <c r="AY23" s="981"/>
      <c r="AZ23" s="981"/>
      <c r="BA23" s="981"/>
      <c r="BB23" s="982"/>
      <c r="BC23" s="980"/>
      <c r="BD23" s="981"/>
      <c r="BE23" s="981"/>
      <c r="BF23" s="981"/>
      <c r="BG23" s="981"/>
      <c r="BH23" s="982"/>
    </row>
    <row r="24" spans="1:60" ht="13.5" thickTop="1" x14ac:dyDescent="0.2">
      <c r="A24" s="580">
        <v>2007</v>
      </c>
      <c r="B24" s="789">
        <f t="shared" ref="B24:G33" si="26">ROUND(INDEX(COST_Cls1,$A24-($A$24-1),MATCH(B$20,TECHOPTS_Cls1,0)),2)</f>
        <v>70000</v>
      </c>
      <c r="C24" s="789">
        <f t="shared" si="26"/>
        <v>1000000</v>
      </c>
      <c r="D24" s="789">
        <f t="shared" si="26"/>
        <v>1000000</v>
      </c>
      <c r="E24" s="789">
        <f t="shared" si="26"/>
        <v>1000000</v>
      </c>
      <c r="F24" s="789">
        <f t="shared" si="26"/>
        <v>1000000</v>
      </c>
      <c r="G24" s="790">
        <f t="shared" si="26"/>
        <v>1000000</v>
      </c>
      <c r="H24" s="764">
        <f t="shared" ref="H24:M33" si="27">MAX(1-INDEX(CDRANGE_CLS1,$A24-($A$24-1),MATCH(H$20,TECHOPTS_Cls1,0))*OPDAYS_Cls1/$D$6,0)</f>
        <v>1</v>
      </c>
      <c r="I24" s="765">
        <f t="shared" si="27"/>
        <v>0.93125000000000002</v>
      </c>
      <c r="J24" s="765">
        <f t="shared" si="27"/>
        <v>1</v>
      </c>
      <c r="K24" s="765">
        <f t="shared" si="27"/>
        <v>1</v>
      </c>
      <c r="L24" s="765">
        <f t="shared" si="27"/>
        <v>0.875</v>
      </c>
      <c r="M24" s="766">
        <f t="shared" si="27"/>
        <v>1</v>
      </c>
      <c r="N24" s="285">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7487.1042792833159</v>
      </c>
      <c r="O24" s="285">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7460.6214972987673</v>
      </c>
      <c r="P24" s="285">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7487.1042792833159</v>
      </c>
      <c r="Q24" s="285">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7487.1042792833159</v>
      </c>
      <c r="R24" s="285">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12428.325310957311</v>
      </c>
      <c r="S24" s="285">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39684.993529900385</v>
      </c>
      <c r="T24" s="284">
        <f>$N24-O24+T$22</f>
        <v>26.482781984548637</v>
      </c>
      <c r="U24" s="285">
        <f t="shared" ref="U24:X24" si="34">$N24-P24+U$22</f>
        <v>0</v>
      </c>
      <c r="V24" s="285">
        <f t="shared" si="34"/>
        <v>0</v>
      </c>
      <c r="W24" s="285">
        <f t="shared" si="34"/>
        <v>-4941.2210316739947</v>
      </c>
      <c r="X24" s="287">
        <f t="shared" si="34"/>
        <v>-32197.889250617067</v>
      </c>
      <c r="Y24" s="288">
        <f ca="1">IF(AND(Y$22=TRUE,INDEX(CDRANGE_CLS1,MATCH($A24,$A$24:$A$67,0),MATCH(Y$20,$B$20:$G$20,0))&lt;$D$6/OPDAYS_Cls1),86,payback(C24,T24,disc_rate/12,85))</f>
        <v>86</v>
      </c>
      <c r="Z24" s="289">
        <f ca="1">IF(AND(Z$22=TRUE,INDEX(CDRANGE_CLS1,MATCH($A24,$A$24:$A$67,0),MATCH(Z$20,$B$20:$G$20,0))&lt;$D$6/OPDAYS_Cls1),86,payback(D24,U24,disc_rate/12,85))</f>
        <v>86</v>
      </c>
      <c r="AA24" s="289">
        <f ca="1">IF(AND(AA$22=TRUE,INDEX(CDRANGE_CLS1,MATCH($A24,$A$24:$A$67,0),MATCH(AA$20,$B$20:$G$20,0))&lt;$D$6/OPDAYS_Cls1),86,payback(E24,V24,disc_rate/12,85))</f>
        <v>86</v>
      </c>
      <c r="AB24" s="289">
        <f>IF(AND(AB$22=TRUE,INDEX(CDRANGE_CLS1,MATCH($A24,$A$24:$A$67,0),MATCH(AB$20,$B$20:$G$20,0))&lt;$D$6/OPDAYS_Cls1),86,payback(F24,W24,disc_rate/12,85))</f>
        <v>86</v>
      </c>
      <c r="AC24" s="290">
        <f ca="1">IF(AND(AC$22=TRUE,INDEX(CDRANGE_CLS1,MATCH($A24,$A$24:$A$67,0),MATCH(AC$20,$B$20:$G$20,0))&lt;$D$6/OPDAYS_Cls1),86,payback(G24,X24,disc_rate/12,85))</f>
        <v>86</v>
      </c>
      <c r="AD24" s="291">
        <f t="shared" ref="AD24:AD67" si="35">IF(AND(C24&lt;=AD$21,$N24-O24&gt;=-AD$22),AI24*VLOOKUP(C24/AD$21,FirstCostInd,2,TRUE)*VLOOKUP(($N24-O24)/AD$22,FuelCostInd,2,1),0)</f>
        <v>0</v>
      </c>
      <c r="AE24" s="292">
        <f t="shared" ref="AE24:AE67" si="36">IF(AND(D24&lt;=AE$21,$N24-P24&gt;=-AE$22),AJ24*VLOOKUP(D24/AE$21,FirstCostInd,2,TRUE)*VLOOKUP(($N24-P24)/AE$22,FuelCostInd,2,1),0)</f>
        <v>0</v>
      </c>
      <c r="AF24" s="292">
        <f t="shared" ref="AF24:AF67" si="37">IF(AND(E24&lt;=AF$21,$N24-Q24&gt;=-AF$22),AK24*VLOOKUP(E24/AF$21,FirstCostInd,2,TRUE)*VLOOKUP(($N24-Q24)/AF$22,FuelCostInd,2,1),0)</f>
        <v>0</v>
      </c>
      <c r="AG24" s="292">
        <f t="shared" ref="AG24:AG67" si="38">IF(AND(F24&lt;=AG$21,$N24-R24&gt;=-AG$22),AL24*VLOOKUP(F24/AG$21,FirstCostInd,2,TRUE)*VLOOKUP(($N24-R24)/AG$22,FuelCostInd,2,1),0)</f>
        <v>0</v>
      </c>
      <c r="AH24" s="612">
        <f t="shared" ref="AH24:AH67" si="39">IF(AND(G24&lt;=AH$21,$N24-S24&gt;=-AH$22),AM24*VLOOKUP(G24/AH$21,FirstCostInd,2,TRUE)*VLOOKUP(($N24-S24)/AH$22,FuelCostInd,2,1),0)</f>
        <v>0</v>
      </c>
      <c r="AI24" s="1080">
        <f t="shared" ref="AI24:AI67" si="40">IF($A24&lt;AI$23,0,AI$21+VLOOKUP($A24-AI$23,SCdata,2,1)*(AI$22-AI$21))*IF($D$5="Non-Central",INDEX(fuel_avail,$A24-$A$24+1,MATCH(O$21,Fuels,0)),1)</f>
        <v>0</v>
      </c>
      <c r="AJ24" s="1081">
        <f t="shared" ref="AJ24:AJ67" si="41">IF($A24&lt;AJ$23,0,AJ$21+VLOOKUP($A24-AJ$23,SCdata,2,1)*(AJ$22-AJ$21))*IF($D$5="Non-Central",INDEX(fuel_avail,$A24-$A$24+1,MATCH(P$21,Fuels,0)),1)</f>
        <v>0</v>
      </c>
      <c r="AK24" s="1081">
        <f t="shared" ref="AK24:AK67" si="42">IF($A24&lt;AK$23,0,AK$21+VLOOKUP($A24-AK$23,SCdata,2,1)*(AK$22-AK$21))*IF($D$5="Non-Central",INDEX(fuel_avail,$A24-$A$24+1,MATCH(Q$21,Fuels,0)),1)</f>
        <v>0</v>
      </c>
      <c r="AL24" s="1081">
        <f t="shared" ref="AL24:AL67" si="43">IF($A24&lt;AL$23,0,AL$21+VLOOKUP($A24-AL$23,SCdata,2,1)*(AL$22-AL$21))*IF($D$5="Non-Central",INDEX(fuel_avail,$A24-$A$24+1,MATCH(R$21,Fuels,0)),1)</f>
        <v>0</v>
      </c>
      <c r="AM24" s="1082">
        <f t="shared" ref="AM24:AM67" si="44">IF($A24&lt;AM$23,0,AM$21+VLOOKUP($A24-AM$23,SCdata,2,1)*(AM$22-AM$21))*IF($D$5="Non-Central",INDEX(fuel_avail,$A24-$A$24+1,MATCH(S$21,Fuels,0)),1)</f>
        <v>0</v>
      </c>
      <c r="AN24" s="294">
        <f t="shared" ref="AN24:AN67" si="45">$AQ$17*(1-WEIBULL(C24/$B24,$AO$17,$AO$18,1))</f>
        <v>0</v>
      </c>
      <c r="AO24" s="295">
        <f t="shared" ref="AO24:AO67" si="46">$AQ$17*(1-WEIBULL(D24/$B24,$AO$17,$AO$18,1))</f>
        <v>0</v>
      </c>
      <c r="AP24" s="295">
        <f t="shared" ref="AP24:AP67" si="47">$AQ$17*(1-WEIBULL(E24/$B24,$AO$17,$AO$18,1))</f>
        <v>0</v>
      </c>
      <c r="AQ24" s="295">
        <f t="shared" ref="AQ24:AQ67" si="48">$AQ$17*(1-WEIBULL(F24/$B24,$AO$17,$AO$18,1))</f>
        <v>0</v>
      </c>
      <c r="AR24" s="296">
        <f t="shared" ref="AR24:AR67" si="49">$AQ$17*(1-WEIBULL(G24/$B24,$AO$17,$AO$18,1))</f>
        <v>0</v>
      </c>
      <c r="AS24" s="291">
        <f t="shared" ref="AS24:AS67" ca="1" si="50">MIN(1,MAX(AD24,IF(Y24&gt;85,0,(AI24/0.5)*VLOOKUP(Y24,AdoptDec,$AU$18,0))))</f>
        <v>0</v>
      </c>
      <c r="AT24" s="292">
        <f t="shared" ref="AT24:AT67" ca="1" si="51">MIN(1,MAX(AE24,IF(Z24&gt;85,0,(AJ24/0.5)*VLOOKUP(Z24,AdoptDec,$AU$18,0))))</f>
        <v>0</v>
      </c>
      <c r="AU24" s="786">
        <f t="shared" ref="AU24:AU67" ca="1" si="52">MIN(1,MAX(AF24,IF(AA24&gt;85,0,(AK24/0.5)*VLOOKUP(AA24,AdoptDec,$AU$18,0))))</f>
        <v>0</v>
      </c>
      <c r="AV24" s="786">
        <f t="shared" ref="AV24:AV67" si="53">MIN(1,MAX(AG24,IF(AB24&gt;85,0,(AL24/0.5)*VLOOKUP(AB24,AdoptDec,$AU$18,0))))</f>
        <v>0</v>
      </c>
      <c r="AW24" s="787">
        <f t="shared" ref="AW24:AW67" ca="1" si="54">MIN(1,MAX(AH24,IF(AC24&gt;85,0,(AM24/0.5)*VLOOKUP(AC24,AdoptDec,$AU$18,0))))</f>
        <v>0</v>
      </c>
      <c r="AX24" s="721">
        <f t="shared" ref="AX24:AX67" ca="1" si="55">MIN(AS24*AN24,1)</f>
        <v>0</v>
      </c>
      <c r="AY24" s="292">
        <f t="shared" ref="AY24:AY67" ca="1" si="56">MIN(AT24*AO24,1)</f>
        <v>0</v>
      </c>
      <c r="AZ24" s="292">
        <f t="shared" ref="AZ24:AZ67" ca="1" si="57">MIN(AU24*AP24,1)</f>
        <v>0</v>
      </c>
      <c r="BA24" s="292">
        <f t="shared" ref="BA24" si="58">MIN(AV24*AQ24,1)</f>
        <v>0</v>
      </c>
      <c r="BB24" s="612">
        <f t="shared" ref="BB24" ca="1" si="59">MIN(AW24*AR24,1)</f>
        <v>0</v>
      </c>
      <c r="BC24" s="291">
        <f ca="1">1-SUM(BD24:BH24)</f>
        <v>1</v>
      </c>
      <c r="BD24" s="292">
        <f t="shared" ref="BD24:BD67" ca="1" si="60">IF(SUM($AX24:$BB24)=0,0,MAX($AX24:$BB24)*(AI24*AX24/SUMPRODUCT($AI24:$AM24,$AX24:$BB24)))</f>
        <v>0</v>
      </c>
      <c r="BE24" s="292">
        <f t="shared" ref="BE24:BE67" ca="1" si="61">IF(SUM($AX24:$BB24)=0,0,MAX($AX24:$BB24)*(AJ24*AY24/SUMPRODUCT($AI24:$AM24,$AX24:$BB24)))</f>
        <v>0</v>
      </c>
      <c r="BF24" s="292">
        <f t="shared" ref="BF24:BF67" ca="1" si="62">IF(SUM($AX24:$BB24)=0,0,MAX($AX24:$BB24)*(AK24*AZ24/SUMPRODUCT($AI24:$AM24,$AX24:$BB24)))</f>
        <v>0</v>
      </c>
      <c r="BG24" s="292">
        <f t="shared" ref="BG24:BG67" ca="1" si="63">IF(SUM($AX24:$BB24)=0,0,MAX($AX24:$BB24)*(AL24*BA24/SUMPRODUCT($AI24:$AM24,$AX24:$BB24)))</f>
        <v>0</v>
      </c>
      <c r="BH24" s="293">
        <f t="shared" ref="BH24:BH67" ca="1" si="64">IF(SUM($AX24:$BB24)=0,0,MAX($AX24:$BB24)*(AM24*BB24/SUMPRODUCT($AI24:$AM24,$AX24:$BB24)))</f>
        <v>0</v>
      </c>
    </row>
    <row r="25" spans="1:60" x14ac:dyDescent="0.2">
      <c r="A25" s="297">
        <v>2008</v>
      </c>
      <c r="B25" s="791">
        <f t="shared" si="26"/>
        <v>70000</v>
      </c>
      <c r="C25" s="792">
        <f t="shared" si="26"/>
        <v>1000000</v>
      </c>
      <c r="D25" s="792">
        <f t="shared" si="26"/>
        <v>1000000</v>
      </c>
      <c r="E25" s="792">
        <f t="shared" si="26"/>
        <v>1000000</v>
      </c>
      <c r="F25" s="792">
        <f t="shared" si="26"/>
        <v>1000000</v>
      </c>
      <c r="G25" s="793">
        <f t="shared" si="26"/>
        <v>1000000</v>
      </c>
      <c r="H25" s="734">
        <f t="shared" si="27"/>
        <v>1</v>
      </c>
      <c r="I25" s="735">
        <f t="shared" si="27"/>
        <v>0.93056249999999996</v>
      </c>
      <c r="J25" s="735">
        <f t="shared" si="27"/>
        <v>1</v>
      </c>
      <c r="K25" s="735">
        <f t="shared" si="27"/>
        <v>1</v>
      </c>
      <c r="L25" s="735">
        <f t="shared" si="27"/>
        <v>0.87375000000000003</v>
      </c>
      <c r="M25" s="736">
        <f t="shared" si="27"/>
        <v>1</v>
      </c>
      <c r="N25" s="284">
        <f t="shared" si="28"/>
        <v>10248.083733665324</v>
      </c>
      <c r="O25" s="285">
        <f t="shared" si="29"/>
        <v>10176.970475351825</v>
      </c>
      <c r="P25" s="285">
        <f t="shared" si="30"/>
        <v>10248.083733665324</v>
      </c>
      <c r="Q25" s="285">
        <f t="shared" si="31"/>
        <v>10248.083733665324</v>
      </c>
      <c r="R25" s="285">
        <f t="shared" si="32"/>
        <v>16118.853325079343</v>
      </c>
      <c r="S25" s="287">
        <f t="shared" si="33"/>
        <v>39684.993529900385</v>
      </c>
      <c r="T25" s="298">
        <f t="shared" ref="T25:T67" si="65">$N25-O25+T$22</f>
        <v>71.113258313498591</v>
      </c>
      <c r="U25" s="299">
        <f t="shared" ref="U25:U67" si="66">$N25-P25+U$22</f>
        <v>0</v>
      </c>
      <c r="V25" s="299">
        <f t="shared" ref="V25:V67" si="67">$N25-Q25+V$22</f>
        <v>0</v>
      </c>
      <c r="W25" s="299">
        <f t="shared" ref="W25:W67" si="68">$N25-R25+W$22</f>
        <v>-5870.7695914140186</v>
      </c>
      <c r="X25" s="301">
        <f t="shared" ref="X25:X67" si="69">$N25-S25+X$22</f>
        <v>-29436.909796235061</v>
      </c>
      <c r="Y25" s="302">
        <f ca="1">IF(AND(Y$22=TRUE,INDEX(CDRANGE_CLS1,MATCH($A25,$A$24:$A$67,0),MATCH(Y$20,$B$20:$G$20,0))&lt;$D$6/OPDAYS_Cls1),86,payback(C25,T25,disc_rate/12,85))</f>
        <v>86</v>
      </c>
      <c r="Z25" s="303">
        <f ca="1">IF(AND(Z$22=TRUE,INDEX(CDRANGE_CLS1,MATCH($A25,$A$24:$A$67,0),MATCH(Z$20,$B$20:$G$20,0))&lt;$D$6/OPDAYS_Cls1),86,payback(D25,U25,disc_rate/12,85))</f>
        <v>86</v>
      </c>
      <c r="AA25" s="303">
        <f ca="1">IF(AND(AA$22=TRUE,INDEX(CDRANGE_CLS1,MATCH($A25,$A$24:$A$67,0),MATCH(AA$20,$B$20:$G$20,0))&lt;$D$6/OPDAYS_Cls1),86,payback(E25,V25,disc_rate/12,85))</f>
        <v>86</v>
      </c>
      <c r="AB25" s="303">
        <f>IF(AND(AB$22=TRUE,INDEX(CDRANGE_CLS1,MATCH($A25,$A$24:$A$67,0),MATCH(AB$20,$B$20:$G$20,0))&lt;$D$6/OPDAYS_Cls1),86,payback(F25,W25,disc_rate/12,85))</f>
        <v>86</v>
      </c>
      <c r="AC25" s="304">
        <f ca="1">IF(AND(AC$22=TRUE,INDEX(CDRANGE_CLS1,MATCH($A25,$A$24:$A$67,0),MATCH(AC$20,$B$20:$G$20,0))&lt;$D$6/OPDAYS_Cls1),86,payback(G25,X25,disc_rate/12,85))</f>
        <v>86</v>
      </c>
      <c r="AD25" s="305">
        <f t="shared" si="35"/>
        <v>0</v>
      </c>
      <c r="AE25" s="306">
        <f t="shared" si="36"/>
        <v>0</v>
      </c>
      <c r="AF25" s="306">
        <f t="shared" si="37"/>
        <v>0</v>
      </c>
      <c r="AG25" s="306">
        <f t="shared" si="38"/>
        <v>0</v>
      </c>
      <c r="AH25" s="569">
        <f t="shared" si="39"/>
        <v>0</v>
      </c>
      <c r="AI25" s="1083">
        <f t="shared" si="40"/>
        <v>0</v>
      </c>
      <c r="AJ25" s="1084">
        <f t="shared" si="41"/>
        <v>0</v>
      </c>
      <c r="AK25" s="1084">
        <f t="shared" si="42"/>
        <v>0</v>
      </c>
      <c r="AL25" s="1084">
        <f t="shared" si="43"/>
        <v>0</v>
      </c>
      <c r="AM25" s="1085">
        <f t="shared" si="44"/>
        <v>0</v>
      </c>
      <c r="AN25" s="308">
        <f t="shared" si="45"/>
        <v>0</v>
      </c>
      <c r="AO25" s="309">
        <f t="shared" si="46"/>
        <v>0</v>
      </c>
      <c r="AP25" s="309">
        <f t="shared" si="47"/>
        <v>0</v>
      </c>
      <c r="AQ25" s="309">
        <f t="shared" si="48"/>
        <v>0</v>
      </c>
      <c r="AR25" s="310">
        <f t="shared" si="49"/>
        <v>0</v>
      </c>
      <c r="AS25" s="305">
        <f t="shared" ca="1" si="50"/>
        <v>0</v>
      </c>
      <c r="AT25" s="306">
        <f t="shared" ca="1" si="51"/>
        <v>0</v>
      </c>
      <c r="AU25" s="306">
        <f t="shared" ca="1" si="52"/>
        <v>0</v>
      </c>
      <c r="AV25" s="306">
        <f t="shared" si="53"/>
        <v>0</v>
      </c>
      <c r="AW25" s="307">
        <f t="shared" ca="1" si="54"/>
        <v>0</v>
      </c>
      <c r="AX25" s="722">
        <f t="shared" ca="1" si="55"/>
        <v>0</v>
      </c>
      <c r="AY25" s="306">
        <f t="shared" ca="1" si="56"/>
        <v>0</v>
      </c>
      <c r="AZ25" s="306">
        <f t="shared" ca="1" si="57"/>
        <v>0</v>
      </c>
      <c r="BA25" s="306">
        <f t="shared" ref="BA25:BA67" si="70">MIN(AV25*AQ25,1)</f>
        <v>0</v>
      </c>
      <c r="BB25" s="569">
        <f t="shared" ref="BB25:BB67" ca="1" si="71">MIN(AW25*AR25,1)</f>
        <v>0</v>
      </c>
      <c r="BC25" s="305">
        <f t="shared" ref="BC25:BC67" ca="1" si="72">1-SUM(BD25:BH25)</f>
        <v>1</v>
      </c>
      <c r="BD25" s="306">
        <f t="shared" ca="1" si="60"/>
        <v>0</v>
      </c>
      <c r="BE25" s="306">
        <f t="shared" ca="1" si="61"/>
        <v>0</v>
      </c>
      <c r="BF25" s="306">
        <f t="shared" ca="1" si="62"/>
        <v>0</v>
      </c>
      <c r="BG25" s="306">
        <f t="shared" ca="1" si="63"/>
        <v>0</v>
      </c>
      <c r="BH25" s="307">
        <f t="shared" ca="1" si="64"/>
        <v>0</v>
      </c>
    </row>
    <row r="26" spans="1:60" x14ac:dyDescent="0.2">
      <c r="A26" s="297">
        <v>2009</v>
      </c>
      <c r="B26" s="791">
        <f t="shared" si="26"/>
        <v>70000</v>
      </c>
      <c r="C26" s="792">
        <f t="shared" si="26"/>
        <v>1000000</v>
      </c>
      <c r="D26" s="792">
        <f t="shared" si="26"/>
        <v>1000000</v>
      </c>
      <c r="E26" s="792">
        <f t="shared" si="26"/>
        <v>1000000</v>
      </c>
      <c r="F26" s="792">
        <f t="shared" si="26"/>
        <v>1000000</v>
      </c>
      <c r="G26" s="793">
        <f t="shared" si="26"/>
        <v>1000000</v>
      </c>
      <c r="H26" s="734">
        <f t="shared" si="27"/>
        <v>1</v>
      </c>
      <c r="I26" s="735">
        <f t="shared" si="27"/>
        <v>0.92986812500000005</v>
      </c>
      <c r="J26" s="735">
        <f t="shared" si="27"/>
        <v>1</v>
      </c>
      <c r="K26" s="735">
        <f t="shared" si="27"/>
        <v>1</v>
      </c>
      <c r="L26" s="735">
        <f t="shared" si="27"/>
        <v>0.87248749999999997</v>
      </c>
      <c r="M26" s="736">
        <f t="shared" si="27"/>
        <v>1</v>
      </c>
      <c r="N26" s="284">
        <f t="shared" si="28"/>
        <v>6623.9547106983036</v>
      </c>
      <c r="O26" s="285">
        <f t="shared" si="29"/>
        <v>7128.8072703165026</v>
      </c>
      <c r="P26" s="285">
        <f t="shared" si="30"/>
        <v>6623.9547106983036</v>
      </c>
      <c r="Q26" s="285">
        <f t="shared" si="31"/>
        <v>6623.9547106983036</v>
      </c>
      <c r="R26" s="285">
        <f t="shared" si="32"/>
        <v>24120.043364738409</v>
      </c>
      <c r="S26" s="287">
        <f t="shared" si="33"/>
        <v>39684.993529900385</v>
      </c>
      <c r="T26" s="298">
        <f t="shared" si="65"/>
        <v>-504.85255961819894</v>
      </c>
      <c r="U26" s="299">
        <f t="shared" si="66"/>
        <v>0</v>
      </c>
      <c r="V26" s="299">
        <f t="shared" si="67"/>
        <v>0</v>
      </c>
      <c r="W26" s="299">
        <f t="shared" si="68"/>
        <v>-17496.088654040104</v>
      </c>
      <c r="X26" s="301">
        <f t="shared" si="69"/>
        <v>-33061.038819202084</v>
      </c>
      <c r="Y26" s="302">
        <f ca="1">IF(AND(Y$22=TRUE,INDEX(CDRANGE_CLS1,MATCH($A26,$A$24:$A$67,0),MATCH(Y$20,$B$20:$G$20,0))&lt;$D$6/OPDAYS_Cls1),86,payback(C26,T26,disc_rate/12,85))</f>
        <v>86</v>
      </c>
      <c r="Z26" s="303">
        <f ca="1">IF(AND(Z$22=TRUE,INDEX(CDRANGE_CLS1,MATCH($A26,$A$24:$A$67,0),MATCH(Z$20,$B$20:$G$20,0))&lt;$D$6/OPDAYS_Cls1),86,payback(D26,U26,disc_rate/12,85))</f>
        <v>86</v>
      </c>
      <c r="AA26" s="303">
        <f ca="1">IF(AND(AA$22=TRUE,INDEX(CDRANGE_CLS1,MATCH($A26,$A$24:$A$67,0),MATCH(AA$20,$B$20:$G$20,0))&lt;$D$6/OPDAYS_Cls1),86,payback(E26,V26,disc_rate/12,85))</f>
        <v>86</v>
      </c>
      <c r="AB26" s="303">
        <f>IF(AND(AB$22=TRUE,INDEX(CDRANGE_CLS1,MATCH($A26,$A$24:$A$67,0),MATCH(AB$20,$B$20:$G$20,0))&lt;$D$6/OPDAYS_Cls1),86,payback(F26,W26,disc_rate/12,85))</f>
        <v>86</v>
      </c>
      <c r="AC26" s="304">
        <f ca="1">IF(AND(AC$22=TRUE,INDEX(CDRANGE_CLS1,MATCH($A26,$A$24:$A$67,0),MATCH(AC$20,$B$20:$G$20,0))&lt;$D$6/OPDAYS_Cls1),86,payback(G26,X26,disc_rate/12,85))</f>
        <v>86</v>
      </c>
      <c r="AD26" s="305">
        <f t="shared" si="35"/>
        <v>0</v>
      </c>
      <c r="AE26" s="306">
        <f t="shared" si="36"/>
        <v>0</v>
      </c>
      <c r="AF26" s="306">
        <f t="shared" si="37"/>
        <v>0</v>
      </c>
      <c r="AG26" s="306">
        <f t="shared" si="38"/>
        <v>0</v>
      </c>
      <c r="AH26" s="569">
        <f t="shared" si="39"/>
        <v>0</v>
      </c>
      <c r="AI26" s="1083">
        <f t="shared" si="40"/>
        <v>0</v>
      </c>
      <c r="AJ26" s="1084">
        <f t="shared" si="41"/>
        <v>0</v>
      </c>
      <c r="AK26" s="1084">
        <f t="shared" si="42"/>
        <v>0</v>
      </c>
      <c r="AL26" s="1084">
        <f t="shared" si="43"/>
        <v>0</v>
      </c>
      <c r="AM26" s="1085">
        <f t="shared" si="44"/>
        <v>0</v>
      </c>
      <c r="AN26" s="308">
        <f t="shared" si="45"/>
        <v>0</v>
      </c>
      <c r="AO26" s="309">
        <f t="shared" si="46"/>
        <v>0</v>
      </c>
      <c r="AP26" s="309">
        <f t="shared" si="47"/>
        <v>0</v>
      </c>
      <c r="AQ26" s="309">
        <f t="shared" si="48"/>
        <v>0</v>
      </c>
      <c r="AR26" s="310">
        <f t="shared" si="49"/>
        <v>0</v>
      </c>
      <c r="AS26" s="305">
        <f t="shared" ca="1" si="50"/>
        <v>0</v>
      </c>
      <c r="AT26" s="306">
        <f t="shared" ca="1" si="51"/>
        <v>0</v>
      </c>
      <c r="AU26" s="306">
        <f t="shared" ca="1" si="52"/>
        <v>0</v>
      </c>
      <c r="AV26" s="306">
        <f t="shared" si="53"/>
        <v>0</v>
      </c>
      <c r="AW26" s="307">
        <f t="shared" ca="1" si="54"/>
        <v>0</v>
      </c>
      <c r="AX26" s="722">
        <f t="shared" ca="1" si="55"/>
        <v>0</v>
      </c>
      <c r="AY26" s="306">
        <f t="shared" ca="1" si="56"/>
        <v>0</v>
      </c>
      <c r="AZ26" s="306">
        <f t="shared" ca="1" si="57"/>
        <v>0</v>
      </c>
      <c r="BA26" s="306">
        <f t="shared" si="70"/>
        <v>0</v>
      </c>
      <c r="BB26" s="569">
        <f t="shared" ca="1" si="71"/>
        <v>0</v>
      </c>
      <c r="BC26" s="305">
        <f t="shared" ca="1" si="72"/>
        <v>1</v>
      </c>
      <c r="BD26" s="306">
        <f t="shared" ca="1" si="60"/>
        <v>0</v>
      </c>
      <c r="BE26" s="306">
        <f t="shared" ca="1" si="61"/>
        <v>0</v>
      </c>
      <c r="BF26" s="306">
        <f t="shared" ca="1" si="62"/>
        <v>0</v>
      </c>
      <c r="BG26" s="306">
        <f t="shared" ca="1" si="63"/>
        <v>0</v>
      </c>
      <c r="BH26" s="307">
        <f t="shared" ca="1" si="64"/>
        <v>0</v>
      </c>
    </row>
    <row r="27" spans="1:60" ht="13.5" thickBot="1" x14ac:dyDescent="0.25">
      <c r="A27" s="588">
        <v>2010</v>
      </c>
      <c r="B27" s="794">
        <f t="shared" si="26"/>
        <v>70000</v>
      </c>
      <c r="C27" s="795">
        <f t="shared" si="26"/>
        <v>999999</v>
      </c>
      <c r="D27" s="795">
        <f t="shared" si="26"/>
        <v>999999</v>
      </c>
      <c r="E27" s="795">
        <f t="shared" si="26"/>
        <v>999999</v>
      </c>
      <c r="F27" s="795">
        <f t="shared" si="26"/>
        <v>999999</v>
      </c>
      <c r="G27" s="796">
        <f t="shared" si="26"/>
        <v>999999</v>
      </c>
      <c r="H27" s="737">
        <f t="shared" si="27"/>
        <v>1</v>
      </c>
      <c r="I27" s="738">
        <f t="shared" si="27"/>
        <v>0.92916680625000003</v>
      </c>
      <c r="J27" s="738">
        <f t="shared" si="27"/>
        <v>1</v>
      </c>
      <c r="K27" s="738">
        <f t="shared" si="27"/>
        <v>1</v>
      </c>
      <c r="L27" s="738">
        <f t="shared" si="27"/>
        <v>0.87121237500000004</v>
      </c>
      <c r="M27" s="739">
        <f t="shared" si="27"/>
        <v>1</v>
      </c>
      <c r="N27" s="758">
        <f t="shared" si="28"/>
        <v>8165.8146839112169</v>
      </c>
      <c r="O27" s="759">
        <f t="shared" si="29"/>
        <v>8291.5359622456053</v>
      </c>
      <c r="P27" s="759">
        <f t="shared" si="30"/>
        <v>8165.8146839112169</v>
      </c>
      <c r="Q27" s="759">
        <f t="shared" si="31"/>
        <v>8165.8146839112169</v>
      </c>
      <c r="R27" s="759">
        <f t="shared" si="32"/>
        <v>17320.933590089149</v>
      </c>
      <c r="S27" s="760">
        <f t="shared" si="33"/>
        <v>39684.993529900385</v>
      </c>
      <c r="T27" s="312">
        <f t="shared" si="65"/>
        <v>-125.72127833438844</v>
      </c>
      <c r="U27" s="313">
        <f t="shared" si="66"/>
        <v>0</v>
      </c>
      <c r="V27" s="313">
        <f t="shared" si="67"/>
        <v>0</v>
      </c>
      <c r="W27" s="313">
        <f t="shared" si="68"/>
        <v>-9155.1189061779332</v>
      </c>
      <c r="X27" s="315">
        <f t="shared" si="69"/>
        <v>-31519.178845989169</v>
      </c>
      <c r="Y27" s="316">
        <f ca="1">IF(AND(Y$22=TRUE,INDEX(CDRANGE_CLS1,MATCH($A27,$A$24:$A$67,0),MATCH(Y$20,$B$20:$G$20,0))&lt;$D$6/OPDAYS_Cls1),86,payback(C27,T27,disc_rate/12,85))</f>
        <v>86</v>
      </c>
      <c r="Z27" s="317">
        <f ca="1">IF(AND(Z$22=TRUE,INDEX(CDRANGE_CLS1,MATCH($A27,$A$24:$A$67,0),MATCH(Z$20,$B$20:$G$20,0))&lt;$D$6/OPDAYS_Cls1),86,payback(D27,U27,disc_rate/12,85))</f>
        <v>86</v>
      </c>
      <c r="AA27" s="317">
        <f ca="1">IF(AND(AA$22=TRUE,INDEX(CDRANGE_CLS1,MATCH($A27,$A$24:$A$67,0),MATCH(AA$20,$B$20:$G$20,0))&lt;$D$6/OPDAYS_Cls1),86,payback(E27,V27,disc_rate/12,85))</f>
        <v>86</v>
      </c>
      <c r="AB27" s="317">
        <f>IF(AND(AB$22=TRUE,INDEX(CDRANGE_CLS1,MATCH($A27,$A$24:$A$67,0),MATCH(AB$20,$B$20:$G$20,0))&lt;$D$6/OPDAYS_Cls1),86,payback(F27,W27,disc_rate/12,85))</f>
        <v>86</v>
      </c>
      <c r="AC27" s="318">
        <f ca="1">IF(AND(AC$22=TRUE,INDEX(CDRANGE_CLS1,MATCH($A27,$A$24:$A$67,0),MATCH(AC$20,$B$20:$G$20,0))&lt;$D$6/OPDAYS_Cls1),86,payback(G27,X27,disc_rate/12,85))</f>
        <v>86</v>
      </c>
      <c r="AD27" s="319">
        <f t="shared" si="35"/>
        <v>0</v>
      </c>
      <c r="AE27" s="320">
        <f t="shared" si="36"/>
        <v>0</v>
      </c>
      <c r="AF27" s="320">
        <f t="shared" si="37"/>
        <v>0</v>
      </c>
      <c r="AG27" s="320">
        <f t="shared" si="38"/>
        <v>0</v>
      </c>
      <c r="AH27" s="724">
        <f t="shared" si="39"/>
        <v>0</v>
      </c>
      <c r="AI27" s="1086">
        <f t="shared" si="40"/>
        <v>0</v>
      </c>
      <c r="AJ27" s="1087">
        <f t="shared" si="41"/>
        <v>0</v>
      </c>
      <c r="AK27" s="1087">
        <f t="shared" si="42"/>
        <v>0</v>
      </c>
      <c r="AL27" s="1087">
        <f t="shared" si="43"/>
        <v>0</v>
      </c>
      <c r="AM27" s="1088">
        <f t="shared" si="44"/>
        <v>0</v>
      </c>
      <c r="AN27" s="322">
        <f t="shared" si="45"/>
        <v>0</v>
      </c>
      <c r="AO27" s="323">
        <f t="shared" si="46"/>
        <v>0</v>
      </c>
      <c r="AP27" s="323">
        <f t="shared" si="47"/>
        <v>0</v>
      </c>
      <c r="AQ27" s="323">
        <f t="shared" si="48"/>
        <v>0</v>
      </c>
      <c r="AR27" s="324">
        <f t="shared" si="49"/>
        <v>0</v>
      </c>
      <c r="AS27" s="319">
        <f t="shared" ca="1" si="50"/>
        <v>0</v>
      </c>
      <c r="AT27" s="320">
        <f t="shared" ca="1" si="51"/>
        <v>0</v>
      </c>
      <c r="AU27" s="320">
        <f t="shared" ca="1" si="52"/>
        <v>0</v>
      </c>
      <c r="AV27" s="320">
        <f t="shared" si="53"/>
        <v>0</v>
      </c>
      <c r="AW27" s="321">
        <f t="shared" ca="1" si="54"/>
        <v>0</v>
      </c>
      <c r="AX27" s="723">
        <f t="shared" ca="1" si="55"/>
        <v>0</v>
      </c>
      <c r="AY27" s="595">
        <f t="shared" ca="1" si="56"/>
        <v>0</v>
      </c>
      <c r="AZ27" s="595">
        <f t="shared" ca="1" si="57"/>
        <v>0</v>
      </c>
      <c r="BA27" s="595">
        <f t="shared" si="70"/>
        <v>0</v>
      </c>
      <c r="BB27" s="613">
        <f t="shared" ca="1" si="71"/>
        <v>0</v>
      </c>
      <c r="BC27" s="319">
        <f t="shared" ca="1" si="72"/>
        <v>1</v>
      </c>
      <c r="BD27" s="320">
        <f t="shared" ca="1" si="60"/>
        <v>0</v>
      </c>
      <c r="BE27" s="320">
        <f t="shared" ca="1" si="61"/>
        <v>0</v>
      </c>
      <c r="BF27" s="320">
        <f t="shared" ca="1" si="62"/>
        <v>0</v>
      </c>
      <c r="BG27" s="320">
        <f t="shared" ca="1" si="63"/>
        <v>0</v>
      </c>
      <c r="BH27" s="321">
        <f t="shared" ca="1" si="64"/>
        <v>0</v>
      </c>
    </row>
    <row r="28" spans="1:60" x14ac:dyDescent="0.2">
      <c r="A28" s="327">
        <v>2011</v>
      </c>
      <c r="B28" s="797">
        <f t="shared" si="26"/>
        <v>70000</v>
      </c>
      <c r="C28" s="798">
        <f t="shared" si="26"/>
        <v>999999</v>
      </c>
      <c r="D28" s="798">
        <f t="shared" si="26"/>
        <v>999999</v>
      </c>
      <c r="E28" s="798">
        <f t="shared" si="26"/>
        <v>999999</v>
      </c>
      <c r="F28" s="798">
        <f t="shared" si="26"/>
        <v>999999</v>
      </c>
      <c r="G28" s="799">
        <f t="shared" si="26"/>
        <v>999999</v>
      </c>
      <c r="H28" s="740">
        <f t="shared" si="27"/>
        <v>1</v>
      </c>
      <c r="I28" s="741">
        <f t="shared" si="27"/>
        <v>0.92845847431249995</v>
      </c>
      <c r="J28" s="741">
        <f t="shared" si="27"/>
        <v>1</v>
      </c>
      <c r="K28" s="741">
        <f t="shared" si="27"/>
        <v>1</v>
      </c>
      <c r="L28" s="741">
        <f t="shared" si="27"/>
        <v>0.86992449875</v>
      </c>
      <c r="M28" s="742">
        <f t="shared" si="27"/>
        <v>1</v>
      </c>
      <c r="N28" s="600">
        <f t="shared" si="28"/>
        <v>10762.547038323744</v>
      </c>
      <c r="O28" s="601">
        <f t="shared" si="29"/>
        <v>10551.911766308431</v>
      </c>
      <c r="P28" s="601">
        <f t="shared" si="30"/>
        <v>10762.547038323744</v>
      </c>
      <c r="Q28" s="601">
        <f t="shared" si="31"/>
        <v>10762.547038323744</v>
      </c>
      <c r="R28" s="601">
        <f t="shared" si="32"/>
        <v>13602.67730034964</v>
      </c>
      <c r="S28" s="708">
        <f t="shared" si="33"/>
        <v>39509.836881034367</v>
      </c>
      <c r="T28" s="700">
        <f t="shared" si="65"/>
        <v>210.6352720153136</v>
      </c>
      <c r="U28" s="601">
        <f t="shared" si="66"/>
        <v>0</v>
      </c>
      <c r="V28" s="601">
        <f t="shared" si="67"/>
        <v>0</v>
      </c>
      <c r="W28" s="601">
        <f t="shared" si="68"/>
        <v>-2840.1302620258957</v>
      </c>
      <c r="X28" s="602">
        <f t="shared" si="69"/>
        <v>-28747.289842710623</v>
      </c>
      <c r="Y28" s="603">
        <f ca="1">IF(AND(Y$22=TRUE,INDEX(CDRANGE_CLS1,MATCH($A28,$A$24:$A$67,0),MATCH(Y$20,$B$20:$G$20,0))&lt;$D$6/OPDAYS_Cls1),86,payback(C28,T28,disc_rate/12,85))</f>
        <v>86</v>
      </c>
      <c r="Z28" s="604">
        <f ca="1">IF(AND(Z$22=TRUE,INDEX(CDRANGE_CLS1,MATCH($A28,$A$24:$A$67,0),MATCH(Z$20,$B$20:$G$20,0))&lt;$D$6/OPDAYS_Cls1),86,payback(D28,U28,disc_rate/12,85))</f>
        <v>86</v>
      </c>
      <c r="AA28" s="604">
        <f ca="1">IF(AND(AA$22=TRUE,INDEX(CDRANGE_CLS1,MATCH($A28,$A$24:$A$67,0),MATCH(AA$20,$B$20:$G$20,0))&lt;$D$6/OPDAYS_Cls1),86,payback(E28,V28,disc_rate/12,85))</f>
        <v>86</v>
      </c>
      <c r="AB28" s="604">
        <f>IF(AND(AB$22=TRUE,INDEX(CDRANGE_CLS1,MATCH($A28,$A$24:$A$67,0),MATCH(AB$20,$B$20:$G$20,0))&lt;$D$6/OPDAYS_Cls1),86,payback(F28,W28,disc_rate/12,85))</f>
        <v>86</v>
      </c>
      <c r="AC28" s="605">
        <f ca="1">IF(AND(AC$22=TRUE,INDEX(CDRANGE_CLS1,MATCH($A28,$A$24:$A$67,0),MATCH(AC$20,$B$20:$G$20,0))&lt;$D$6/OPDAYS_Cls1),86,payback(G28,X28,disc_rate/12,85))</f>
        <v>86</v>
      </c>
      <c r="AD28" s="606">
        <f t="shared" si="35"/>
        <v>0</v>
      </c>
      <c r="AE28" s="607">
        <f t="shared" si="36"/>
        <v>0</v>
      </c>
      <c r="AF28" s="607">
        <f t="shared" si="37"/>
        <v>0</v>
      </c>
      <c r="AG28" s="607">
        <f t="shared" si="38"/>
        <v>0</v>
      </c>
      <c r="AH28" s="608">
        <f t="shared" si="39"/>
        <v>0</v>
      </c>
      <c r="AI28" s="1089">
        <f t="shared" si="40"/>
        <v>0</v>
      </c>
      <c r="AJ28" s="1090">
        <f t="shared" si="41"/>
        <v>0</v>
      </c>
      <c r="AK28" s="1090">
        <f t="shared" si="42"/>
        <v>0</v>
      </c>
      <c r="AL28" s="1090">
        <f t="shared" si="43"/>
        <v>0</v>
      </c>
      <c r="AM28" s="1091">
        <f t="shared" si="44"/>
        <v>0</v>
      </c>
      <c r="AN28" s="611">
        <f t="shared" si="45"/>
        <v>0</v>
      </c>
      <c r="AO28" s="609">
        <f t="shared" si="46"/>
        <v>0</v>
      </c>
      <c r="AP28" s="609">
        <f t="shared" si="47"/>
        <v>0</v>
      </c>
      <c r="AQ28" s="609">
        <f t="shared" si="48"/>
        <v>0</v>
      </c>
      <c r="AR28" s="610">
        <f t="shared" si="49"/>
        <v>0</v>
      </c>
      <c r="AS28" s="606">
        <f t="shared" ca="1" si="50"/>
        <v>0</v>
      </c>
      <c r="AT28" s="607">
        <f t="shared" ca="1" si="51"/>
        <v>0</v>
      </c>
      <c r="AU28" s="607">
        <f t="shared" ca="1" si="52"/>
        <v>0</v>
      </c>
      <c r="AV28" s="607">
        <f t="shared" si="53"/>
        <v>0</v>
      </c>
      <c r="AW28" s="608">
        <f t="shared" ca="1" si="54"/>
        <v>0</v>
      </c>
      <c r="AX28" s="606">
        <f t="shared" ca="1" si="55"/>
        <v>0</v>
      </c>
      <c r="AY28" s="607">
        <f t="shared" ca="1" si="56"/>
        <v>0</v>
      </c>
      <c r="AZ28" s="607">
        <f t="shared" ca="1" si="57"/>
        <v>0</v>
      </c>
      <c r="BA28" s="607">
        <f t="shared" si="70"/>
        <v>0</v>
      </c>
      <c r="BB28" s="608">
        <f t="shared" ca="1" si="71"/>
        <v>0</v>
      </c>
      <c r="BC28" s="606">
        <f t="shared" ca="1" si="72"/>
        <v>1</v>
      </c>
      <c r="BD28" s="607">
        <f t="shared" ca="1" si="60"/>
        <v>0</v>
      </c>
      <c r="BE28" s="607">
        <f t="shared" ca="1" si="61"/>
        <v>0</v>
      </c>
      <c r="BF28" s="607">
        <f t="shared" ca="1" si="62"/>
        <v>0</v>
      </c>
      <c r="BG28" s="607">
        <f t="shared" ca="1" si="63"/>
        <v>0</v>
      </c>
      <c r="BH28" s="608">
        <f t="shared" ca="1" si="64"/>
        <v>0</v>
      </c>
    </row>
    <row r="29" spans="1:60" x14ac:dyDescent="0.2">
      <c r="A29" s="326">
        <v>2012</v>
      </c>
      <c r="B29" s="800">
        <f t="shared" si="26"/>
        <v>70000</v>
      </c>
      <c r="C29" s="801">
        <f t="shared" si="26"/>
        <v>999999</v>
      </c>
      <c r="D29" s="801">
        <f t="shared" si="26"/>
        <v>999999</v>
      </c>
      <c r="E29" s="801">
        <f t="shared" si="26"/>
        <v>999999</v>
      </c>
      <c r="F29" s="801">
        <f t="shared" si="26"/>
        <v>999999</v>
      </c>
      <c r="G29" s="802">
        <f t="shared" si="26"/>
        <v>999999</v>
      </c>
      <c r="H29" s="743">
        <f t="shared" si="27"/>
        <v>1</v>
      </c>
      <c r="I29" s="744">
        <f t="shared" si="27"/>
        <v>0.92774305905562504</v>
      </c>
      <c r="J29" s="744">
        <f t="shared" si="27"/>
        <v>1</v>
      </c>
      <c r="K29" s="744">
        <f t="shared" si="27"/>
        <v>1</v>
      </c>
      <c r="L29" s="744">
        <f t="shared" si="27"/>
        <v>0.86862374373749995</v>
      </c>
      <c r="M29" s="745">
        <f t="shared" si="27"/>
        <v>1</v>
      </c>
      <c r="N29" s="284">
        <f t="shared" si="28"/>
        <v>11270.788494439466</v>
      </c>
      <c r="O29" s="285">
        <f t="shared" si="29"/>
        <v>10935.837771319058</v>
      </c>
      <c r="P29" s="285">
        <f t="shared" si="30"/>
        <v>11270.788494439466</v>
      </c>
      <c r="Q29" s="285">
        <f t="shared" si="31"/>
        <v>11270.788494439466</v>
      </c>
      <c r="R29" s="285">
        <f t="shared" si="32"/>
        <v>11527.049948064574</v>
      </c>
      <c r="S29" s="287">
        <f t="shared" si="33"/>
        <v>39228.867084664664</v>
      </c>
      <c r="T29" s="698">
        <f t="shared" si="65"/>
        <v>334.95072312040793</v>
      </c>
      <c r="U29" s="299">
        <f t="shared" si="66"/>
        <v>0</v>
      </c>
      <c r="V29" s="299">
        <f t="shared" si="67"/>
        <v>0</v>
      </c>
      <c r="W29" s="299">
        <f t="shared" si="68"/>
        <v>-256.26145362510761</v>
      </c>
      <c r="X29" s="300">
        <f t="shared" si="69"/>
        <v>-27958.078590225196</v>
      </c>
      <c r="Y29" s="302">
        <f ca="1">IF(AND(Y$22=TRUE,INDEX(CDRANGE_CLS1,MATCH($A29,$A$24:$A$67,0),MATCH(Y$20,$B$20:$G$20,0))&lt;$D$6/OPDAYS_Cls1),86,payback(C29,T29,disc_rate/12,85))</f>
        <v>86</v>
      </c>
      <c r="Z29" s="303">
        <f ca="1">IF(AND(Z$22=TRUE,INDEX(CDRANGE_CLS1,MATCH($A29,$A$24:$A$67,0),MATCH(Z$20,$B$20:$G$20,0))&lt;$D$6/OPDAYS_Cls1),86,payback(D29,U29,disc_rate/12,85))</f>
        <v>86</v>
      </c>
      <c r="AA29" s="303">
        <f ca="1">IF(AND(AA$22=TRUE,INDEX(CDRANGE_CLS1,MATCH($A29,$A$24:$A$67,0),MATCH(AA$20,$B$20:$G$20,0))&lt;$D$6/OPDAYS_Cls1),86,payback(E29,V29,disc_rate/12,85))</f>
        <v>86</v>
      </c>
      <c r="AB29" s="303">
        <f>IF(AND(AB$22=TRUE,INDEX(CDRANGE_CLS1,MATCH($A29,$A$24:$A$67,0),MATCH(AB$20,$B$20:$G$20,0))&lt;$D$6/OPDAYS_Cls1),86,payback(F29,W29,disc_rate/12,85))</f>
        <v>86</v>
      </c>
      <c r="AC29" s="567">
        <f ca="1">IF(AND(AC$22=TRUE,INDEX(CDRANGE_CLS1,MATCH($A29,$A$24:$A$67,0),MATCH(AC$20,$B$20:$G$20,0))&lt;$D$6/OPDAYS_Cls1),86,payback(G29,X29,disc_rate/12,85))</f>
        <v>86</v>
      </c>
      <c r="AD29" s="305">
        <f t="shared" si="35"/>
        <v>0</v>
      </c>
      <c r="AE29" s="306">
        <f t="shared" si="36"/>
        <v>0</v>
      </c>
      <c r="AF29" s="306">
        <f t="shared" si="37"/>
        <v>0</v>
      </c>
      <c r="AG29" s="306">
        <f t="shared" si="38"/>
        <v>0</v>
      </c>
      <c r="AH29" s="307">
        <f t="shared" si="39"/>
        <v>0</v>
      </c>
      <c r="AI29" s="1083">
        <f t="shared" si="40"/>
        <v>0</v>
      </c>
      <c r="AJ29" s="1084">
        <f t="shared" si="41"/>
        <v>0</v>
      </c>
      <c r="AK29" s="1084">
        <f t="shared" si="42"/>
        <v>0</v>
      </c>
      <c r="AL29" s="1084">
        <f t="shared" si="43"/>
        <v>0</v>
      </c>
      <c r="AM29" s="1092">
        <f t="shared" si="44"/>
        <v>0</v>
      </c>
      <c r="AN29" s="308">
        <f t="shared" si="45"/>
        <v>0</v>
      </c>
      <c r="AO29" s="309">
        <f t="shared" si="46"/>
        <v>0</v>
      </c>
      <c r="AP29" s="309">
        <f t="shared" si="47"/>
        <v>0</v>
      </c>
      <c r="AQ29" s="309">
        <f t="shared" si="48"/>
        <v>0</v>
      </c>
      <c r="AR29" s="570">
        <f t="shared" si="49"/>
        <v>0</v>
      </c>
      <c r="AS29" s="305">
        <f t="shared" ca="1" si="50"/>
        <v>0</v>
      </c>
      <c r="AT29" s="306">
        <f t="shared" ca="1" si="51"/>
        <v>0</v>
      </c>
      <c r="AU29" s="306">
        <f t="shared" ca="1" si="52"/>
        <v>0</v>
      </c>
      <c r="AV29" s="306">
        <f t="shared" si="53"/>
        <v>0</v>
      </c>
      <c r="AW29" s="307">
        <f t="shared" ca="1" si="54"/>
        <v>0</v>
      </c>
      <c r="AX29" s="305">
        <f t="shared" ca="1" si="55"/>
        <v>0</v>
      </c>
      <c r="AY29" s="306">
        <f t="shared" ca="1" si="56"/>
        <v>0</v>
      </c>
      <c r="AZ29" s="306">
        <f t="shared" ca="1" si="57"/>
        <v>0</v>
      </c>
      <c r="BA29" s="306">
        <f t="shared" si="70"/>
        <v>0</v>
      </c>
      <c r="BB29" s="307">
        <f t="shared" ca="1" si="71"/>
        <v>0</v>
      </c>
      <c r="BC29" s="305">
        <f t="shared" ca="1" si="72"/>
        <v>1</v>
      </c>
      <c r="BD29" s="306">
        <f t="shared" ca="1" si="60"/>
        <v>0</v>
      </c>
      <c r="BE29" s="306">
        <f t="shared" ca="1" si="61"/>
        <v>0</v>
      </c>
      <c r="BF29" s="306">
        <f t="shared" ca="1" si="62"/>
        <v>0</v>
      </c>
      <c r="BG29" s="306">
        <f t="shared" ca="1" si="63"/>
        <v>0</v>
      </c>
      <c r="BH29" s="307">
        <f t="shared" ca="1" si="64"/>
        <v>0</v>
      </c>
    </row>
    <row r="30" spans="1:60" x14ac:dyDescent="0.2">
      <c r="A30" s="326">
        <v>2013</v>
      </c>
      <c r="B30" s="800">
        <f t="shared" si="26"/>
        <v>70000</v>
      </c>
      <c r="C30" s="801">
        <f t="shared" si="26"/>
        <v>999999</v>
      </c>
      <c r="D30" s="801">
        <f t="shared" si="26"/>
        <v>999999</v>
      </c>
      <c r="E30" s="801">
        <f t="shared" si="26"/>
        <v>999999</v>
      </c>
      <c r="F30" s="801">
        <f t="shared" si="26"/>
        <v>999999</v>
      </c>
      <c r="G30" s="802">
        <f t="shared" si="26"/>
        <v>999999</v>
      </c>
      <c r="H30" s="743">
        <f t="shared" si="27"/>
        <v>1</v>
      </c>
      <c r="I30" s="744">
        <f t="shared" si="27"/>
        <v>0.92702048964618122</v>
      </c>
      <c r="J30" s="744">
        <f t="shared" si="27"/>
        <v>1</v>
      </c>
      <c r="K30" s="744">
        <f t="shared" si="27"/>
        <v>1</v>
      </c>
      <c r="L30" s="744">
        <f t="shared" si="27"/>
        <v>0.86730998117487501</v>
      </c>
      <c r="M30" s="745">
        <f t="shared" si="27"/>
        <v>1</v>
      </c>
      <c r="N30" s="284">
        <f t="shared" si="28"/>
        <v>11329.027840171402</v>
      </c>
      <c r="O30" s="285">
        <f t="shared" si="29"/>
        <v>10999.701690833901</v>
      </c>
      <c r="P30" s="285">
        <f t="shared" si="30"/>
        <v>11329.027840171402</v>
      </c>
      <c r="Q30" s="285">
        <f t="shared" si="31"/>
        <v>11329.027840171402</v>
      </c>
      <c r="R30" s="285">
        <f t="shared" si="32"/>
        <v>11823.940066353478</v>
      </c>
      <c r="S30" s="287">
        <f t="shared" si="33"/>
        <v>39315.976786534477</v>
      </c>
      <c r="T30" s="698">
        <f t="shared" si="65"/>
        <v>329.32614933750119</v>
      </c>
      <c r="U30" s="299">
        <f t="shared" si="66"/>
        <v>0</v>
      </c>
      <c r="V30" s="299">
        <f t="shared" si="67"/>
        <v>0</v>
      </c>
      <c r="W30" s="299">
        <f t="shared" si="68"/>
        <v>-494.91222618207576</v>
      </c>
      <c r="X30" s="300">
        <f t="shared" si="69"/>
        <v>-27986.948946363074</v>
      </c>
      <c r="Y30" s="302">
        <f ca="1">IF(AND(Y$22=TRUE,INDEX(CDRANGE_CLS1,MATCH($A30,$A$24:$A$67,0),MATCH(Y$20,$B$20:$G$20,0))&lt;$D$6/OPDAYS_Cls1),86,payback(C30,T30,disc_rate/12,85))</f>
        <v>86</v>
      </c>
      <c r="Z30" s="303">
        <f ca="1">IF(AND(Z$22=TRUE,INDEX(CDRANGE_CLS1,MATCH($A30,$A$24:$A$67,0),MATCH(Z$20,$B$20:$G$20,0))&lt;$D$6/OPDAYS_Cls1),86,payback(D30,U30,disc_rate/12,85))</f>
        <v>86</v>
      </c>
      <c r="AA30" s="303">
        <f ca="1">IF(AND(AA$22=TRUE,INDEX(CDRANGE_CLS1,MATCH($A30,$A$24:$A$67,0),MATCH(AA$20,$B$20:$G$20,0))&lt;$D$6/OPDAYS_Cls1),86,payback(E30,V30,disc_rate/12,85))</f>
        <v>86</v>
      </c>
      <c r="AB30" s="303">
        <f>IF(AND(AB$22=TRUE,INDEX(CDRANGE_CLS1,MATCH($A30,$A$24:$A$67,0),MATCH(AB$20,$B$20:$G$20,0))&lt;$D$6/OPDAYS_Cls1),86,payback(F30,W30,disc_rate/12,85))</f>
        <v>86</v>
      </c>
      <c r="AC30" s="567">
        <f ca="1">IF(AND(AC$22=TRUE,INDEX(CDRANGE_CLS1,MATCH($A30,$A$24:$A$67,0),MATCH(AC$20,$B$20:$G$20,0))&lt;$D$6/OPDAYS_Cls1),86,payback(G30,X30,disc_rate/12,85))</f>
        <v>86</v>
      </c>
      <c r="AD30" s="305">
        <f t="shared" si="35"/>
        <v>0</v>
      </c>
      <c r="AE30" s="306">
        <f t="shared" si="36"/>
        <v>0</v>
      </c>
      <c r="AF30" s="306">
        <f t="shared" si="37"/>
        <v>0</v>
      </c>
      <c r="AG30" s="306">
        <f t="shared" si="38"/>
        <v>0</v>
      </c>
      <c r="AH30" s="307">
        <f t="shared" si="39"/>
        <v>0</v>
      </c>
      <c r="AI30" s="1083">
        <f t="shared" si="40"/>
        <v>0</v>
      </c>
      <c r="AJ30" s="1084">
        <f t="shared" si="41"/>
        <v>0</v>
      </c>
      <c r="AK30" s="1084">
        <f t="shared" si="42"/>
        <v>0</v>
      </c>
      <c r="AL30" s="1084">
        <f t="shared" si="43"/>
        <v>0</v>
      </c>
      <c r="AM30" s="1092">
        <f t="shared" si="44"/>
        <v>0</v>
      </c>
      <c r="AN30" s="308">
        <f t="shared" si="45"/>
        <v>0</v>
      </c>
      <c r="AO30" s="309">
        <f t="shared" si="46"/>
        <v>0</v>
      </c>
      <c r="AP30" s="309">
        <f t="shared" si="47"/>
        <v>0</v>
      </c>
      <c r="AQ30" s="309">
        <f t="shared" si="48"/>
        <v>0</v>
      </c>
      <c r="AR30" s="570">
        <f t="shared" si="49"/>
        <v>0</v>
      </c>
      <c r="AS30" s="305">
        <f t="shared" ca="1" si="50"/>
        <v>0</v>
      </c>
      <c r="AT30" s="306">
        <f t="shared" ca="1" si="51"/>
        <v>0</v>
      </c>
      <c r="AU30" s="306">
        <f t="shared" ca="1" si="52"/>
        <v>0</v>
      </c>
      <c r="AV30" s="306">
        <f t="shared" si="53"/>
        <v>0</v>
      </c>
      <c r="AW30" s="307">
        <f t="shared" ca="1" si="54"/>
        <v>0</v>
      </c>
      <c r="AX30" s="305">
        <f t="shared" ca="1" si="55"/>
        <v>0</v>
      </c>
      <c r="AY30" s="306">
        <f t="shared" ca="1" si="56"/>
        <v>0</v>
      </c>
      <c r="AZ30" s="306">
        <f t="shared" ca="1" si="57"/>
        <v>0</v>
      </c>
      <c r="BA30" s="306">
        <f t="shared" si="70"/>
        <v>0</v>
      </c>
      <c r="BB30" s="307">
        <f t="shared" ca="1" si="71"/>
        <v>0</v>
      </c>
      <c r="BC30" s="305">
        <f t="shared" ca="1" si="72"/>
        <v>1</v>
      </c>
      <c r="BD30" s="306">
        <f t="shared" ca="1" si="60"/>
        <v>0</v>
      </c>
      <c r="BE30" s="306">
        <f t="shared" ca="1" si="61"/>
        <v>0</v>
      </c>
      <c r="BF30" s="306">
        <f t="shared" ca="1" si="62"/>
        <v>0</v>
      </c>
      <c r="BG30" s="306">
        <f t="shared" ca="1" si="63"/>
        <v>0</v>
      </c>
      <c r="BH30" s="307">
        <f t="shared" ca="1" si="64"/>
        <v>0</v>
      </c>
    </row>
    <row r="31" spans="1:60" x14ac:dyDescent="0.2">
      <c r="A31" s="326">
        <v>2014</v>
      </c>
      <c r="B31" s="800">
        <f t="shared" si="26"/>
        <v>70000</v>
      </c>
      <c r="C31" s="801">
        <f t="shared" si="26"/>
        <v>999999</v>
      </c>
      <c r="D31" s="801">
        <f t="shared" si="26"/>
        <v>999999</v>
      </c>
      <c r="E31" s="801">
        <f t="shared" si="26"/>
        <v>999999</v>
      </c>
      <c r="F31" s="801">
        <f t="shared" si="26"/>
        <v>999999</v>
      </c>
      <c r="G31" s="802">
        <f t="shared" si="26"/>
        <v>999999</v>
      </c>
      <c r="H31" s="743">
        <f t="shared" si="27"/>
        <v>1</v>
      </c>
      <c r="I31" s="744">
        <f t="shared" si="27"/>
        <v>0.92629069454264301</v>
      </c>
      <c r="J31" s="744">
        <f t="shared" si="27"/>
        <v>1</v>
      </c>
      <c r="K31" s="744">
        <f t="shared" si="27"/>
        <v>1</v>
      </c>
      <c r="L31" s="744">
        <f t="shared" si="27"/>
        <v>0.8659830809866238</v>
      </c>
      <c r="M31" s="745">
        <f t="shared" si="27"/>
        <v>1</v>
      </c>
      <c r="N31" s="284">
        <f t="shared" si="28"/>
        <v>11184.52471115353</v>
      </c>
      <c r="O31" s="285">
        <f t="shared" si="29"/>
        <v>10879.60817133763</v>
      </c>
      <c r="P31" s="285">
        <f t="shared" si="30"/>
        <v>11184.52471115353</v>
      </c>
      <c r="Q31" s="285">
        <f t="shared" si="31"/>
        <v>11184.52471115353</v>
      </c>
      <c r="R31" s="285">
        <f t="shared" si="32"/>
        <v>12206.517409816823</v>
      </c>
      <c r="S31" s="287">
        <f t="shared" si="33"/>
        <v>39166.049434740635</v>
      </c>
      <c r="T31" s="698">
        <f t="shared" si="65"/>
        <v>304.91653981590025</v>
      </c>
      <c r="U31" s="299">
        <f t="shared" si="66"/>
        <v>0</v>
      </c>
      <c r="V31" s="299">
        <f t="shared" si="67"/>
        <v>0</v>
      </c>
      <c r="W31" s="299">
        <f t="shared" si="68"/>
        <v>-1021.9926986632927</v>
      </c>
      <c r="X31" s="300">
        <f t="shared" si="69"/>
        <v>-27981.524723587107</v>
      </c>
      <c r="Y31" s="302">
        <f ca="1">IF(AND(Y$22=TRUE,INDEX(CDRANGE_CLS1,MATCH($A31,$A$24:$A$67,0),MATCH(Y$20,$B$20:$G$20,0))&lt;$D$6/OPDAYS_Cls1),86,payback(C31,T31,disc_rate/12,85))</f>
        <v>86</v>
      </c>
      <c r="Z31" s="303">
        <f ca="1">IF(AND(Z$22=TRUE,INDEX(CDRANGE_CLS1,MATCH($A31,$A$24:$A$67,0),MATCH(Z$20,$B$20:$G$20,0))&lt;$D$6/OPDAYS_Cls1),86,payback(D31,U31,disc_rate/12,85))</f>
        <v>86</v>
      </c>
      <c r="AA31" s="303">
        <f ca="1">IF(AND(AA$22=TRUE,INDEX(CDRANGE_CLS1,MATCH($A31,$A$24:$A$67,0),MATCH(AA$20,$B$20:$G$20,0))&lt;$D$6/OPDAYS_Cls1),86,payback(E31,V31,disc_rate/12,85))</f>
        <v>86</v>
      </c>
      <c r="AB31" s="303">
        <f>IF(AND(AB$22=TRUE,INDEX(CDRANGE_CLS1,MATCH($A31,$A$24:$A$67,0),MATCH(AB$20,$B$20:$G$20,0))&lt;$D$6/OPDAYS_Cls1),86,payback(F31,W31,disc_rate/12,85))</f>
        <v>86</v>
      </c>
      <c r="AC31" s="567">
        <f ca="1">IF(AND(AC$22=TRUE,INDEX(CDRANGE_CLS1,MATCH($A31,$A$24:$A$67,0),MATCH(AC$20,$B$20:$G$20,0))&lt;$D$6/OPDAYS_Cls1),86,payback(G31,X31,disc_rate/12,85))</f>
        <v>86</v>
      </c>
      <c r="AD31" s="305">
        <f t="shared" si="35"/>
        <v>0</v>
      </c>
      <c r="AE31" s="306">
        <f t="shared" si="36"/>
        <v>0</v>
      </c>
      <c r="AF31" s="306">
        <f t="shared" si="37"/>
        <v>0</v>
      </c>
      <c r="AG31" s="306">
        <f t="shared" si="38"/>
        <v>0</v>
      </c>
      <c r="AH31" s="307">
        <f t="shared" si="39"/>
        <v>0</v>
      </c>
      <c r="AI31" s="1083">
        <f t="shared" si="40"/>
        <v>0</v>
      </c>
      <c r="AJ31" s="1084">
        <f t="shared" si="41"/>
        <v>0</v>
      </c>
      <c r="AK31" s="1084">
        <f t="shared" si="42"/>
        <v>0</v>
      </c>
      <c r="AL31" s="1084">
        <f t="shared" si="43"/>
        <v>0</v>
      </c>
      <c r="AM31" s="1092">
        <f t="shared" si="44"/>
        <v>0</v>
      </c>
      <c r="AN31" s="308">
        <f t="shared" si="45"/>
        <v>0</v>
      </c>
      <c r="AO31" s="309">
        <f t="shared" si="46"/>
        <v>0</v>
      </c>
      <c r="AP31" s="309">
        <f t="shared" si="47"/>
        <v>0</v>
      </c>
      <c r="AQ31" s="309">
        <f t="shared" si="48"/>
        <v>0</v>
      </c>
      <c r="AR31" s="570">
        <f t="shared" si="49"/>
        <v>0</v>
      </c>
      <c r="AS31" s="305">
        <f t="shared" ca="1" si="50"/>
        <v>0</v>
      </c>
      <c r="AT31" s="306">
        <f t="shared" ca="1" si="51"/>
        <v>0</v>
      </c>
      <c r="AU31" s="306">
        <f t="shared" ca="1" si="52"/>
        <v>0</v>
      </c>
      <c r="AV31" s="306">
        <f t="shared" si="53"/>
        <v>0</v>
      </c>
      <c r="AW31" s="307">
        <f t="shared" ca="1" si="54"/>
        <v>0</v>
      </c>
      <c r="AX31" s="305">
        <f t="shared" ca="1" si="55"/>
        <v>0</v>
      </c>
      <c r="AY31" s="306">
        <f t="shared" ca="1" si="56"/>
        <v>0</v>
      </c>
      <c r="AZ31" s="306">
        <f t="shared" ca="1" si="57"/>
        <v>0</v>
      </c>
      <c r="BA31" s="306">
        <f t="shared" si="70"/>
        <v>0</v>
      </c>
      <c r="BB31" s="307">
        <f t="shared" ca="1" si="71"/>
        <v>0</v>
      </c>
      <c r="BC31" s="305">
        <f t="shared" ca="1" si="72"/>
        <v>1</v>
      </c>
      <c r="BD31" s="306">
        <f t="shared" ca="1" si="60"/>
        <v>0</v>
      </c>
      <c r="BE31" s="306">
        <f t="shared" ca="1" si="61"/>
        <v>0</v>
      </c>
      <c r="BF31" s="306">
        <f t="shared" ca="1" si="62"/>
        <v>0</v>
      </c>
      <c r="BG31" s="306">
        <f t="shared" ca="1" si="63"/>
        <v>0</v>
      </c>
      <c r="BH31" s="307">
        <f t="shared" ca="1" si="64"/>
        <v>0</v>
      </c>
    </row>
    <row r="32" spans="1:60" ht="13.5" thickBot="1" x14ac:dyDescent="0.25">
      <c r="A32" s="311">
        <v>2015</v>
      </c>
      <c r="B32" s="803">
        <f t="shared" si="26"/>
        <v>70000</v>
      </c>
      <c r="C32" s="804">
        <f t="shared" si="26"/>
        <v>999999</v>
      </c>
      <c r="D32" s="804">
        <f t="shared" si="26"/>
        <v>999999</v>
      </c>
      <c r="E32" s="804">
        <f t="shared" si="26"/>
        <v>999999</v>
      </c>
      <c r="F32" s="804">
        <f t="shared" si="26"/>
        <v>999999</v>
      </c>
      <c r="G32" s="805">
        <f t="shared" si="26"/>
        <v>999999</v>
      </c>
      <c r="H32" s="746">
        <f t="shared" si="27"/>
        <v>1</v>
      </c>
      <c r="I32" s="747">
        <f t="shared" si="27"/>
        <v>0.92555360148806942</v>
      </c>
      <c r="J32" s="747">
        <f t="shared" si="27"/>
        <v>1</v>
      </c>
      <c r="K32" s="747">
        <f t="shared" si="27"/>
        <v>1</v>
      </c>
      <c r="L32" s="747">
        <f t="shared" si="27"/>
        <v>0.86464291179649</v>
      </c>
      <c r="M32" s="748">
        <f t="shared" si="27"/>
        <v>1</v>
      </c>
      <c r="N32" s="761">
        <f t="shared" si="28"/>
        <v>7356.3546838963775</v>
      </c>
      <c r="O32" s="762">
        <f t="shared" si="29"/>
        <v>7254.8930555533616</v>
      </c>
      <c r="P32" s="762">
        <f t="shared" si="30"/>
        <v>7356.3546838963775</v>
      </c>
      <c r="Q32" s="762">
        <f t="shared" si="31"/>
        <v>7356.3546838963775</v>
      </c>
      <c r="R32" s="762">
        <f t="shared" si="32"/>
        <v>10364.428000325359</v>
      </c>
      <c r="S32" s="763">
        <f t="shared" si="33"/>
        <v>36352.055968881446</v>
      </c>
      <c r="T32" s="701">
        <f t="shared" si="65"/>
        <v>101.46162834301595</v>
      </c>
      <c r="U32" s="313">
        <f t="shared" si="66"/>
        <v>0</v>
      </c>
      <c r="V32" s="313">
        <f t="shared" si="67"/>
        <v>0</v>
      </c>
      <c r="W32" s="313">
        <f t="shared" si="68"/>
        <v>-3008.0733164289813</v>
      </c>
      <c r="X32" s="314">
        <f t="shared" si="69"/>
        <v>-28995.701284985069</v>
      </c>
      <c r="Y32" s="316">
        <f ca="1">IF(AND(Y$22=TRUE,INDEX(CDRANGE_CLS1,MATCH($A32,$A$24:$A$67,0),MATCH(Y$20,$B$20:$G$20,0))&lt;$D$6/OPDAYS_Cls1),86,payback(C32,T32,disc_rate/12,85))</f>
        <v>86</v>
      </c>
      <c r="Z32" s="317">
        <f ca="1">IF(AND(Z$22=TRUE,INDEX(CDRANGE_CLS1,MATCH($A32,$A$24:$A$67,0),MATCH(Z$20,$B$20:$G$20,0))&lt;$D$6/OPDAYS_Cls1),86,payback(D32,U32,disc_rate/12,85))</f>
        <v>86</v>
      </c>
      <c r="AA32" s="317">
        <f ca="1">IF(AND(AA$22=TRUE,INDEX(CDRANGE_CLS1,MATCH($A32,$A$24:$A$67,0),MATCH(AA$20,$B$20:$G$20,0))&lt;$D$6/OPDAYS_Cls1),86,payback(E32,V32,disc_rate/12,85))</f>
        <v>86</v>
      </c>
      <c r="AB32" s="317">
        <f>IF(AND(AB$22=TRUE,INDEX(CDRANGE_CLS1,MATCH($A32,$A$24:$A$67,0),MATCH(AB$20,$B$20:$G$20,0))&lt;$D$6/OPDAYS_Cls1),86,payback(F32,W32,disc_rate/12,85))</f>
        <v>86</v>
      </c>
      <c r="AC32" s="568">
        <f ca="1">IF(AND(AC$22=TRUE,INDEX(CDRANGE_CLS1,MATCH($A32,$A$24:$A$67,0),MATCH(AC$20,$B$20:$G$20,0))&lt;$D$6/OPDAYS_Cls1),86,payback(G32,X32,disc_rate/12,85))</f>
        <v>86</v>
      </c>
      <c r="AD32" s="319">
        <f t="shared" si="35"/>
        <v>0</v>
      </c>
      <c r="AE32" s="320">
        <f t="shared" si="36"/>
        <v>0</v>
      </c>
      <c r="AF32" s="320">
        <f t="shared" si="37"/>
        <v>0</v>
      </c>
      <c r="AG32" s="320">
        <f t="shared" si="38"/>
        <v>0</v>
      </c>
      <c r="AH32" s="321">
        <f t="shared" si="39"/>
        <v>0</v>
      </c>
      <c r="AI32" s="1086">
        <f t="shared" si="40"/>
        <v>0</v>
      </c>
      <c r="AJ32" s="1087">
        <f t="shared" si="41"/>
        <v>0</v>
      </c>
      <c r="AK32" s="1087">
        <f t="shared" si="42"/>
        <v>0</v>
      </c>
      <c r="AL32" s="1087">
        <f t="shared" si="43"/>
        <v>0</v>
      </c>
      <c r="AM32" s="1093">
        <f t="shared" si="44"/>
        <v>0</v>
      </c>
      <c r="AN32" s="322">
        <f t="shared" si="45"/>
        <v>0</v>
      </c>
      <c r="AO32" s="323">
        <f t="shared" si="46"/>
        <v>0</v>
      </c>
      <c r="AP32" s="323">
        <f t="shared" si="47"/>
        <v>0</v>
      </c>
      <c r="AQ32" s="323">
        <f t="shared" si="48"/>
        <v>0</v>
      </c>
      <c r="AR32" s="571">
        <f t="shared" si="49"/>
        <v>0</v>
      </c>
      <c r="AS32" s="319">
        <f t="shared" ca="1" si="50"/>
        <v>0</v>
      </c>
      <c r="AT32" s="320">
        <f t="shared" ca="1" si="51"/>
        <v>0</v>
      </c>
      <c r="AU32" s="320">
        <f t="shared" ca="1" si="52"/>
        <v>0</v>
      </c>
      <c r="AV32" s="320">
        <f t="shared" si="53"/>
        <v>0</v>
      </c>
      <c r="AW32" s="321">
        <f t="shared" ca="1" si="54"/>
        <v>0</v>
      </c>
      <c r="AX32" s="319">
        <f t="shared" ca="1" si="55"/>
        <v>0</v>
      </c>
      <c r="AY32" s="320">
        <f t="shared" ca="1" si="56"/>
        <v>0</v>
      </c>
      <c r="AZ32" s="320">
        <f t="shared" ca="1" si="57"/>
        <v>0</v>
      </c>
      <c r="BA32" s="320">
        <f t="shared" si="70"/>
        <v>0</v>
      </c>
      <c r="BB32" s="321">
        <f t="shared" ca="1" si="71"/>
        <v>0</v>
      </c>
      <c r="BC32" s="319">
        <f t="shared" ca="1" si="72"/>
        <v>1</v>
      </c>
      <c r="BD32" s="320">
        <f t="shared" ca="1" si="60"/>
        <v>0</v>
      </c>
      <c r="BE32" s="320">
        <f t="shared" ca="1" si="61"/>
        <v>0</v>
      </c>
      <c r="BF32" s="320">
        <f t="shared" ca="1" si="62"/>
        <v>0</v>
      </c>
      <c r="BG32" s="320">
        <f t="shared" ca="1" si="63"/>
        <v>0</v>
      </c>
      <c r="BH32" s="321">
        <f t="shared" ca="1" si="64"/>
        <v>0</v>
      </c>
    </row>
    <row r="33" spans="1:62" x14ac:dyDescent="0.2">
      <c r="A33" s="325">
        <v>2016</v>
      </c>
      <c r="B33" s="806">
        <f t="shared" si="26"/>
        <v>70000</v>
      </c>
      <c r="C33" s="807">
        <f t="shared" si="26"/>
        <v>999999</v>
      </c>
      <c r="D33" s="807">
        <f t="shared" si="26"/>
        <v>999999</v>
      </c>
      <c r="E33" s="807">
        <f t="shared" si="26"/>
        <v>999999</v>
      </c>
      <c r="F33" s="807">
        <f t="shared" si="26"/>
        <v>999999</v>
      </c>
      <c r="G33" s="808">
        <f t="shared" si="26"/>
        <v>999999</v>
      </c>
      <c r="H33" s="749">
        <f t="shared" si="27"/>
        <v>1</v>
      </c>
      <c r="I33" s="750">
        <f t="shared" si="27"/>
        <v>0.92480913750295013</v>
      </c>
      <c r="J33" s="750">
        <f t="shared" si="27"/>
        <v>1</v>
      </c>
      <c r="K33" s="750">
        <f t="shared" si="27"/>
        <v>1</v>
      </c>
      <c r="L33" s="750">
        <f t="shared" si="27"/>
        <v>0.86328934091445486</v>
      </c>
      <c r="M33" s="751">
        <f t="shared" si="27"/>
        <v>1</v>
      </c>
      <c r="N33" s="284">
        <f t="shared" si="28"/>
        <v>6216.4751630955634</v>
      </c>
      <c r="O33" s="285">
        <f t="shared" si="29"/>
        <v>6181.9269511808961</v>
      </c>
      <c r="P33" s="285">
        <f t="shared" si="30"/>
        <v>6216.4751630955634</v>
      </c>
      <c r="Q33" s="285">
        <f t="shared" si="31"/>
        <v>6216.4751630955634</v>
      </c>
      <c r="R33" s="285">
        <f t="shared" si="32"/>
        <v>9939.9162703043621</v>
      </c>
      <c r="S33" s="287">
        <f t="shared" si="33"/>
        <v>34158.052803998762</v>
      </c>
      <c r="T33" s="697">
        <f t="shared" si="65"/>
        <v>34.548211914667263</v>
      </c>
      <c r="U33" s="285">
        <f t="shared" si="66"/>
        <v>0</v>
      </c>
      <c r="V33" s="285">
        <f t="shared" si="67"/>
        <v>0</v>
      </c>
      <c r="W33" s="285">
        <f t="shared" si="68"/>
        <v>-3723.4411072087987</v>
      </c>
      <c r="X33" s="286">
        <f t="shared" si="69"/>
        <v>-27941.577640903197</v>
      </c>
      <c r="Y33" s="288">
        <f ca="1">IF(AND(Y$22=TRUE,INDEX(CDRANGE_CLS1,MATCH($A33,$A$24:$A$67,0),MATCH(Y$20,$B$20:$G$20,0))&lt;$D$6/OPDAYS_Cls1),86,payback(C33,T33,disc_rate/12,85))</f>
        <v>86</v>
      </c>
      <c r="Z33" s="289">
        <f ca="1">IF(AND(Z$22=TRUE,INDEX(CDRANGE_CLS1,MATCH($A33,$A$24:$A$67,0),MATCH(Z$20,$B$20:$G$20,0))&lt;$D$6/OPDAYS_Cls1),86,payback(D33,U33,disc_rate/12,85))</f>
        <v>86</v>
      </c>
      <c r="AA33" s="289">
        <f ca="1">IF(AND(AA$22=TRUE,INDEX(CDRANGE_CLS1,MATCH($A33,$A$24:$A$67,0),MATCH(AA$20,$B$20:$G$20,0))&lt;$D$6/OPDAYS_Cls1),86,payback(E33,V33,disc_rate/12,85))</f>
        <v>86</v>
      </c>
      <c r="AB33" s="289">
        <f>IF(AND(AB$22=TRUE,INDEX(CDRANGE_CLS1,MATCH($A33,$A$24:$A$67,0),MATCH(AB$20,$B$20:$G$20,0))&lt;$D$6/OPDAYS_Cls1),86,payback(F33,W33,disc_rate/12,85))</f>
        <v>86</v>
      </c>
      <c r="AC33" s="581">
        <f ca="1">IF(AND(AC$22=TRUE,INDEX(CDRANGE_CLS1,MATCH($A33,$A$24:$A$67,0),MATCH(AC$20,$B$20:$G$20,0))&lt;$D$6/OPDAYS_Cls1),86,payback(G33,X33,disc_rate/12,85))</f>
        <v>86</v>
      </c>
      <c r="AD33" s="291">
        <f t="shared" si="35"/>
        <v>0</v>
      </c>
      <c r="AE33" s="292">
        <f t="shared" si="36"/>
        <v>0</v>
      </c>
      <c r="AF33" s="292">
        <f t="shared" si="37"/>
        <v>0</v>
      </c>
      <c r="AG33" s="292">
        <f t="shared" si="38"/>
        <v>0</v>
      </c>
      <c r="AH33" s="293">
        <f t="shared" si="39"/>
        <v>0</v>
      </c>
      <c r="AI33" s="1080">
        <f t="shared" si="40"/>
        <v>0</v>
      </c>
      <c r="AJ33" s="1081">
        <f t="shared" si="41"/>
        <v>0</v>
      </c>
      <c r="AK33" s="1081">
        <f t="shared" si="42"/>
        <v>0</v>
      </c>
      <c r="AL33" s="1081">
        <f t="shared" si="43"/>
        <v>0</v>
      </c>
      <c r="AM33" s="1094">
        <f t="shared" si="44"/>
        <v>0</v>
      </c>
      <c r="AN33" s="294">
        <f t="shared" si="45"/>
        <v>0</v>
      </c>
      <c r="AO33" s="295">
        <f t="shared" si="46"/>
        <v>0</v>
      </c>
      <c r="AP33" s="295">
        <f t="shared" si="47"/>
        <v>0</v>
      </c>
      <c r="AQ33" s="295">
        <f t="shared" si="48"/>
        <v>0</v>
      </c>
      <c r="AR33" s="582">
        <f t="shared" si="49"/>
        <v>0</v>
      </c>
      <c r="AS33" s="291">
        <f t="shared" ca="1" si="50"/>
        <v>0</v>
      </c>
      <c r="AT33" s="292">
        <f t="shared" ca="1" si="51"/>
        <v>0</v>
      </c>
      <c r="AU33" s="292">
        <f t="shared" ca="1" si="52"/>
        <v>0</v>
      </c>
      <c r="AV33" s="292">
        <f t="shared" si="53"/>
        <v>0</v>
      </c>
      <c r="AW33" s="293">
        <f t="shared" ca="1" si="54"/>
        <v>0</v>
      </c>
      <c r="AX33" s="291">
        <f t="shared" ca="1" si="55"/>
        <v>0</v>
      </c>
      <c r="AY33" s="292">
        <f t="shared" ca="1" si="56"/>
        <v>0</v>
      </c>
      <c r="AZ33" s="292">
        <f t="shared" ca="1" si="57"/>
        <v>0</v>
      </c>
      <c r="BA33" s="292">
        <f t="shared" si="70"/>
        <v>0</v>
      </c>
      <c r="BB33" s="293">
        <f t="shared" ca="1" si="71"/>
        <v>0</v>
      </c>
      <c r="BC33" s="291">
        <f t="shared" ca="1" si="72"/>
        <v>1</v>
      </c>
      <c r="BD33" s="292">
        <f t="shared" ca="1" si="60"/>
        <v>0</v>
      </c>
      <c r="BE33" s="292">
        <f t="shared" ca="1" si="61"/>
        <v>0</v>
      </c>
      <c r="BF33" s="292">
        <f t="shared" ca="1" si="62"/>
        <v>0</v>
      </c>
      <c r="BG33" s="292">
        <f t="shared" ca="1" si="63"/>
        <v>0</v>
      </c>
      <c r="BH33" s="293">
        <f t="shared" ca="1" si="64"/>
        <v>0</v>
      </c>
    </row>
    <row r="34" spans="1:62" x14ac:dyDescent="0.2">
      <c r="A34" s="326">
        <v>2017</v>
      </c>
      <c r="B34" s="800">
        <f t="shared" ref="B34:G43" si="73">ROUND(INDEX(COST_Cls1,$A34-($A$24-1),MATCH(B$20,TECHOPTS_Cls1,0)),2)</f>
        <v>70000</v>
      </c>
      <c r="C34" s="801">
        <f t="shared" si="73"/>
        <v>999999</v>
      </c>
      <c r="D34" s="801">
        <f t="shared" si="73"/>
        <v>999999</v>
      </c>
      <c r="E34" s="801">
        <f t="shared" si="73"/>
        <v>999999</v>
      </c>
      <c r="F34" s="801">
        <f t="shared" si="73"/>
        <v>999999</v>
      </c>
      <c r="G34" s="802">
        <f t="shared" si="73"/>
        <v>999999</v>
      </c>
      <c r="H34" s="743">
        <f t="shared" ref="H34:M43" si="74">MAX(1-INDEX(CDRANGE_CLS1,$A34-($A$24-1),MATCH(H$20,TECHOPTS_Cls1,0))*OPDAYS_Cls1/$D$6,0)</f>
        <v>1</v>
      </c>
      <c r="I34" s="744">
        <f t="shared" si="74"/>
        <v>0.9240572288779797</v>
      </c>
      <c r="J34" s="744">
        <f t="shared" si="74"/>
        <v>1</v>
      </c>
      <c r="K34" s="744">
        <f t="shared" si="74"/>
        <v>1</v>
      </c>
      <c r="L34" s="744">
        <f t="shared" si="74"/>
        <v>0.86192223432359949</v>
      </c>
      <c r="M34" s="745">
        <f t="shared" si="74"/>
        <v>1</v>
      </c>
      <c r="N34" s="284">
        <f t="shared" si="28"/>
        <v>7144.704266482504</v>
      </c>
      <c r="O34" s="285">
        <f t="shared" si="29"/>
        <v>7033.064582054275</v>
      </c>
      <c r="P34" s="285">
        <f t="shared" si="30"/>
        <v>7144.704266482504</v>
      </c>
      <c r="Q34" s="285">
        <f t="shared" si="31"/>
        <v>7144.704266482504</v>
      </c>
      <c r="R34" s="285">
        <f t="shared" si="32"/>
        <v>9782.2210568664304</v>
      </c>
      <c r="S34" s="287">
        <f t="shared" si="33"/>
        <v>31966.486124679741</v>
      </c>
      <c r="T34" s="698">
        <f t="shared" si="65"/>
        <v>111.63968442822897</v>
      </c>
      <c r="U34" s="299">
        <f t="shared" si="66"/>
        <v>0</v>
      </c>
      <c r="V34" s="299">
        <f t="shared" si="67"/>
        <v>0</v>
      </c>
      <c r="W34" s="299">
        <f t="shared" si="68"/>
        <v>-2637.5167903839265</v>
      </c>
      <c r="X34" s="300">
        <f t="shared" si="69"/>
        <v>-24821.781858197239</v>
      </c>
      <c r="Y34" s="302">
        <f ca="1">IF(AND(Y$22=TRUE,INDEX(CDRANGE_CLS1,MATCH($A34,$A$24:$A$67,0),MATCH(Y$20,$B$20:$G$20,0))&lt;$D$6/OPDAYS_Cls1),86,payback(C34,T34,disc_rate/12,85))</f>
        <v>86</v>
      </c>
      <c r="Z34" s="303">
        <f ca="1">IF(AND(Z$22=TRUE,INDEX(CDRANGE_CLS1,MATCH($A34,$A$24:$A$67,0),MATCH(Z$20,$B$20:$G$20,0))&lt;$D$6/OPDAYS_Cls1),86,payback(D34,U34,disc_rate/12,85))</f>
        <v>86</v>
      </c>
      <c r="AA34" s="303">
        <f ca="1">IF(AND(AA$22=TRUE,INDEX(CDRANGE_CLS1,MATCH($A34,$A$24:$A$67,0),MATCH(AA$20,$B$20:$G$20,0))&lt;$D$6/OPDAYS_Cls1),86,payback(E34,V34,disc_rate/12,85))</f>
        <v>86</v>
      </c>
      <c r="AB34" s="303">
        <f>IF(AND(AB$22=TRUE,INDEX(CDRANGE_CLS1,MATCH($A34,$A$24:$A$67,0),MATCH(AB$20,$B$20:$G$20,0))&lt;$D$6/OPDAYS_Cls1),86,payback(F34,W34,disc_rate/12,85))</f>
        <v>86</v>
      </c>
      <c r="AC34" s="567">
        <f ca="1">IF(AND(AC$22=TRUE,INDEX(CDRANGE_CLS1,MATCH($A34,$A$24:$A$67,0),MATCH(AC$20,$B$20:$G$20,0))&lt;$D$6/OPDAYS_Cls1),86,payback(G34,X34,disc_rate/12,85))</f>
        <v>86</v>
      </c>
      <c r="AD34" s="305">
        <f t="shared" si="35"/>
        <v>0</v>
      </c>
      <c r="AE34" s="306">
        <f t="shared" si="36"/>
        <v>0</v>
      </c>
      <c r="AF34" s="306">
        <f t="shared" si="37"/>
        <v>0</v>
      </c>
      <c r="AG34" s="306">
        <f t="shared" si="38"/>
        <v>0</v>
      </c>
      <c r="AH34" s="307">
        <f t="shared" si="39"/>
        <v>0</v>
      </c>
      <c r="AI34" s="1083">
        <f t="shared" si="40"/>
        <v>0</v>
      </c>
      <c r="AJ34" s="1084">
        <f t="shared" si="41"/>
        <v>0</v>
      </c>
      <c r="AK34" s="1084">
        <f t="shared" si="42"/>
        <v>0</v>
      </c>
      <c r="AL34" s="1084">
        <f t="shared" si="43"/>
        <v>0</v>
      </c>
      <c r="AM34" s="1092">
        <f t="shared" si="44"/>
        <v>0</v>
      </c>
      <c r="AN34" s="308">
        <f t="shared" si="45"/>
        <v>0</v>
      </c>
      <c r="AO34" s="309">
        <f t="shared" si="46"/>
        <v>0</v>
      </c>
      <c r="AP34" s="309">
        <f t="shared" si="47"/>
        <v>0</v>
      </c>
      <c r="AQ34" s="309">
        <f t="shared" si="48"/>
        <v>0</v>
      </c>
      <c r="AR34" s="570">
        <f t="shared" si="49"/>
        <v>0</v>
      </c>
      <c r="AS34" s="305">
        <f t="shared" ca="1" si="50"/>
        <v>0</v>
      </c>
      <c r="AT34" s="306">
        <f t="shared" ca="1" si="51"/>
        <v>0</v>
      </c>
      <c r="AU34" s="306">
        <f t="shared" ca="1" si="52"/>
        <v>0</v>
      </c>
      <c r="AV34" s="306">
        <f t="shared" si="53"/>
        <v>0</v>
      </c>
      <c r="AW34" s="307">
        <f t="shared" ca="1" si="54"/>
        <v>0</v>
      </c>
      <c r="AX34" s="305">
        <f t="shared" ca="1" si="55"/>
        <v>0</v>
      </c>
      <c r="AY34" s="306">
        <f t="shared" ca="1" si="56"/>
        <v>0</v>
      </c>
      <c r="AZ34" s="306">
        <f t="shared" ca="1" si="57"/>
        <v>0</v>
      </c>
      <c r="BA34" s="306">
        <f t="shared" si="70"/>
        <v>0</v>
      </c>
      <c r="BB34" s="307">
        <f t="shared" ca="1" si="71"/>
        <v>0</v>
      </c>
      <c r="BC34" s="305">
        <f t="shared" ca="1" si="72"/>
        <v>1</v>
      </c>
      <c r="BD34" s="306">
        <f t="shared" ca="1" si="60"/>
        <v>0</v>
      </c>
      <c r="BE34" s="306">
        <f t="shared" ca="1" si="61"/>
        <v>0</v>
      </c>
      <c r="BF34" s="306">
        <f t="shared" ca="1" si="62"/>
        <v>0</v>
      </c>
      <c r="BG34" s="306">
        <f t="shared" ca="1" si="63"/>
        <v>0</v>
      </c>
      <c r="BH34" s="307">
        <f t="shared" ca="1" si="64"/>
        <v>0</v>
      </c>
    </row>
    <row r="35" spans="1:62" x14ac:dyDescent="0.2">
      <c r="A35" s="326">
        <v>2018</v>
      </c>
      <c r="B35" s="800">
        <f t="shared" si="73"/>
        <v>70000</v>
      </c>
      <c r="C35" s="801">
        <f t="shared" si="73"/>
        <v>999999</v>
      </c>
      <c r="D35" s="801">
        <f t="shared" si="73"/>
        <v>999999</v>
      </c>
      <c r="E35" s="801">
        <f t="shared" si="73"/>
        <v>999999</v>
      </c>
      <c r="F35" s="801">
        <f t="shared" si="73"/>
        <v>999999</v>
      </c>
      <c r="G35" s="802">
        <f t="shared" si="73"/>
        <v>999999</v>
      </c>
      <c r="H35" s="743">
        <f t="shared" si="74"/>
        <v>1</v>
      </c>
      <c r="I35" s="744">
        <f t="shared" si="74"/>
        <v>0.92329780116675941</v>
      </c>
      <c r="J35" s="744">
        <f t="shared" si="74"/>
        <v>1</v>
      </c>
      <c r="K35" s="744">
        <f t="shared" si="74"/>
        <v>1</v>
      </c>
      <c r="L35" s="744">
        <f t="shared" si="74"/>
        <v>0.86054145666683546</v>
      </c>
      <c r="M35" s="745">
        <f t="shared" si="74"/>
        <v>1</v>
      </c>
      <c r="N35" s="284">
        <f t="shared" si="28"/>
        <v>8608.7343718341053</v>
      </c>
      <c r="O35" s="285">
        <f t="shared" si="29"/>
        <v>8436.7421379577499</v>
      </c>
      <c r="P35" s="285">
        <f t="shared" si="30"/>
        <v>8608.7343718341053</v>
      </c>
      <c r="Q35" s="285">
        <f t="shared" si="31"/>
        <v>8608.7343718341053</v>
      </c>
      <c r="R35" s="285">
        <f t="shared" si="32"/>
        <v>10957.096491913357</v>
      </c>
      <c r="S35" s="287">
        <f t="shared" si="33"/>
        <v>29928.13525856629</v>
      </c>
      <c r="T35" s="698">
        <f t="shared" si="65"/>
        <v>171.99223387635539</v>
      </c>
      <c r="U35" s="299">
        <f t="shared" si="66"/>
        <v>0</v>
      </c>
      <c r="V35" s="299">
        <f t="shared" si="67"/>
        <v>0</v>
      </c>
      <c r="W35" s="299">
        <f t="shared" si="68"/>
        <v>-2348.3621200792513</v>
      </c>
      <c r="X35" s="300">
        <f t="shared" si="69"/>
        <v>-21319.400886732183</v>
      </c>
      <c r="Y35" s="302">
        <f ca="1">IF(AND(Y$22=TRUE,INDEX(CDRANGE_CLS1,MATCH($A35,$A$24:$A$67,0),MATCH(Y$20,$B$20:$G$20,0))&lt;$D$6/OPDAYS_Cls1),86,payback(C35,T35,disc_rate/12,85))</f>
        <v>86</v>
      </c>
      <c r="Z35" s="303">
        <f ca="1">IF(AND(Z$22=TRUE,INDEX(CDRANGE_CLS1,MATCH($A35,$A$24:$A$67,0),MATCH(Z$20,$B$20:$G$20,0))&lt;$D$6/OPDAYS_Cls1),86,payback(D35,U35,disc_rate/12,85))</f>
        <v>86</v>
      </c>
      <c r="AA35" s="303">
        <f ca="1">IF(AND(AA$22=TRUE,INDEX(CDRANGE_CLS1,MATCH($A35,$A$24:$A$67,0),MATCH(AA$20,$B$20:$G$20,0))&lt;$D$6/OPDAYS_Cls1),86,payback(E35,V35,disc_rate/12,85))</f>
        <v>86</v>
      </c>
      <c r="AB35" s="303">
        <f>IF(AND(AB$22=TRUE,INDEX(CDRANGE_CLS1,MATCH($A35,$A$24:$A$67,0),MATCH(AB$20,$B$20:$G$20,0))&lt;$D$6/OPDAYS_Cls1),86,payback(F35,W35,disc_rate/12,85))</f>
        <v>86</v>
      </c>
      <c r="AC35" s="567">
        <f ca="1">IF(AND(AC$22=TRUE,INDEX(CDRANGE_CLS1,MATCH($A35,$A$24:$A$67,0),MATCH(AC$20,$B$20:$G$20,0))&lt;$D$6/OPDAYS_Cls1),86,payback(G35,X35,disc_rate/12,85))</f>
        <v>86</v>
      </c>
      <c r="AD35" s="305">
        <f t="shared" si="35"/>
        <v>0</v>
      </c>
      <c r="AE35" s="306">
        <f t="shared" si="36"/>
        <v>0</v>
      </c>
      <c r="AF35" s="306">
        <f t="shared" si="37"/>
        <v>0</v>
      </c>
      <c r="AG35" s="306">
        <f t="shared" si="38"/>
        <v>0</v>
      </c>
      <c r="AH35" s="307">
        <f t="shared" si="39"/>
        <v>0</v>
      </c>
      <c r="AI35" s="1083">
        <f t="shared" si="40"/>
        <v>0</v>
      </c>
      <c r="AJ35" s="1084">
        <f t="shared" si="41"/>
        <v>0</v>
      </c>
      <c r="AK35" s="1084">
        <f t="shared" si="42"/>
        <v>0</v>
      </c>
      <c r="AL35" s="1084">
        <f t="shared" si="43"/>
        <v>0</v>
      </c>
      <c r="AM35" s="1092">
        <f t="shared" si="44"/>
        <v>0</v>
      </c>
      <c r="AN35" s="308">
        <f t="shared" si="45"/>
        <v>0</v>
      </c>
      <c r="AO35" s="309">
        <f t="shared" si="46"/>
        <v>0</v>
      </c>
      <c r="AP35" s="309">
        <f t="shared" si="47"/>
        <v>0</v>
      </c>
      <c r="AQ35" s="309">
        <f t="shared" si="48"/>
        <v>0</v>
      </c>
      <c r="AR35" s="570">
        <f t="shared" si="49"/>
        <v>0</v>
      </c>
      <c r="AS35" s="305">
        <f t="shared" ca="1" si="50"/>
        <v>0</v>
      </c>
      <c r="AT35" s="306">
        <f t="shared" ca="1" si="51"/>
        <v>0</v>
      </c>
      <c r="AU35" s="306">
        <f t="shared" ca="1" si="52"/>
        <v>0</v>
      </c>
      <c r="AV35" s="306">
        <f t="shared" si="53"/>
        <v>0</v>
      </c>
      <c r="AW35" s="307">
        <f t="shared" ca="1" si="54"/>
        <v>0</v>
      </c>
      <c r="AX35" s="305">
        <f t="shared" ca="1" si="55"/>
        <v>0</v>
      </c>
      <c r="AY35" s="306">
        <f t="shared" ca="1" si="56"/>
        <v>0</v>
      </c>
      <c r="AZ35" s="306">
        <f t="shared" ca="1" si="57"/>
        <v>0</v>
      </c>
      <c r="BA35" s="306">
        <f t="shared" si="70"/>
        <v>0</v>
      </c>
      <c r="BB35" s="307">
        <f t="shared" ca="1" si="71"/>
        <v>0</v>
      </c>
      <c r="BC35" s="305">
        <f t="shared" ca="1" si="72"/>
        <v>1</v>
      </c>
      <c r="BD35" s="306">
        <f t="shared" ca="1" si="60"/>
        <v>0</v>
      </c>
      <c r="BE35" s="306">
        <f t="shared" ca="1" si="61"/>
        <v>0</v>
      </c>
      <c r="BF35" s="306">
        <f t="shared" ca="1" si="62"/>
        <v>0</v>
      </c>
      <c r="BG35" s="306">
        <f t="shared" ca="1" si="63"/>
        <v>0</v>
      </c>
      <c r="BH35" s="307">
        <f t="shared" ca="1" si="64"/>
        <v>0</v>
      </c>
    </row>
    <row r="36" spans="1:62" x14ac:dyDescent="0.2">
      <c r="A36" s="326">
        <v>2019</v>
      </c>
      <c r="B36" s="800">
        <f t="shared" si="73"/>
        <v>70000</v>
      </c>
      <c r="C36" s="801">
        <f t="shared" si="73"/>
        <v>999999</v>
      </c>
      <c r="D36" s="801">
        <f t="shared" si="73"/>
        <v>999999</v>
      </c>
      <c r="E36" s="801">
        <f t="shared" si="73"/>
        <v>999999</v>
      </c>
      <c r="F36" s="801">
        <f t="shared" si="73"/>
        <v>999999</v>
      </c>
      <c r="G36" s="802">
        <f t="shared" si="73"/>
        <v>999999</v>
      </c>
      <c r="H36" s="743">
        <f t="shared" si="74"/>
        <v>1</v>
      </c>
      <c r="I36" s="744">
        <f t="shared" si="74"/>
        <v>0.92253077917842707</v>
      </c>
      <c r="J36" s="744">
        <f t="shared" si="74"/>
        <v>1</v>
      </c>
      <c r="K36" s="744">
        <f t="shared" si="74"/>
        <v>1</v>
      </c>
      <c r="L36" s="744">
        <f t="shared" si="74"/>
        <v>0.85914687123350375</v>
      </c>
      <c r="M36" s="745">
        <f t="shared" si="74"/>
        <v>1</v>
      </c>
      <c r="N36" s="284">
        <f t="shared" si="28"/>
        <v>8445.9770008161795</v>
      </c>
      <c r="O36" s="285">
        <f t="shared" si="29"/>
        <v>8283.6797992197717</v>
      </c>
      <c r="P36" s="285">
        <f t="shared" si="30"/>
        <v>8445.9770008161795</v>
      </c>
      <c r="Q36" s="285">
        <f t="shared" si="31"/>
        <v>8445.9770008161795</v>
      </c>
      <c r="R36" s="285">
        <f t="shared" si="32"/>
        <v>10912.862138762486</v>
      </c>
      <c r="S36" s="287">
        <f t="shared" si="33"/>
        <v>28463.818278464198</v>
      </c>
      <c r="T36" s="698">
        <f t="shared" si="65"/>
        <v>162.29720159640783</v>
      </c>
      <c r="U36" s="299">
        <f t="shared" si="66"/>
        <v>0</v>
      </c>
      <c r="V36" s="299">
        <f t="shared" si="67"/>
        <v>0</v>
      </c>
      <c r="W36" s="299">
        <f t="shared" si="68"/>
        <v>-2466.8851379463067</v>
      </c>
      <c r="X36" s="300">
        <f t="shared" si="69"/>
        <v>-20017.841277648018</v>
      </c>
      <c r="Y36" s="302">
        <f ca="1">IF(AND(Y$22=TRUE,INDEX(CDRANGE_CLS1,MATCH($A36,$A$24:$A$67,0),MATCH(Y$20,$B$20:$G$20,0))&lt;$D$6/OPDAYS_Cls1),86,payback(C36,T36,disc_rate/12,85))</f>
        <v>86</v>
      </c>
      <c r="Z36" s="303">
        <f ca="1">IF(AND(Z$22=TRUE,INDEX(CDRANGE_CLS1,MATCH($A36,$A$24:$A$67,0),MATCH(Z$20,$B$20:$G$20,0))&lt;$D$6/OPDAYS_Cls1),86,payback(D36,U36,disc_rate/12,85))</f>
        <v>86</v>
      </c>
      <c r="AA36" s="303">
        <f ca="1">IF(AND(AA$22=TRUE,INDEX(CDRANGE_CLS1,MATCH($A36,$A$24:$A$67,0),MATCH(AA$20,$B$20:$G$20,0))&lt;$D$6/OPDAYS_Cls1),86,payback(E36,V36,disc_rate/12,85))</f>
        <v>86</v>
      </c>
      <c r="AB36" s="303">
        <f>IF(AND(AB$22=TRUE,INDEX(CDRANGE_CLS1,MATCH($A36,$A$24:$A$67,0),MATCH(AB$20,$B$20:$G$20,0))&lt;$D$6/OPDAYS_Cls1),86,payback(F36,W36,disc_rate/12,85))</f>
        <v>86</v>
      </c>
      <c r="AC36" s="567">
        <f ca="1">IF(AND(AC$22=TRUE,INDEX(CDRANGE_CLS1,MATCH($A36,$A$24:$A$67,0),MATCH(AC$20,$B$20:$G$20,0))&lt;$D$6/OPDAYS_Cls1),86,payback(G36,X36,disc_rate/12,85))</f>
        <v>86</v>
      </c>
      <c r="AD36" s="305">
        <f t="shared" si="35"/>
        <v>0</v>
      </c>
      <c r="AE36" s="306">
        <f t="shared" si="36"/>
        <v>0</v>
      </c>
      <c r="AF36" s="306">
        <f t="shared" si="37"/>
        <v>0</v>
      </c>
      <c r="AG36" s="306">
        <f t="shared" si="38"/>
        <v>0</v>
      </c>
      <c r="AH36" s="307">
        <f t="shared" si="39"/>
        <v>0</v>
      </c>
      <c r="AI36" s="1083">
        <f t="shared" si="40"/>
        <v>0</v>
      </c>
      <c r="AJ36" s="1084">
        <f t="shared" si="41"/>
        <v>0</v>
      </c>
      <c r="AK36" s="1084">
        <f t="shared" si="42"/>
        <v>0</v>
      </c>
      <c r="AL36" s="1084">
        <f t="shared" si="43"/>
        <v>0</v>
      </c>
      <c r="AM36" s="1092">
        <f t="shared" si="44"/>
        <v>0</v>
      </c>
      <c r="AN36" s="308">
        <f t="shared" si="45"/>
        <v>0</v>
      </c>
      <c r="AO36" s="309">
        <f t="shared" si="46"/>
        <v>0</v>
      </c>
      <c r="AP36" s="309">
        <f t="shared" si="47"/>
        <v>0</v>
      </c>
      <c r="AQ36" s="309">
        <f t="shared" si="48"/>
        <v>0</v>
      </c>
      <c r="AR36" s="570">
        <f t="shared" si="49"/>
        <v>0</v>
      </c>
      <c r="AS36" s="305">
        <f t="shared" ca="1" si="50"/>
        <v>0</v>
      </c>
      <c r="AT36" s="306">
        <f t="shared" ca="1" si="51"/>
        <v>0</v>
      </c>
      <c r="AU36" s="306">
        <f t="shared" ca="1" si="52"/>
        <v>0</v>
      </c>
      <c r="AV36" s="306">
        <f t="shared" si="53"/>
        <v>0</v>
      </c>
      <c r="AW36" s="307">
        <f t="shared" ca="1" si="54"/>
        <v>0</v>
      </c>
      <c r="AX36" s="305">
        <f t="shared" ca="1" si="55"/>
        <v>0</v>
      </c>
      <c r="AY36" s="306">
        <f t="shared" ca="1" si="56"/>
        <v>0</v>
      </c>
      <c r="AZ36" s="306">
        <f t="shared" ca="1" si="57"/>
        <v>0</v>
      </c>
      <c r="BA36" s="306">
        <f t="shared" si="70"/>
        <v>0</v>
      </c>
      <c r="BB36" s="307">
        <f t="shared" ca="1" si="71"/>
        <v>0</v>
      </c>
      <c r="BC36" s="305">
        <f t="shared" ca="1" si="72"/>
        <v>1</v>
      </c>
      <c r="BD36" s="306">
        <f t="shared" ca="1" si="60"/>
        <v>0</v>
      </c>
      <c r="BE36" s="306">
        <f t="shared" ca="1" si="61"/>
        <v>0</v>
      </c>
      <c r="BF36" s="306">
        <f t="shared" ca="1" si="62"/>
        <v>0</v>
      </c>
      <c r="BG36" s="306">
        <f t="shared" ca="1" si="63"/>
        <v>0</v>
      </c>
      <c r="BH36" s="307">
        <f t="shared" ca="1" si="64"/>
        <v>0</v>
      </c>
    </row>
    <row r="37" spans="1:62" ht="13.5" thickBot="1" x14ac:dyDescent="0.25">
      <c r="A37" s="588">
        <v>2020</v>
      </c>
      <c r="B37" s="794">
        <f t="shared" si="73"/>
        <v>70000</v>
      </c>
      <c r="C37" s="795">
        <f t="shared" si="73"/>
        <v>999999</v>
      </c>
      <c r="D37" s="795">
        <f t="shared" si="73"/>
        <v>999999</v>
      </c>
      <c r="E37" s="795">
        <f t="shared" si="73"/>
        <v>999999</v>
      </c>
      <c r="F37" s="795">
        <f t="shared" si="73"/>
        <v>999999</v>
      </c>
      <c r="G37" s="796">
        <f t="shared" si="73"/>
        <v>999999</v>
      </c>
      <c r="H37" s="737">
        <f t="shared" si="74"/>
        <v>1</v>
      </c>
      <c r="I37" s="738">
        <f t="shared" si="74"/>
        <v>0.92175608697021127</v>
      </c>
      <c r="J37" s="738">
        <f t="shared" si="74"/>
        <v>1</v>
      </c>
      <c r="K37" s="738">
        <f t="shared" si="74"/>
        <v>1</v>
      </c>
      <c r="L37" s="738">
        <f t="shared" si="74"/>
        <v>0.85773833994583881</v>
      </c>
      <c r="M37" s="739">
        <f t="shared" si="74"/>
        <v>1</v>
      </c>
      <c r="N37" s="758">
        <f t="shared" si="28"/>
        <v>8139.5042625257302</v>
      </c>
      <c r="O37" s="759">
        <f t="shared" si="29"/>
        <v>8514.5378111228274</v>
      </c>
      <c r="P37" s="759">
        <f t="shared" si="30"/>
        <v>8139.5042625257302</v>
      </c>
      <c r="Q37" s="759">
        <f t="shared" si="31"/>
        <v>8139.5042625257302</v>
      </c>
      <c r="R37" s="759">
        <f t="shared" si="32"/>
        <v>22185.639102425081</v>
      </c>
      <c r="S37" s="760">
        <f t="shared" si="33"/>
        <v>26995.710255138645</v>
      </c>
      <c r="T37" s="699">
        <f t="shared" si="65"/>
        <v>-375.03354859709725</v>
      </c>
      <c r="U37" s="589">
        <f t="shared" si="66"/>
        <v>0</v>
      </c>
      <c r="V37" s="589">
        <f t="shared" si="67"/>
        <v>0</v>
      </c>
      <c r="W37" s="589">
        <f t="shared" si="68"/>
        <v>-14046.13483989935</v>
      </c>
      <c r="X37" s="590">
        <f t="shared" si="69"/>
        <v>-18856.205992612915</v>
      </c>
      <c r="Y37" s="591">
        <f ca="1">IF(AND(Y$22=TRUE,INDEX(CDRANGE_CLS1,MATCH($A37,$A$24:$A$67,0),MATCH(Y$20,$B$20:$G$20,0))&lt;$D$6/OPDAYS_Cls1),86,payback(C37,T37,disc_rate/12,85))</f>
        <v>86</v>
      </c>
      <c r="Z37" s="592">
        <f ca="1">IF(AND(Z$22=TRUE,INDEX(CDRANGE_CLS1,MATCH($A37,$A$24:$A$67,0),MATCH(Z$20,$B$20:$G$20,0))&lt;$D$6/OPDAYS_Cls1),86,payback(D37,U37,disc_rate/12,85))</f>
        <v>86</v>
      </c>
      <c r="AA37" s="592">
        <f ca="1">IF(AND(AA$22=TRUE,INDEX(CDRANGE_CLS1,MATCH($A37,$A$24:$A$67,0),MATCH(AA$20,$B$20:$G$20,0))&lt;$D$6/OPDAYS_Cls1),86,payback(E37,V37,disc_rate/12,85))</f>
        <v>86</v>
      </c>
      <c r="AB37" s="592">
        <f>IF(AND(AB$22=TRUE,INDEX(CDRANGE_CLS1,MATCH($A37,$A$24:$A$67,0),MATCH(AB$20,$B$20:$G$20,0))&lt;$D$6/OPDAYS_Cls1),86,payback(F37,W37,disc_rate/12,85))</f>
        <v>86</v>
      </c>
      <c r="AC37" s="593">
        <f ca="1">IF(AND(AC$22=TRUE,INDEX(CDRANGE_CLS1,MATCH($A37,$A$24:$A$67,0),MATCH(AC$20,$B$20:$G$20,0))&lt;$D$6/OPDAYS_Cls1),86,payback(G37,X37,disc_rate/12,85))</f>
        <v>86</v>
      </c>
      <c r="AD37" s="594">
        <f t="shared" si="35"/>
        <v>0</v>
      </c>
      <c r="AE37" s="595">
        <f t="shared" si="36"/>
        <v>0</v>
      </c>
      <c r="AF37" s="595">
        <f t="shared" si="37"/>
        <v>0</v>
      </c>
      <c r="AG37" s="595">
        <f t="shared" si="38"/>
        <v>0</v>
      </c>
      <c r="AH37" s="596">
        <f t="shared" si="39"/>
        <v>0</v>
      </c>
      <c r="AI37" s="1095">
        <f t="shared" si="40"/>
        <v>0</v>
      </c>
      <c r="AJ37" s="1096">
        <f t="shared" si="41"/>
        <v>0</v>
      </c>
      <c r="AK37" s="1096">
        <f t="shared" si="42"/>
        <v>0.5</v>
      </c>
      <c r="AL37" s="1096">
        <f t="shared" si="43"/>
        <v>0</v>
      </c>
      <c r="AM37" s="1097">
        <f t="shared" si="44"/>
        <v>0</v>
      </c>
      <c r="AN37" s="599">
        <f t="shared" si="45"/>
        <v>0</v>
      </c>
      <c r="AO37" s="597">
        <f t="shared" si="46"/>
        <v>0</v>
      </c>
      <c r="AP37" s="597">
        <f t="shared" si="47"/>
        <v>0</v>
      </c>
      <c r="AQ37" s="597">
        <f t="shared" si="48"/>
        <v>0</v>
      </c>
      <c r="AR37" s="598">
        <f t="shared" si="49"/>
        <v>0</v>
      </c>
      <c r="AS37" s="594">
        <f t="shared" ca="1" si="50"/>
        <v>0</v>
      </c>
      <c r="AT37" s="595">
        <f t="shared" ca="1" si="51"/>
        <v>0</v>
      </c>
      <c r="AU37" s="595">
        <f t="shared" ca="1" si="52"/>
        <v>0</v>
      </c>
      <c r="AV37" s="595">
        <f t="shared" si="53"/>
        <v>0</v>
      </c>
      <c r="AW37" s="596">
        <f t="shared" ca="1" si="54"/>
        <v>0</v>
      </c>
      <c r="AX37" s="594">
        <f t="shared" ca="1" si="55"/>
        <v>0</v>
      </c>
      <c r="AY37" s="595">
        <f t="shared" ca="1" si="56"/>
        <v>0</v>
      </c>
      <c r="AZ37" s="595">
        <f t="shared" ca="1" si="57"/>
        <v>0</v>
      </c>
      <c r="BA37" s="595">
        <f t="shared" si="70"/>
        <v>0</v>
      </c>
      <c r="BB37" s="596">
        <f t="shared" ca="1" si="71"/>
        <v>0</v>
      </c>
      <c r="BC37" s="594">
        <f t="shared" ca="1" si="72"/>
        <v>1</v>
      </c>
      <c r="BD37" s="595">
        <f t="shared" ca="1" si="60"/>
        <v>0</v>
      </c>
      <c r="BE37" s="595">
        <f t="shared" ca="1" si="61"/>
        <v>0</v>
      </c>
      <c r="BF37" s="595">
        <f t="shared" ca="1" si="62"/>
        <v>0</v>
      </c>
      <c r="BG37" s="595">
        <f t="shared" ca="1" si="63"/>
        <v>0</v>
      </c>
      <c r="BH37" s="596">
        <f t="shared" ca="1" si="64"/>
        <v>0</v>
      </c>
    </row>
    <row r="38" spans="1:62" x14ac:dyDescent="0.2">
      <c r="A38" s="327">
        <v>2021</v>
      </c>
      <c r="B38" s="797">
        <f t="shared" si="73"/>
        <v>70000</v>
      </c>
      <c r="C38" s="798">
        <f t="shared" si="73"/>
        <v>999999</v>
      </c>
      <c r="D38" s="798">
        <f t="shared" si="73"/>
        <v>999999</v>
      </c>
      <c r="E38" s="798">
        <f t="shared" si="73"/>
        <v>999999</v>
      </c>
      <c r="F38" s="798">
        <f t="shared" si="73"/>
        <v>999999</v>
      </c>
      <c r="G38" s="799">
        <f t="shared" si="73"/>
        <v>999999</v>
      </c>
      <c r="H38" s="740">
        <f t="shared" si="74"/>
        <v>1</v>
      </c>
      <c r="I38" s="741">
        <f t="shared" si="74"/>
        <v>0.92097364783991342</v>
      </c>
      <c r="J38" s="741">
        <f t="shared" si="74"/>
        <v>1</v>
      </c>
      <c r="K38" s="741">
        <f t="shared" si="74"/>
        <v>1</v>
      </c>
      <c r="L38" s="741">
        <f t="shared" si="74"/>
        <v>0.85631572334529715</v>
      </c>
      <c r="M38" s="742">
        <f t="shared" si="74"/>
        <v>1</v>
      </c>
      <c r="N38" s="600">
        <f t="shared" si="28"/>
        <v>8171.4274799929708</v>
      </c>
      <c r="O38" s="601">
        <f t="shared" si="29"/>
        <v>8548.0955357779312</v>
      </c>
      <c r="P38" s="601">
        <f t="shared" si="30"/>
        <v>8171.4274799929708</v>
      </c>
      <c r="Q38" s="601">
        <f t="shared" si="31"/>
        <v>8171.4274799929708</v>
      </c>
      <c r="R38" s="601">
        <f t="shared" si="32"/>
        <v>22157.661946798002</v>
      </c>
      <c r="S38" s="708">
        <f t="shared" si="33"/>
        <v>25540.80071314349</v>
      </c>
      <c r="T38" s="700">
        <f t="shared" si="65"/>
        <v>-376.66805578496042</v>
      </c>
      <c r="U38" s="601">
        <f t="shared" si="66"/>
        <v>0</v>
      </c>
      <c r="V38" s="601">
        <f t="shared" si="67"/>
        <v>0</v>
      </c>
      <c r="W38" s="601">
        <f t="shared" si="68"/>
        <v>-13986.234466805032</v>
      </c>
      <c r="X38" s="602">
        <f t="shared" si="69"/>
        <v>-17369.37323315052</v>
      </c>
      <c r="Y38" s="603">
        <f ca="1">IF(AND(Y$22=TRUE,INDEX(CDRANGE_CLS1,MATCH($A38,$A$24:$A$67,0),MATCH(Y$20,$B$20:$G$20,0))&lt;$D$6/OPDAYS_Cls1),86,payback(C38,T38,disc_rate/12,85))</f>
        <v>86</v>
      </c>
      <c r="Z38" s="604">
        <f ca="1">IF(AND(Z$22=TRUE,INDEX(CDRANGE_CLS1,MATCH($A38,$A$24:$A$67,0),MATCH(Z$20,$B$20:$G$20,0))&lt;$D$6/OPDAYS_Cls1),86,payback(D38,U38,disc_rate/12,85))</f>
        <v>86</v>
      </c>
      <c r="AA38" s="604">
        <f ca="1">IF(AND(AA$22=TRUE,INDEX(CDRANGE_CLS1,MATCH($A38,$A$24:$A$67,0),MATCH(AA$20,$B$20:$G$20,0))&lt;$D$6/OPDAYS_Cls1),86,payback(E38,V38,disc_rate/12,85))</f>
        <v>86</v>
      </c>
      <c r="AB38" s="604">
        <f>IF(AND(AB$22=TRUE,INDEX(CDRANGE_CLS1,MATCH($A38,$A$24:$A$67,0),MATCH(AB$20,$B$20:$G$20,0))&lt;$D$6/OPDAYS_Cls1),86,payback(F38,W38,disc_rate/12,85))</f>
        <v>86</v>
      </c>
      <c r="AC38" s="605">
        <f ca="1">IF(AND(AC$22=TRUE,INDEX(CDRANGE_CLS1,MATCH($A38,$A$24:$A$67,0),MATCH(AC$20,$B$20:$G$20,0))&lt;$D$6/OPDAYS_Cls1),86,payback(G38,X38,disc_rate/12,85))</f>
        <v>86</v>
      </c>
      <c r="AD38" s="606">
        <f t="shared" si="35"/>
        <v>0</v>
      </c>
      <c r="AE38" s="607">
        <f t="shared" si="36"/>
        <v>0</v>
      </c>
      <c r="AF38" s="607">
        <f t="shared" si="37"/>
        <v>0</v>
      </c>
      <c r="AG38" s="607">
        <f t="shared" si="38"/>
        <v>0</v>
      </c>
      <c r="AH38" s="608">
        <f t="shared" si="39"/>
        <v>0</v>
      </c>
      <c r="AI38" s="1089">
        <f t="shared" si="40"/>
        <v>0.4</v>
      </c>
      <c r="AJ38" s="1090">
        <f t="shared" si="41"/>
        <v>0</v>
      </c>
      <c r="AK38" s="1090">
        <f t="shared" si="42"/>
        <v>0.5</v>
      </c>
      <c r="AL38" s="1090">
        <f t="shared" si="43"/>
        <v>0</v>
      </c>
      <c r="AM38" s="1091">
        <f t="shared" si="44"/>
        <v>0</v>
      </c>
      <c r="AN38" s="611">
        <f t="shared" si="45"/>
        <v>0</v>
      </c>
      <c r="AO38" s="609">
        <f t="shared" si="46"/>
        <v>0</v>
      </c>
      <c r="AP38" s="609">
        <f t="shared" si="47"/>
        <v>0</v>
      </c>
      <c r="AQ38" s="609">
        <f t="shared" si="48"/>
        <v>0</v>
      </c>
      <c r="AR38" s="610">
        <f t="shared" si="49"/>
        <v>0</v>
      </c>
      <c r="AS38" s="606">
        <f t="shared" ca="1" si="50"/>
        <v>0</v>
      </c>
      <c r="AT38" s="607">
        <f t="shared" ca="1" si="51"/>
        <v>0</v>
      </c>
      <c r="AU38" s="607">
        <f t="shared" ca="1" si="52"/>
        <v>0</v>
      </c>
      <c r="AV38" s="607">
        <f t="shared" si="53"/>
        <v>0</v>
      </c>
      <c r="AW38" s="608">
        <f t="shared" ca="1" si="54"/>
        <v>0</v>
      </c>
      <c r="AX38" s="606">
        <f t="shared" ca="1" si="55"/>
        <v>0</v>
      </c>
      <c r="AY38" s="607">
        <f t="shared" ca="1" si="56"/>
        <v>0</v>
      </c>
      <c r="AZ38" s="607">
        <f t="shared" ca="1" si="57"/>
        <v>0</v>
      </c>
      <c r="BA38" s="607">
        <f t="shared" si="70"/>
        <v>0</v>
      </c>
      <c r="BB38" s="608">
        <f t="shared" ca="1" si="71"/>
        <v>0</v>
      </c>
      <c r="BC38" s="606">
        <f t="shared" ca="1" si="72"/>
        <v>1</v>
      </c>
      <c r="BD38" s="607">
        <f t="shared" ca="1" si="60"/>
        <v>0</v>
      </c>
      <c r="BE38" s="607">
        <f t="shared" ca="1" si="61"/>
        <v>0</v>
      </c>
      <c r="BF38" s="607">
        <f t="shared" ca="1" si="62"/>
        <v>0</v>
      </c>
      <c r="BG38" s="607">
        <f t="shared" ca="1" si="63"/>
        <v>0</v>
      </c>
      <c r="BH38" s="608">
        <f t="shared" ca="1" si="64"/>
        <v>0</v>
      </c>
    </row>
    <row r="39" spans="1:62" x14ac:dyDescent="0.2">
      <c r="A39" s="326">
        <v>2022</v>
      </c>
      <c r="B39" s="800">
        <f t="shared" si="73"/>
        <v>70000</v>
      </c>
      <c r="C39" s="801">
        <f t="shared" si="73"/>
        <v>999999</v>
      </c>
      <c r="D39" s="801">
        <f t="shared" si="73"/>
        <v>999999</v>
      </c>
      <c r="E39" s="801">
        <f t="shared" si="73"/>
        <v>999999</v>
      </c>
      <c r="F39" s="801">
        <f t="shared" si="73"/>
        <v>999999</v>
      </c>
      <c r="G39" s="802">
        <f t="shared" si="73"/>
        <v>999999</v>
      </c>
      <c r="H39" s="743">
        <f t="shared" si="74"/>
        <v>1</v>
      </c>
      <c r="I39" s="744">
        <f t="shared" si="74"/>
        <v>0.92018338431831259</v>
      </c>
      <c r="J39" s="744">
        <f t="shared" si="74"/>
        <v>1</v>
      </c>
      <c r="K39" s="744">
        <f t="shared" si="74"/>
        <v>1</v>
      </c>
      <c r="L39" s="744">
        <f t="shared" si="74"/>
        <v>0.85487888057875017</v>
      </c>
      <c r="M39" s="745">
        <f t="shared" si="74"/>
        <v>1</v>
      </c>
      <c r="N39" s="284">
        <f t="shared" si="28"/>
        <v>8299.6512811514349</v>
      </c>
      <c r="O39" s="285">
        <f t="shared" si="29"/>
        <v>8346.2044788820203</v>
      </c>
      <c r="P39" s="285">
        <f t="shared" si="30"/>
        <v>8299.6512811514349</v>
      </c>
      <c r="Q39" s="285">
        <f t="shared" si="31"/>
        <v>8299.6512811514349</v>
      </c>
      <c r="R39" s="285">
        <f t="shared" si="32"/>
        <v>22374.346955115318</v>
      </c>
      <c r="S39" s="287">
        <f t="shared" si="33"/>
        <v>24122.412243893596</v>
      </c>
      <c r="T39" s="698">
        <f t="shared" si="65"/>
        <v>-46.553197730585453</v>
      </c>
      <c r="U39" s="299">
        <f t="shared" si="66"/>
        <v>0</v>
      </c>
      <c r="V39" s="299">
        <f t="shared" si="67"/>
        <v>0</v>
      </c>
      <c r="W39" s="299">
        <f t="shared" si="68"/>
        <v>-14074.695673963883</v>
      </c>
      <c r="X39" s="300">
        <f t="shared" si="69"/>
        <v>-15822.760962742161</v>
      </c>
      <c r="Y39" s="302">
        <f ca="1">IF(AND(Y$22=TRUE,INDEX(CDRANGE_CLS1,MATCH($A39,$A$24:$A$67,0),MATCH(Y$20,$B$20:$G$20,0))&lt;$D$6/OPDAYS_Cls1),86,payback(C39,T39,disc_rate/12,85))</f>
        <v>86</v>
      </c>
      <c r="Z39" s="303">
        <f ca="1">IF(AND(Z$22=TRUE,INDEX(CDRANGE_CLS1,MATCH($A39,$A$24:$A$67,0),MATCH(Z$20,$B$20:$G$20,0))&lt;$D$6/OPDAYS_Cls1),86,payback(D39,U39,disc_rate/12,85))</f>
        <v>86</v>
      </c>
      <c r="AA39" s="303">
        <f ca="1">IF(AND(AA$22=TRUE,INDEX(CDRANGE_CLS1,MATCH($A39,$A$24:$A$67,0),MATCH(AA$20,$B$20:$G$20,0))&lt;$D$6/OPDAYS_Cls1),86,payback(E39,V39,disc_rate/12,85))</f>
        <v>86</v>
      </c>
      <c r="AB39" s="303">
        <f>IF(AND(AB$22=TRUE,INDEX(CDRANGE_CLS1,MATCH($A39,$A$24:$A$67,0),MATCH(AB$20,$B$20:$G$20,0))&lt;$D$6/OPDAYS_Cls1),86,payback(F39,W39,disc_rate/12,85))</f>
        <v>86</v>
      </c>
      <c r="AC39" s="567">
        <f ca="1">IF(AND(AC$22=TRUE,INDEX(CDRANGE_CLS1,MATCH($A39,$A$24:$A$67,0),MATCH(AC$20,$B$20:$G$20,0))&lt;$D$6/OPDAYS_Cls1),86,payback(G39,X39,disc_rate/12,85))</f>
        <v>86</v>
      </c>
      <c r="AD39" s="305">
        <f t="shared" si="35"/>
        <v>0</v>
      </c>
      <c r="AE39" s="306">
        <f t="shared" si="36"/>
        <v>0</v>
      </c>
      <c r="AF39" s="306">
        <f t="shared" si="37"/>
        <v>0</v>
      </c>
      <c r="AG39" s="306">
        <f t="shared" si="38"/>
        <v>0</v>
      </c>
      <c r="AH39" s="307">
        <f t="shared" si="39"/>
        <v>0</v>
      </c>
      <c r="AI39" s="1083">
        <f t="shared" si="40"/>
        <v>0.4047425873177567</v>
      </c>
      <c r="AJ39" s="1084">
        <f t="shared" si="41"/>
        <v>0</v>
      </c>
      <c r="AK39" s="1084">
        <f t="shared" si="42"/>
        <v>0.5</v>
      </c>
      <c r="AL39" s="1084">
        <f t="shared" si="43"/>
        <v>0</v>
      </c>
      <c r="AM39" s="1092">
        <f t="shared" si="44"/>
        <v>0</v>
      </c>
      <c r="AN39" s="308">
        <f t="shared" si="45"/>
        <v>0</v>
      </c>
      <c r="AO39" s="309">
        <f t="shared" si="46"/>
        <v>0</v>
      </c>
      <c r="AP39" s="309">
        <f t="shared" si="47"/>
        <v>0</v>
      </c>
      <c r="AQ39" s="309">
        <f t="shared" si="48"/>
        <v>0</v>
      </c>
      <c r="AR39" s="570">
        <f t="shared" si="49"/>
        <v>0</v>
      </c>
      <c r="AS39" s="305">
        <f t="shared" ca="1" si="50"/>
        <v>0</v>
      </c>
      <c r="AT39" s="306">
        <f t="shared" ca="1" si="51"/>
        <v>0</v>
      </c>
      <c r="AU39" s="306">
        <f t="shared" ca="1" si="52"/>
        <v>0</v>
      </c>
      <c r="AV39" s="306">
        <f t="shared" si="53"/>
        <v>0</v>
      </c>
      <c r="AW39" s="307">
        <f t="shared" ca="1" si="54"/>
        <v>0</v>
      </c>
      <c r="AX39" s="305">
        <f t="shared" ca="1" si="55"/>
        <v>0</v>
      </c>
      <c r="AY39" s="306">
        <f t="shared" ca="1" si="56"/>
        <v>0</v>
      </c>
      <c r="AZ39" s="306">
        <f t="shared" ca="1" si="57"/>
        <v>0</v>
      </c>
      <c r="BA39" s="306">
        <f t="shared" si="70"/>
        <v>0</v>
      </c>
      <c r="BB39" s="307">
        <f t="shared" ca="1" si="71"/>
        <v>0</v>
      </c>
      <c r="BC39" s="305">
        <f t="shared" ca="1" si="72"/>
        <v>1</v>
      </c>
      <c r="BD39" s="306">
        <f t="shared" ca="1" si="60"/>
        <v>0</v>
      </c>
      <c r="BE39" s="306">
        <f t="shared" ca="1" si="61"/>
        <v>0</v>
      </c>
      <c r="BF39" s="306">
        <f t="shared" ca="1" si="62"/>
        <v>0</v>
      </c>
      <c r="BG39" s="306">
        <f t="shared" ca="1" si="63"/>
        <v>0</v>
      </c>
      <c r="BH39" s="307">
        <f t="shared" ca="1" si="64"/>
        <v>0</v>
      </c>
    </row>
    <row r="40" spans="1:62" x14ac:dyDescent="0.2">
      <c r="A40" s="326">
        <v>2023</v>
      </c>
      <c r="B40" s="800">
        <f t="shared" si="73"/>
        <v>70000</v>
      </c>
      <c r="C40" s="801">
        <f t="shared" si="73"/>
        <v>999999</v>
      </c>
      <c r="D40" s="801">
        <f t="shared" si="73"/>
        <v>999999</v>
      </c>
      <c r="E40" s="801">
        <f t="shared" si="73"/>
        <v>999999</v>
      </c>
      <c r="F40" s="801">
        <f t="shared" si="73"/>
        <v>999999</v>
      </c>
      <c r="G40" s="802">
        <f t="shared" si="73"/>
        <v>999999</v>
      </c>
      <c r="H40" s="743">
        <f t="shared" si="74"/>
        <v>1</v>
      </c>
      <c r="I40" s="744">
        <f t="shared" si="74"/>
        <v>0.91938521816149565</v>
      </c>
      <c r="J40" s="744">
        <f t="shared" si="74"/>
        <v>1</v>
      </c>
      <c r="K40" s="744">
        <f t="shared" si="74"/>
        <v>1</v>
      </c>
      <c r="L40" s="744">
        <f t="shared" si="74"/>
        <v>0.85342766938453773</v>
      </c>
      <c r="M40" s="745">
        <f t="shared" si="74"/>
        <v>1</v>
      </c>
      <c r="N40" s="284">
        <f t="shared" si="28"/>
        <v>8342.8947662673818</v>
      </c>
      <c r="O40" s="285">
        <f t="shared" si="29"/>
        <v>8099.5151552658499</v>
      </c>
      <c r="P40" s="285">
        <f t="shared" si="30"/>
        <v>8342.8947662673818</v>
      </c>
      <c r="Q40" s="285">
        <f t="shared" si="31"/>
        <v>8342.8947662673818</v>
      </c>
      <c r="R40" s="285">
        <f t="shared" si="32"/>
        <v>22673.410050179536</v>
      </c>
      <c r="S40" s="287">
        <f t="shared" si="33"/>
        <v>22691.432510031784</v>
      </c>
      <c r="T40" s="698">
        <f t="shared" si="65"/>
        <v>243.37961100153188</v>
      </c>
      <c r="U40" s="299">
        <f t="shared" si="66"/>
        <v>0</v>
      </c>
      <c r="V40" s="299">
        <f t="shared" si="67"/>
        <v>0</v>
      </c>
      <c r="W40" s="299">
        <f t="shared" si="68"/>
        <v>-14330.515283912155</v>
      </c>
      <c r="X40" s="300">
        <f t="shared" si="69"/>
        <v>-14348.537743764402</v>
      </c>
      <c r="Y40" s="302">
        <f ca="1">IF(AND(Y$22=TRUE,INDEX(CDRANGE_CLS1,MATCH($A40,$A$24:$A$67,0),MATCH(Y$20,$B$20:$G$20,0))&lt;$D$6/OPDAYS_Cls1),86,payback(C40,T40,disc_rate/12,85))</f>
        <v>86</v>
      </c>
      <c r="Z40" s="303">
        <f ca="1">IF(AND(Z$22=TRUE,INDEX(CDRANGE_CLS1,MATCH($A40,$A$24:$A$67,0),MATCH(Z$20,$B$20:$G$20,0))&lt;$D$6/OPDAYS_Cls1),86,payback(D40,U40,disc_rate/12,85))</f>
        <v>86</v>
      </c>
      <c r="AA40" s="303">
        <f ca="1">IF(AND(AA$22=TRUE,INDEX(CDRANGE_CLS1,MATCH($A40,$A$24:$A$67,0),MATCH(AA$20,$B$20:$G$20,0))&lt;$D$6/OPDAYS_Cls1),86,payback(E40,V40,disc_rate/12,85))</f>
        <v>86</v>
      </c>
      <c r="AB40" s="303">
        <f>IF(AND(AB$22=TRUE,INDEX(CDRANGE_CLS1,MATCH($A40,$A$24:$A$67,0),MATCH(AB$20,$B$20:$G$20,0))&lt;$D$6/OPDAYS_Cls1),86,payback(F40,W40,disc_rate/12,85))</f>
        <v>86</v>
      </c>
      <c r="AC40" s="567">
        <f ca="1">IF(AND(AC$22=TRUE,INDEX(CDRANGE_CLS1,MATCH($A40,$A$24:$A$67,0),MATCH(AC$20,$B$20:$G$20,0))&lt;$D$6/OPDAYS_Cls1),86,payback(G40,X40,disc_rate/12,85))</f>
        <v>86</v>
      </c>
      <c r="AD40" s="305">
        <f t="shared" si="35"/>
        <v>0</v>
      </c>
      <c r="AE40" s="306">
        <f t="shared" si="36"/>
        <v>0</v>
      </c>
      <c r="AF40" s="306">
        <f t="shared" si="37"/>
        <v>0</v>
      </c>
      <c r="AG40" s="306">
        <f t="shared" si="38"/>
        <v>0</v>
      </c>
      <c r="AH40" s="307">
        <f t="shared" si="39"/>
        <v>0</v>
      </c>
      <c r="AI40" s="1083">
        <f t="shared" si="40"/>
        <v>0.41192029220221177</v>
      </c>
      <c r="AJ40" s="1084">
        <f t="shared" si="41"/>
        <v>0</v>
      </c>
      <c r="AK40" s="1084">
        <f t="shared" si="42"/>
        <v>0.5</v>
      </c>
      <c r="AL40" s="1084">
        <f t="shared" si="43"/>
        <v>0</v>
      </c>
      <c r="AM40" s="1092">
        <f t="shared" si="44"/>
        <v>0</v>
      </c>
      <c r="AN40" s="308">
        <f t="shared" si="45"/>
        <v>0</v>
      </c>
      <c r="AO40" s="309">
        <f t="shared" si="46"/>
        <v>0</v>
      </c>
      <c r="AP40" s="309">
        <f t="shared" si="47"/>
        <v>0</v>
      </c>
      <c r="AQ40" s="309">
        <f t="shared" si="48"/>
        <v>0</v>
      </c>
      <c r="AR40" s="570">
        <f t="shared" si="49"/>
        <v>0</v>
      </c>
      <c r="AS40" s="305">
        <f t="shared" ca="1" si="50"/>
        <v>0</v>
      </c>
      <c r="AT40" s="306">
        <f t="shared" ca="1" si="51"/>
        <v>0</v>
      </c>
      <c r="AU40" s="306">
        <f t="shared" ca="1" si="52"/>
        <v>0</v>
      </c>
      <c r="AV40" s="306">
        <f t="shared" si="53"/>
        <v>0</v>
      </c>
      <c r="AW40" s="307">
        <f t="shared" ca="1" si="54"/>
        <v>0</v>
      </c>
      <c r="AX40" s="305">
        <f t="shared" ca="1" si="55"/>
        <v>0</v>
      </c>
      <c r="AY40" s="306">
        <f t="shared" ca="1" si="56"/>
        <v>0</v>
      </c>
      <c r="AZ40" s="306">
        <f t="shared" ca="1" si="57"/>
        <v>0</v>
      </c>
      <c r="BA40" s="306">
        <f t="shared" si="70"/>
        <v>0</v>
      </c>
      <c r="BB40" s="307">
        <f t="shared" ca="1" si="71"/>
        <v>0</v>
      </c>
      <c r="BC40" s="305">
        <f t="shared" ca="1" si="72"/>
        <v>1</v>
      </c>
      <c r="BD40" s="306">
        <f t="shared" ca="1" si="60"/>
        <v>0</v>
      </c>
      <c r="BE40" s="306">
        <f t="shared" ca="1" si="61"/>
        <v>0</v>
      </c>
      <c r="BF40" s="306">
        <f t="shared" ca="1" si="62"/>
        <v>0</v>
      </c>
      <c r="BG40" s="306">
        <f t="shared" ca="1" si="63"/>
        <v>0</v>
      </c>
      <c r="BH40" s="307">
        <f t="shared" ca="1" si="64"/>
        <v>0</v>
      </c>
    </row>
    <row r="41" spans="1:62" x14ac:dyDescent="0.2">
      <c r="A41" s="326">
        <v>2024</v>
      </c>
      <c r="B41" s="800">
        <f t="shared" si="73"/>
        <v>70000</v>
      </c>
      <c r="C41" s="801">
        <f t="shared" si="73"/>
        <v>999999</v>
      </c>
      <c r="D41" s="801">
        <f t="shared" si="73"/>
        <v>999999</v>
      </c>
      <c r="E41" s="801">
        <f t="shared" si="73"/>
        <v>999999</v>
      </c>
      <c r="F41" s="801">
        <f t="shared" si="73"/>
        <v>999999</v>
      </c>
      <c r="G41" s="802">
        <f t="shared" si="73"/>
        <v>999999</v>
      </c>
      <c r="H41" s="743">
        <f t="shared" si="74"/>
        <v>1</v>
      </c>
      <c r="I41" s="744">
        <f t="shared" si="74"/>
        <v>0.9185790703431107</v>
      </c>
      <c r="J41" s="744">
        <f t="shared" si="74"/>
        <v>1</v>
      </c>
      <c r="K41" s="744">
        <f t="shared" si="74"/>
        <v>1</v>
      </c>
      <c r="L41" s="744">
        <f t="shared" si="74"/>
        <v>0.85196194607838305</v>
      </c>
      <c r="M41" s="745">
        <f t="shared" si="74"/>
        <v>1</v>
      </c>
      <c r="N41" s="284">
        <f t="shared" si="28"/>
        <v>8491.6458914043833</v>
      </c>
      <c r="O41" s="285">
        <f t="shared" si="29"/>
        <v>7957.0555474210942</v>
      </c>
      <c r="P41" s="285">
        <f t="shared" si="30"/>
        <v>8491.6458914043833</v>
      </c>
      <c r="Q41" s="285">
        <f t="shared" si="31"/>
        <v>8491.6458914043833</v>
      </c>
      <c r="R41" s="285">
        <f t="shared" si="32"/>
        <v>22946.698083553641</v>
      </c>
      <c r="S41" s="287">
        <f t="shared" si="33"/>
        <v>21268.965909256498</v>
      </c>
      <c r="T41" s="698">
        <f t="shared" si="65"/>
        <v>534.59034398328913</v>
      </c>
      <c r="U41" s="299">
        <f t="shared" si="66"/>
        <v>0</v>
      </c>
      <c r="V41" s="299">
        <f t="shared" si="67"/>
        <v>0</v>
      </c>
      <c r="W41" s="299">
        <f t="shared" si="68"/>
        <v>-14455.052192149258</v>
      </c>
      <c r="X41" s="300">
        <f t="shared" si="69"/>
        <v>-12777.320017852115</v>
      </c>
      <c r="Y41" s="302">
        <f ca="1">IF(AND(Y$22=TRUE,INDEX(CDRANGE_CLS1,MATCH($A41,$A$24:$A$67,0),MATCH(Y$20,$B$20:$G$20,0))&lt;$D$6/OPDAYS_Cls1),86,payback(C41,T41,disc_rate/12,85))</f>
        <v>86</v>
      </c>
      <c r="Z41" s="303">
        <f ca="1">IF(AND(Z$22=TRUE,INDEX(CDRANGE_CLS1,MATCH($A41,$A$24:$A$67,0),MATCH(Z$20,$B$20:$G$20,0))&lt;$D$6/OPDAYS_Cls1),86,payback(D41,U41,disc_rate/12,85))</f>
        <v>86</v>
      </c>
      <c r="AA41" s="303">
        <f ca="1">IF(AND(AA$22=TRUE,INDEX(CDRANGE_CLS1,MATCH($A41,$A$24:$A$67,0),MATCH(AA$20,$B$20:$G$20,0))&lt;$D$6/OPDAYS_Cls1),86,payback(E41,V41,disc_rate/12,85))</f>
        <v>86</v>
      </c>
      <c r="AB41" s="303">
        <f>IF(AND(AB$22=TRUE,INDEX(CDRANGE_CLS1,MATCH($A41,$A$24:$A$67,0),MATCH(AB$20,$B$20:$G$20,0))&lt;$D$6/OPDAYS_Cls1),86,payback(F41,W41,disc_rate/12,85))</f>
        <v>86</v>
      </c>
      <c r="AC41" s="567">
        <f ca="1">IF(AND(AC$22=TRUE,INDEX(CDRANGE_CLS1,MATCH($A41,$A$24:$A$67,0),MATCH(AC$20,$B$20:$G$20,0))&lt;$D$6/OPDAYS_Cls1),86,payback(G41,X41,disc_rate/12,85))</f>
        <v>86</v>
      </c>
      <c r="AD41" s="305">
        <f t="shared" si="35"/>
        <v>0</v>
      </c>
      <c r="AE41" s="306">
        <f t="shared" si="36"/>
        <v>0</v>
      </c>
      <c r="AF41" s="306">
        <f t="shared" si="37"/>
        <v>0</v>
      </c>
      <c r="AG41" s="306">
        <f t="shared" si="38"/>
        <v>0</v>
      </c>
      <c r="AH41" s="307">
        <f t="shared" si="39"/>
        <v>0</v>
      </c>
      <c r="AI41" s="1083">
        <f t="shared" si="40"/>
        <v>0.4268941421369995</v>
      </c>
      <c r="AJ41" s="1084">
        <f t="shared" si="41"/>
        <v>0</v>
      </c>
      <c r="AK41" s="1084">
        <f t="shared" si="42"/>
        <v>0.5</v>
      </c>
      <c r="AL41" s="1084">
        <f t="shared" si="43"/>
        <v>0</v>
      </c>
      <c r="AM41" s="1092">
        <f t="shared" si="44"/>
        <v>0</v>
      </c>
      <c r="AN41" s="308">
        <f t="shared" si="45"/>
        <v>0</v>
      </c>
      <c r="AO41" s="309">
        <f t="shared" si="46"/>
        <v>0</v>
      </c>
      <c r="AP41" s="309">
        <f t="shared" si="47"/>
        <v>0</v>
      </c>
      <c r="AQ41" s="309">
        <f t="shared" si="48"/>
        <v>0</v>
      </c>
      <c r="AR41" s="570">
        <f t="shared" si="49"/>
        <v>0</v>
      </c>
      <c r="AS41" s="305">
        <f t="shared" ca="1" si="50"/>
        <v>0</v>
      </c>
      <c r="AT41" s="306">
        <f t="shared" ca="1" si="51"/>
        <v>0</v>
      </c>
      <c r="AU41" s="306">
        <f t="shared" ca="1" si="52"/>
        <v>0</v>
      </c>
      <c r="AV41" s="306">
        <f t="shared" si="53"/>
        <v>0</v>
      </c>
      <c r="AW41" s="307">
        <f t="shared" ca="1" si="54"/>
        <v>0</v>
      </c>
      <c r="AX41" s="305">
        <f t="shared" ca="1" si="55"/>
        <v>0</v>
      </c>
      <c r="AY41" s="306">
        <f t="shared" ca="1" si="56"/>
        <v>0</v>
      </c>
      <c r="AZ41" s="306">
        <f t="shared" ca="1" si="57"/>
        <v>0</v>
      </c>
      <c r="BA41" s="306">
        <f t="shared" si="70"/>
        <v>0</v>
      </c>
      <c r="BB41" s="307">
        <f t="shared" ca="1" si="71"/>
        <v>0</v>
      </c>
      <c r="BC41" s="305">
        <f t="shared" ca="1" si="72"/>
        <v>1</v>
      </c>
      <c r="BD41" s="306">
        <f t="shared" ca="1" si="60"/>
        <v>0</v>
      </c>
      <c r="BE41" s="306">
        <f t="shared" ca="1" si="61"/>
        <v>0</v>
      </c>
      <c r="BF41" s="306">
        <f t="shared" ca="1" si="62"/>
        <v>0</v>
      </c>
      <c r="BG41" s="306">
        <f t="shared" ca="1" si="63"/>
        <v>0</v>
      </c>
      <c r="BH41" s="307">
        <f t="shared" ca="1" si="64"/>
        <v>0</v>
      </c>
    </row>
    <row r="42" spans="1:62" ht="13.5" thickBot="1" x14ac:dyDescent="0.25">
      <c r="A42" s="311">
        <v>2025</v>
      </c>
      <c r="B42" s="803">
        <f t="shared" si="73"/>
        <v>70000</v>
      </c>
      <c r="C42" s="804">
        <f t="shared" si="73"/>
        <v>999999</v>
      </c>
      <c r="D42" s="804">
        <f t="shared" si="73"/>
        <v>999999</v>
      </c>
      <c r="E42" s="804">
        <f t="shared" si="73"/>
        <v>999999</v>
      </c>
      <c r="F42" s="804">
        <f t="shared" si="73"/>
        <v>999999</v>
      </c>
      <c r="G42" s="805">
        <f t="shared" si="73"/>
        <v>999999</v>
      </c>
      <c r="H42" s="746">
        <f t="shared" si="74"/>
        <v>1</v>
      </c>
      <c r="I42" s="747">
        <f t="shared" si="74"/>
        <v>0.91776486104654176</v>
      </c>
      <c r="J42" s="747">
        <f t="shared" si="74"/>
        <v>1</v>
      </c>
      <c r="K42" s="747">
        <f t="shared" si="74"/>
        <v>1</v>
      </c>
      <c r="L42" s="747">
        <f t="shared" si="74"/>
        <v>0.85048156553916687</v>
      </c>
      <c r="M42" s="748">
        <f t="shared" si="74"/>
        <v>1</v>
      </c>
      <c r="N42" s="761">
        <f t="shared" si="28"/>
        <v>8531.8080318782213</v>
      </c>
      <c r="O42" s="762">
        <f t="shared" si="29"/>
        <v>7757.4462680883507</v>
      </c>
      <c r="P42" s="762">
        <f t="shared" si="30"/>
        <v>6517.8496310652799</v>
      </c>
      <c r="Q42" s="762">
        <f t="shared" si="31"/>
        <v>8531.8080318782213</v>
      </c>
      <c r="R42" s="762">
        <f t="shared" si="32"/>
        <v>23365.275405469522</v>
      </c>
      <c r="S42" s="763">
        <f t="shared" si="33"/>
        <v>19826.723467589989</v>
      </c>
      <c r="T42" s="701">
        <f t="shared" si="65"/>
        <v>774.36176378987057</v>
      </c>
      <c r="U42" s="313">
        <f t="shared" si="66"/>
        <v>2013.9584008129414</v>
      </c>
      <c r="V42" s="313">
        <f t="shared" si="67"/>
        <v>0</v>
      </c>
      <c r="W42" s="313">
        <f t="shared" si="68"/>
        <v>-14833.4673735913</v>
      </c>
      <c r="X42" s="314">
        <f t="shared" si="69"/>
        <v>-11294.915435711768</v>
      </c>
      <c r="Y42" s="316">
        <f ca="1">IF(AND(Y$22=TRUE,INDEX(CDRANGE_CLS1,MATCH($A42,$A$24:$A$67,0),MATCH(Y$20,$B$20:$G$20,0))&lt;$D$6/OPDAYS_Cls1),86,payback(C42,T42,disc_rate/12,85))</f>
        <v>86</v>
      </c>
      <c r="Z42" s="317">
        <f ca="1">IF(AND(Z$22=TRUE,INDEX(CDRANGE_CLS1,MATCH($A42,$A$24:$A$67,0),MATCH(Z$20,$B$20:$G$20,0))&lt;$D$6/OPDAYS_Cls1),86,payback(D42,U42,disc_rate/12,85))</f>
        <v>86</v>
      </c>
      <c r="AA42" s="317">
        <f ca="1">IF(AND(AA$22=TRUE,INDEX(CDRANGE_CLS1,MATCH($A42,$A$24:$A$67,0),MATCH(AA$20,$B$20:$G$20,0))&lt;$D$6/OPDAYS_Cls1),86,payback(E42,V42,disc_rate/12,85))</f>
        <v>86</v>
      </c>
      <c r="AB42" s="317">
        <f>IF(AND(AB$22=TRUE,INDEX(CDRANGE_CLS1,MATCH($A42,$A$24:$A$67,0),MATCH(AB$20,$B$20:$G$20,0))&lt;$D$6/OPDAYS_Cls1),86,payback(F42,W42,disc_rate/12,85))</f>
        <v>86</v>
      </c>
      <c r="AC42" s="568">
        <f ca="1">IF(AND(AC$22=TRUE,INDEX(CDRANGE_CLS1,MATCH($A42,$A$24:$A$67,0),MATCH(AC$20,$B$20:$G$20,0))&lt;$D$6/OPDAYS_Cls1),86,payback(G42,X42,disc_rate/12,85))</f>
        <v>86</v>
      </c>
      <c r="AD42" s="319">
        <f t="shared" si="35"/>
        <v>0</v>
      </c>
      <c r="AE42" s="320">
        <f t="shared" si="36"/>
        <v>0</v>
      </c>
      <c r="AF42" s="320">
        <f t="shared" si="37"/>
        <v>0</v>
      </c>
      <c r="AG42" s="320">
        <f t="shared" si="38"/>
        <v>0</v>
      </c>
      <c r="AH42" s="321">
        <f t="shared" si="39"/>
        <v>0</v>
      </c>
      <c r="AI42" s="1086">
        <f t="shared" si="40"/>
        <v>0.45</v>
      </c>
      <c r="AJ42" s="1087">
        <f t="shared" si="41"/>
        <v>0.2</v>
      </c>
      <c r="AK42" s="1087">
        <f t="shared" si="42"/>
        <v>0.5</v>
      </c>
      <c r="AL42" s="1087">
        <f t="shared" si="43"/>
        <v>8.641595835383406E-2</v>
      </c>
      <c r="AM42" s="1093">
        <f t="shared" si="44"/>
        <v>0</v>
      </c>
      <c r="AN42" s="322">
        <f t="shared" si="45"/>
        <v>0</v>
      </c>
      <c r="AO42" s="323">
        <f t="shared" si="46"/>
        <v>0</v>
      </c>
      <c r="AP42" s="323">
        <f t="shared" si="47"/>
        <v>0</v>
      </c>
      <c r="AQ42" s="323">
        <f t="shared" si="48"/>
        <v>0</v>
      </c>
      <c r="AR42" s="571">
        <f t="shared" si="49"/>
        <v>0</v>
      </c>
      <c r="AS42" s="319">
        <f t="shared" ca="1" si="50"/>
        <v>0</v>
      </c>
      <c r="AT42" s="320">
        <f t="shared" ca="1" si="51"/>
        <v>0</v>
      </c>
      <c r="AU42" s="320">
        <f t="shared" ca="1" si="52"/>
        <v>0</v>
      </c>
      <c r="AV42" s="320">
        <f t="shared" si="53"/>
        <v>0</v>
      </c>
      <c r="AW42" s="321">
        <f t="shared" ca="1" si="54"/>
        <v>0</v>
      </c>
      <c r="AX42" s="319">
        <f t="shared" ca="1" si="55"/>
        <v>0</v>
      </c>
      <c r="AY42" s="320">
        <f t="shared" ca="1" si="56"/>
        <v>0</v>
      </c>
      <c r="AZ42" s="320">
        <f t="shared" ca="1" si="57"/>
        <v>0</v>
      </c>
      <c r="BA42" s="320">
        <f t="shared" si="70"/>
        <v>0</v>
      </c>
      <c r="BB42" s="321">
        <f t="shared" ca="1" si="71"/>
        <v>0</v>
      </c>
      <c r="BC42" s="319">
        <f t="shared" ca="1" si="72"/>
        <v>1</v>
      </c>
      <c r="BD42" s="320">
        <f t="shared" ca="1" si="60"/>
        <v>0</v>
      </c>
      <c r="BE42" s="320">
        <f t="shared" ca="1" si="61"/>
        <v>0</v>
      </c>
      <c r="BF42" s="320">
        <f t="shared" ca="1" si="62"/>
        <v>0</v>
      </c>
      <c r="BG42" s="320">
        <f t="shared" ca="1" si="63"/>
        <v>0</v>
      </c>
      <c r="BH42" s="321">
        <f t="shared" ca="1" si="64"/>
        <v>0</v>
      </c>
      <c r="BJ42" s="520"/>
    </row>
    <row r="43" spans="1:62" x14ac:dyDescent="0.2">
      <c r="A43" s="325">
        <v>2026</v>
      </c>
      <c r="B43" s="806">
        <f t="shared" si="73"/>
        <v>70000</v>
      </c>
      <c r="C43" s="807">
        <f t="shared" si="73"/>
        <v>999999</v>
      </c>
      <c r="D43" s="807">
        <f t="shared" si="73"/>
        <v>999999</v>
      </c>
      <c r="E43" s="807">
        <f t="shared" si="73"/>
        <v>999999</v>
      </c>
      <c r="F43" s="807">
        <f t="shared" si="73"/>
        <v>999999</v>
      </c>
      <c r="G43" s="808">
        <f t="shared" si="73"/>
        <v>999999</v>
      </c>
      <c r="H43" s="749">
        <f t="shared" si="74"/>
        <v>1</v>
      </c>
      <c r="I43" s="750">
        <f t="shared" si="74"/>
        <v>0.91694250965700719</v>
      </c>
      <c r="J43" s="750">
        <f t="shared" si="74"/>
        <v>1</v>
      </c>
      <c r="K43" s="750">
        <f t="shared" si="74"/>
        <v>1</v>
      </c>
      <c r="L43" s="750">
        <f t="shared" si="74"/>
        <v>0.84898638119455849</v>
      </c>
      <c r="M43" s="751">
        <f t="shared" si="74"/>
        <v>1</v>
      </c>
      <c r="N43" s="284">
        <f t="shared" si="28"/>
        <v>8688.2872192999566</v>
      </c>
      <c r="O43" s="285">
        <f t="shared" si="29"/>
        <v>7878.1865542536707</v>
      </c>
      <c r="P43" s="285">
        <f t="shared" si="30"/>
        <v>6525.3695866642965</v>
      </c>
      <c r="Q43" s="285">
        <f t="shared" si="31"/>
        <v>8688.2872192999566</v>
      </c>
      <c r="R43" s="285">
        <f t="shared" si="32"/>
        <v>23724.455998141042</v>
      </c>
      <c r="S43" s="287">
        <f t="shared" si="33"/>
        <v>19487.014821962166</v>
      </c>
      <c r="T43" s="697">
        <f t="shared" si="65"/>
        <v>810.10066504628594</v>
      </c>
      <c r="U43" s="285">
        <f t="shared" si="66"/>
        <v>2162.9176326356601</v>
      </c>
      <c r="V43" s="285">
        <f t="shared" si="67"/>
        <v>0</v>
      </c>
      <c r="W43" s="285">
        <f t="shared" si="68"/>
        <v>-15036.168778841085</v>
      </c>
      <c r="X43" s="286">
        <f t="shared" si="69"/>
        <v>-10798.727602662209</v>
      </c>
      <c r="Y43" s="288">
        <f ca="1">IF(AND(Y$22=TRUE,INDEX(CDRANGE_CLS1,MATCH($A43,$A$24:$A$67,0),MATCH(Y$20,$B$20:$G$20,0))&lt;$D$6/OPDAYS_Cls1),86,payback(C43,T43,disc_rate/12,85))</f>
        <v>86</v>
      </c>
      <c r="Z43" s="289">
        <f ca="1">IF(AND(Z$22=TRUE,INDEX(CDRANGE_CLS1,MATCH($A43,$A$24:$A$67,0),MATCH(Z$20,$B$20:$G$20,0))&lt;$D$6/OPDAYS_Cls1),86,payback(D43,U43,disc_rate/12,85))</f>
        <v>86</v>
      </c>
      <c r="AA43" s="289">
        <f ca="1">IF(AND(AA$22=TRUE,INDEX(CDRANGE_CLS1,MATCH($A43,$A$24:$A$67,0),MATCH(AA$20,$B$20:$G$20,0))&lt;$D$6/OPDAYS_Cls1),86,payback(E43,V43,disc_rate/12,85))</f>
        <v>86</v>
      </c>
      <c r="AB43" s="289">
        <f>IF(AND(AB$22=TRUE,INDEX(CDRANGE_CLS1,MATCH($A43,$A$24:$A$67,0),MATCH(AB$20,$B$20:$G$20,0))&lt;$D$6/OPDAYS_Cls1),86,payback(F43,W43,disc_rate/12,85))</f>
        <v>86</v>
      </c>
      <c r="AC43" s="581">
        <f ca="1">IF(AND(AC$22=TRUE,INDEX(CDRANGE_CLS1,MATCH($A43,$A$24:$A$67,0),MATCH(AC$20,$B$20:$G$20,0))&lt;$D$6/OPDAYS_Cls1),86,payback(G43,X43,disc_rate/12,85))</f>
        <v>86</v>
      </c>
      <c r="AD43" s="291">
        <f t="shared" si="35"/>
        <v>0</v>
      </c>
      <c r="AE43" s="292">
        <f t="shared" si="36"/>
        <v>0</v>
      </c>
      <c r="AF43" s="292">
        <f t="shared" si="37"/>
        <v>0</v>
      </c>
      <c r="AG43" s="292">
        <f t="shared" si="38"/>
        <v>0</v>
      </c>
      <c r="AH43" s="293">
        <f t="shared" si="39"/>
        <v>0</v>
      </c>
      <c r="AI43" s="1080">
        <f t="shared" si="40"/>
        <v>0.47310585786300052</v>
      </c>
      <c r="AJ43" s="1081">
        <f t="shared" si="41"/>
        <v>0.21422776195327004</v>
      </c>
      <c r="AK43" s="1081">
        <f t="shared" si="42"/>
        <v>0.5</v>
      </c>
      <c r="AL43" s="1081">
        <f t="shared" si="43"/>
        <v>0.11782847031091957</v>
      </c>
      <c r="AM43" s="1094">
        <f t="shared" si="44"/>
        <v>0</v>
      </c>
      <c r="AN43" s="294">
        <f t="shared" si="45"/>
        <v>0</v>
      </c>
      <c r="AO43" s="295">
        <f t="shared" si="46"/>
        <v>0</v>
      </c>
      <c r="AP43" s="295">
        <f t="shared" si="47"/>
        <v>0</v>
      </c>
      <c r="AQ43" s="295">
        <f t="shared" si="48"/>
        <v>0</v>
      </c>
      <c r="AR43" s="582">
        <f t="shared" si="49"/>
        <v>0</v>
      </c>
      <c r="AS43" s="291">
        <f t="shared" ca="1" si="50"/>
        <v>0</v>
      </c>
      <c r="AT43" s="292">
        <f t="shared" ca="1" si="51"/>
        <v>0</v>
      </c>
      <c r="AU43" s="292">
        <f t="shared" ca="1" si="52"/>
        <v>0</v>
      </c>
      <c r="AV43" s="292">
        <f t="shared" si="53"/>
        <v>0</v>
      </c>
      <c r="AW43" s="293">
        <f t="shared" ca="1" si="54"/>
        <v>0</v>
      </c>
      <c r="AX43" s="291">
        <f t="shared" ca="1" si="55"/>
        <v>0</v>
      </c>
      <c r="AY43" s="292">
        <f t="shared" ca="1" si="56"/>
        <v>0</v>
      </c>
      <c r="AZ43" s="292">
        <f t="shared" ca="1" si="57"/>
        <v>0</v>
      </c>
      <c r="BA43" s="292">
        <f t="shared" si="70"/>
        <v>0</v>
      </c>
      <c r="BB43" s="293">
        <f t="shared" ca="1" si="71"/>
        <v>0</v>
      </c>
      <c r="BC43" s="291">
        <f t="shared" ca="1" si="72"/>
        <v>1</v>
      </c>
      <c r="BD43" s="292">
        <f t="shared" ca="1" si="60"/>
        <v>0</v>
      </c>
      <c r="BE43" s="292">
        <f t="shared" ca="1" si="61"/>
        <v>0</v>
      </c>
      <c r="BF43" s="292">
        <f t="shared" ca="1" si="62"/>
        <v>0</v>
      </c>
      <c r="BG43" s="292">
        <f t="shared" ca="1" si="63"/>
        <v>0</v>
      </c>
      <c r="BH43" s="293">
        <f t="shared" ca="1" si="64"/>
        <v>0</v>
      </c>
    </row>
    <row r="44" spans="1:62" x14ac:dyDescent="0.2">
      <c r="A44" s="326">
        <v>2027</v>
      </c>
      <c r="B44" s="800">
        <f t="shared" ref="B44:G53" si="75">ROUND(INDEX(COST_Cls1,$A44-($A$24-1),MATCH(B$20,TECHOPTS_Cls1,0)),2)</f>
        <v>70000</v>
      </c>
      <c r="C44" s="801">
        <f t="shared" si="75"/>
        <v>999999</v>
      </c>
      <c r="D44" s="801">
        <f t="shared" si="75"/>
        <v>999999</v>
      </c>
      <c r="E44" s="801">
        <f t="shared" si="75"/>
        <v>999999</v>
      </c>
      <c r="F44" s="801">
        <f t="shared" si="75"/>
        <v>999999</v>
      </c>
      <c r="G44" s="802">
        <f t="shared" si="75"/>
        <v>999999</v>
      </c>
      <c r="H44" s="743">
        <f t="shared" ref="H44:M53" si="76">MAX(1-INDEX(CDRANGE_CLS1,$A44-($A$24-1),MATCH(H$20,TECHOPTS_Cls1,0))*OPDAYS_Cls1/$D$6,0)</f>
        <v>1</v>
      </c>
      <c r="I44" s="744">
        <f t="shared" si="76"/>
        <v>0.91611193475357722</v>
      </c>
      <c r="J44" s="744">
        <f t="shared" si="76"/>
        <v>1</v>
      </c>
      <c r="K44" s="744">
        <f t="shared" si="76"/>
        <v>1</v>
      </c>
      <c r="L44" s="744">
        <f t="shared" si="76"/>
        <v>0.84747624500650409</v>
      </c>
      <c r="M44" s="745">
        <f t="shared" si="76"/>
        <v>1</v>
      </c>
      <c r="N44" s="284">
        <f t="shared" si="28"/>
        <v>8708.2025918605141</v>
      </c>
      <c r="O44" s="285">
        <f t="shared" si="29"/>
        <v>7883.496707210641</v>
      </c>
      <c r="P44" s="285">
        <f t="shared" si="30"/>
        <v>6433.2585967680907</v>
      </c>
      <c r="Q44" s="285">
        <f t="shared" si="31"/>
        <v>8708.2025918605141</v>
      </c>
      <c r="R44" s="285">
        <f t="shared" si="32"/>
        <v>23850.880263502931</v>
      </c>
      <c r="S44" s="287">
        <f t="shared" si="33"/>
        <v>19142.880027695825</v>
      </c>
      <c r="T44" s="698">
        <f t="shared" si="65"/>
        <v>824.70588464987304</v>
      </c>
      <c r="U44" s="299">
        <f t="shared" si="66"/>
        <v>2274.9439950924234</v>
      </c>
      <c r="V44" s="299">
        <f t="shared" si="67"/>
        <v>0</v>
      </c>
      <c r="W44" s="299">
        <f t="shared" si="68"/>
        <v>-15142.677671642417</v>
      </c>
      <c r="X44" s="300">
        <f t="shared" si="69"/>
        <v>-10434.67743583531</v>
      </c>
      <c r="Y44" s="302">
        <f ca="1">IF(AND(Y$22=TRUE,INDEX(CDRANGE_CLS1,MATCH($A44,$A$24:$A$67,0),MATCH(Y$20,$B$20:$G$20,0))&lt;$D$6/OPDAYS_Cls1),86,payback(C44,T44,disc_rate/12,85))</f>
        <v>86</v>
      </c>
      <c r="Z44" s="303">
        <f ca="1">IF(AND(Z$22=TRUE,INDEX(CDRANGE_CLS1,MATCH($A44,$A$24:$A$67,0),MATCH(Z$20,$B$20:$G$20,0))&lt;$D$6/OPDAYS_Cls1),86,payback(D44,U44,disc_rate/12,85))</f>
        <v>86</v>
      </c>
      <c r="AA44" s="303">
        <f ca="1">IF(AND(AA$22=TRUE,INDEX(CDRANGE_CLS1,MATCH($A44,$A$24:$A$67,0),MATCH(AA$20,$B$20:$G$20,0))&lt;$D$6/OPDAYS_Cls1),86,payback(E44,V44,disc_rate/12,85))</f>
        <v>86</v>
      </c>
      <c r="AB44" s="303">
        <f>IF(AND(AB$22=TRUE,INDEX(CDRANGE_CLS1,MATCH($A44,$A$24:$A$67,0),MATCH(AB$20,$B$20:$G$20,0))&lt;$D$6/OPDAYS_Cls1),86,payback(F44,W44,disc_rate/12,85))</f>
        <v>86</v>
      </c>
      <c r="AC44" s="567">
        <f ca="1">IF(AND(AC$22=TRUE,INDEX(CDRANGE_CLS1,MATCH($A44,$A$24:$A$67,0),MATCH(AC$20,$B$20:$G$20,0))&lt;$D$6/OPDAYS_Cls1),86,payback(G44,X44,disc_rate/12,85))</f>
        <v>86</v>
      </c>
      <c r="AD44" s="305">
        <f t="shared" si="35"/>
        <v>0</v>
      </c>
      <c r="AE44" s="306">
        <f t="shared" si="36"/>
        <v>0</v>
      </c>
      <c r="AF44" s="306">
        <f t="shared" si="37"/>
        <v>0</v>
      </c>
      <c r="AG44" s="306">
        <f t="shared" si="38"/>
        <v>0</v>
      </c>
      <c r="AH44" s="307">
        <f t="shared" si="39"/>
        <v>0</v>
      </c>
      <c r="AI44" s="1083">
        <f t="shared" si="40"/>
        <v>0.48807970779778825</v>
      </c>
      <c r="AJ44" s="1084">
        <f t="shared" si="41"/>
        <v>0.23576087660663528</v>
      </c>
      <c r="AK44" s="1084">
        <f t="shared" si="42"/>
        <v>0.5</v>
      </c>
      <c r="AL44" s="1084">
        <f t="shared" si="43"/>
        <v>0.15468482924748414</v>
      </c>
      <c r="AM44" s="1092">
        <f t="shared" si="44"/>
        <v>0</v>
      </c>
      <c r="AN44" s="308">
        <f t="shared" si="45"/>
        <v>0</v>
      </c>
      <c r="AO44" s="309">
        <f t="shared" si="46"/>
        <v>0</v>
      </c>
      <c r="AP44" s="309">
        <f t="shared" si="47"/>
        <v>0</v>
      </c>
      <c r="AQ44" s="309">
        <f t="shared" si="48"/>
        <v>0</v>
      </c>
      <c r="AR44" s="570">
        <f t="shared" si="49"/>
        <v>0</v>
      </c>
      <c r="AS44" s="305">
        <f t="shared" ca="1" si="50"/>
        <v>0</v>
      </c>
      <c r="AT44" s="306">
        <f t="shared" ca="1" si="51"/>
        <v>0</v>
      </c>
      <c r="AU44" s="306">
        <f t="shared" ca="1" si="52"/>
        <v>0</v>
      </c>
      <c r="AV44" s="306">
        <f t="shared" si="53"/>
        <v>0</v>
      </c>
      <c r="AW44" s="307">
        <f t="shared" ca="1" si="54"/>
        <v>0</v>
      </c>
      <c r="AX44" s="305">
        <f t="shared" ca="1" si="55"/>
        <v>0</v>
      </c>
      <c r="AY44" s="306">
        <f t="shared" ca="1" si="56"/>
        <v>0</v>
      </c>
      <c r="AZ44" s="306">
        <f t="shared" ca="1" si="57"/>
        <v>0</v>
      </c>
      <c r="BA44" s="306">
        <f t="shared" si="70"/>
        <v>0</v>
      </c>
      <c r="BB44" s="307">
        <f t="shared" ca="1" si="71"/>
        <v>0</v>
      </c>
      <c r="BC44" s="305">
        <f t="shared" ca="1" si="72"/>
        <v>1</v>
      </c>
      <c r="BD44" s="306">
        <f t="shared" ca="1" si="60"/>
        <v>0</v>
      </c>
      <c r="BE44" s="306">
        <f t="shared" ca="1" si="61"/>
        <v>0</v>
      </c>
      <c r="BF44" s="306">
        <f t="shared" ca="1" si="62"/>
        <v>0</v>
      </c>
      <c r="BG44" s="306">
        <f t="shared" ca="1" si="63"/>
        <v>0</v>
      </c>
      <c r="BH44" s="307">
        <f t="shared" ca="1" si="64"/>
        <v>0</v>
      </c>
    </row>
    <row r="45" spans="1:62" x14ac:dyDescent="0.2">
      <c r="A45" s="326">
        <v>2028</v>
      </c>
      <c r="B45" s="800">
        <f t="shared" si="75"/>
        <v>70000</v>
      </c>
      <c r="C45" s="801">
        <f t="shared" si="75"/>
        <v>999999</v>
      </c>
      <c r="D45" s="801">
        <f t="shared" si="75"/>
        <v>999999</v>
      </c>
      <c r="E45" s="801">
        <f t="shared" si="75"/>
        <v>999999</v>
      </c>
      <c r="F45" s="801">
        <f t="shared" si="75"/>
        <v>999999</v>
      </c>
      <c r="G45" s="802">
        <f t="shared" si="75"/>
        <v>999999</v>
      </c>
      <c r="H45" s="743">
        <f t="shared" si="76"/>
        <v>1</v>
      </c>
      <c r="I45" s="744">
        <f t="shared" si="76"/>
        <v>0.91527305410111304</v>
      </c>
      <c r="J45" s="744">
        <f t="shared" si="76"/>
        <v>1</v>
      </c>
      <c r="K45" s="744">
        <f t="shared" si="76"/>
        <v>1</v>
      </c>
      <c r="L45" s="744">
        <f t="shared" si="76"/>
        <v>0.84595100745656915</v>
      </c>
      <c r="M45" s="745">
        <f t="shared" si="76"/>
        <v>1</v>
      </c>
      <c r="N45" s="284">
        <f t="shared" si="28"/>
        <v>8840.6371131579781</v>
      </c>
      <c r="O45" s="285">
        <f t="shared" si="29"/>
        <v>7964.577421316254</v>
      </c>
      <c r="P45" s="285">
        <f t="shared" si="30"/>
        <v>6425.3421340707237</v>
      </c>
      <c r="Q45" s="285">
        <f t="shared" si="31"/>
        <v>8840.6371131579781</v>
      </c>
      <c r="R45" s="285">
        <f t="shared" si="32"/>
        <v>23774.074846975836</v>
      </c>
      <c r="S45" s="287">
        <f t="shared" si="33"/>
        <v>18800.665506257159</v>
      </c>
      <c r="T45" s="698">
        <f t="shared" si="65"/>
        <v>876.05969184172409</v>
      </c>
      <c r="U45" s="299">
        <f t="shared" si="66"/>
        <v>2415.2949790872544</v>
      </c>
      <c r="V45" s="299">
        <f t="shared" si="67"/>
        <v>0</v>
      </c>
      <c r="W45" s="299">
        <f t="shared" si="68"/>
        <v>-14933.437733817858</v>
      </c>
      <c r="X45" s="300">
        <f t="shared" si="69"/>
        <v>-9960.0283930991809</v>
      </c>
      <c r="Y45" s="302">
        <f ca="1">IF(AND(Y$22=TRUE,INDEX(CDRANGE_CLS1,MATCH($A45,$A$24:$A$67,0),MATCH(Y$20,$B$20:$G$20,0))&lt;$D$6/OPDAYS_Cls1),86,payback(C45,T45,disc_rate/12,85))</f>
        <v>86</v>
      </c>
      <c r="Z45" s="303">
        <f ca="1">IF(AND(Z$22=TRUE,INDEX(CDRANGE_CLS1,MATCH($A45,$A$24:$A$67,0),MATCH(Z$20,$B$20:$G$20,0))&lt;$D$6/OPDAYS_Cls1),86,payback(D45,U45,disc_rate/12,85))</f>
        <v>86</v>
      </c>
      <c r="AA45" s="303">
        <f ca="1">IF(AND(AA$22=TRUE,INDEX(CDRANGE_CLS1,MATCH($A45,$A$24:$A$67,0),MATCH(AA$20,$B$20:$G$20,0))&lt;$D$6/OPDAYS_Cls1),86,payback(E45,V45,disc_rate/12,85))</f>
        <v>86</v>
      </c>
      <c r="AB45" s="303">
        <f>IF(AND(AB$22=TRUE,INDEX(CDRANGE_CLS1,MATCH($A45,$A$24:$A$67,0),MATCH(AB$20,$B$20:$G$20,0))&lt;$D$6/OPDAYS_Cls1),86,payback(F45,W45,disc_rate/12,85))</f>
        <v>86</v>
      </c>
      <c r="AC45" s="567">
        <f ca="1">IF(AND(AC$22=TRUE,INDEX(CDRANGE_CLS1,MATCH($A45,$A$24:$A$67,0),MATCH(AC$20,$B$20:$G$20,0))&lt;$D$6/OPDAYS_Cls1),86,payback(G45,X45,disc_rate/12,85))</f>
        <v>86</v>
      </c>
      <c r="AD45" s="305">
        <f t="shared" si="35"/>
        <v>0</v>
      </c>
      <c r="AE45" s="306">
        <f t="shared" si="36"/>
        <v>0</v>
      </c>
      <c r="AF45" s="306">
        <f t="shared" si="37"/>
        <v>0</v>
      </c>
      <c r="AG45" s="306">
        <f t="shared" si="38"/>
        <v>0</v>
      </c>
      <c r="AH45" s="307">
        <f t="shared" si="39"/>
        <v>0</v>
      </c>
      <c r="AI45" s="1083">
        <f t="shared" si="40"/>
        <v>0.49525741268224333</v>
      </c>
      <c r="AJ45" s="1084">
        <f t="shared" si="41"/>
        <v>0.28068242641099855</v>
      </c>
      <c r="AK45" s="1084">
        <f t="shared" si="42"/>
        <v>0.5</v>
      </c>
      <c r="AL45" s="1084">
        <f t="shared" si="43"/>
        <v>0.19608843988015573</v>
      </c>
      <c r="AM45" s="1092">
        <f t="shared" si="44"/>
        <v>0</v>
      </c>
      <c r="AN45" s="308">
        <f t="shared" si="45"/>
        <v>0</v>
      </c>
      <c r="AO45" s="309">
        <f t="shared" si="46"/>
        <v>0</v>
      </c>
      <c r="AP45" s="309">
        <f t="shared" si="47"/>
        <v>0</v>
      </c>
      <c r="AQ45" s="309">
        <f t="shared" si="48"/>
        <v>0</v>
      </c>
      <c r="AR45" s="570">
        <f t="shared" si="49"/>
        <v>0</v>
      </c>
      <c r="AS45" s="305">
        <f t="shared" ca="1" si="50"/>
        <v>0</v>
      </c>
      <c r="AT45" s="306">
        <f t="shared" ca="1" si="51"/>
        <v>0</v>
      </c>
      <c r="AU45" s="306">
        <f t="shared" ca="1" si="52"/>
        <v>0</v>
      </c>
      <c r="AV45" s="306">
        <f t="shared" si="53"/>
        <v>0</v>
      </c>
      <c r="AW45" s="307">
        <f t="shared" ca="1" si="54"/>
        <v>0</v>
      </c>
      <c r="AX45" s="305">
        <f t="shared" ca="1" si="55"/>
        <v>0</v>
      </c>
      <c r="AY45" s="306">
        <f t="shared" ca="1" si="56"/>
        <v>0</v>
      </c>
      <c r="AZ45" s="306">
        <f t="shared" ca="1" si="57"/>
        <v>0</v>
      </c>
      <c r="BA45" s="306">
        <f t="shared" si="70"/>
        <v>0</v>
      </c>
      <c r="BB45" s="307">
        <f t="shared" ca="1" si="71"/>
        <v>0</v>
      </c>
      <c r="BC45" s="305">
        <f t="shared" ca="1" si="72"/>
        <v>1</v>
      </c>
      <c r="BD45" s="306">
        <f t="shared" ca="1" si="60"/>
        <v>0</v>
      </c>
      <c r="BE45" s="306">
        <f t="shared" ca="1" si="61"/>
        <v>0</v>
      </c>
      <c r="BF45" s="306">
        <f t="shared" ca="1" si="62"/>
        <v>0</v>
      </c>
      <c r="BG45" s="306">
        <f t="shared" ca="1" si="63"/>
        <v>0</v>
      </c>
      <c r="BH45" s="307">
        <f t="shared" ca="1" si="64"/>
        <v>0</v>
      </c>
    </row>
    <row r="46" spans="1:62" x14ac:dyDescent="0.2">
      <c r="A46" s="326">
        <v>2029</v>
      </c>
      <c r="B46" s="800">
        <f t="shared" si="75"/>
        <v>70000</v>
      </c>
      <c r="C46" s="801">
        <f t="shared" si="75"/>
        <v>999999</v>
      </c>
      <c r="D46" s="801">
        <f t="shared" si="75"/>
        <v>999999</v>
      </c>
      <c r="E46" s="801">
        <f t="shared" si="75"/>
        <v>999999</v>
      </c>
      <c r="F46" s="801">
        <f t="shared" si="75"/>
        <v>999999</v>
      </c>
      <c r="G46" s="802">
        <f t="shared" si="75"/>
        <v>999999</v>
      </c>
      <c r="H46" s="743">
        <f t="shared" si="76"/>
        <v>1</v>
      </c>
      <c r="I46" s="744">
        <f t="shared" si="76"/>
        <v>0.91442578464212421</v>
      </c>
      <c r="J46" s="744">
        <f t="shared" si="76"/>
        <v>1</v>
      </c>
      <c r="K46" s="744">
        <f t="shared" si="76"/>
        <v>1</v>
      </c>
      <c r="L46" s="744">
        <f t="shared" si="76"/>
        <v>0.84441051753113483</v>
      </c>
      <c r="M46" s="745">
        <f t="shared" si="76"/>
        <v>1</v>
      </c>
      <c r="N46" s="284">
        <f t="shared" si="28"/>
        <v>8924.9808466744944</v>
      </c>
      <c r="O46" s="285">
        <f t="shared" si="29"/>
        <v>8003.8073422775278</v>
      </c>
      <c r="P46" s="285">
        <f t="shared" si="30"/>
        <v>6381.1669830957708</v>
      </c>
      <c r="Q46" s="285">
        <f t="shared" si="31"/>
        <v>8924.9808466744944</v>
      </c>
      <c r="R46" s="285">
        <f t="shared" si="32"/>
        <v>23653.286942348994</v>
      </c>
      <c r="S46" s="287">
        <f t="shared" si="33"/>
        <v>18464.73346083222</v>
      </c>
      <c r="T46" s="698">
        <f t="shared" si="65"/>
        <v>921.17350439696656</v>
      </c>
      <c r="U46" s="299">
        <f t="shared" si="66"/>
        <v>2543.8138635787236</v>
      </c>
      <c r="V46" s="299">
        <f t="shared" si="67"/>
        <v>0</v>
      </c>
      <c r="W46" s="299">
        <f t="shared" si="68"/>
        <v>-14728.306095674499</v>
      </c>
      <c r="X46" s="300">
        <f t="shared" si="69"/>
        <v>-9539.7526141577255</v>
      </c>
      <c r="Y46" s="302">
        <f ca="1">IF(AND(Y$22=TRUE,INDEX(CDRANGE_CLS1,MATCH($A46,$A$24:$A$67,0),MATCH(Y$20,$B$20:$G$20,0))&lt;$D$6/OPDAYS_Cls1),86,payback(C46,T46,disc_rate/12,85))</f>
        <v>86</v>
      </c>
      <c r="Z46" s="303">
        <f ca="1">IF(AND(Z$22=TRUE,INDEX(CDRANGE_CLS1,MATCH($A46,$A$24:$A$67,0),MATCH(Z$20,$B$20:$G$20,0))&lt;$D$6/OPDAYS_Cls1),86,payback(D46,U46,disc_rate/12,85))</f>
        <v>86</v>
      </c>
      <c r="AA46" s="303">
        <f ca="1">IF(AND(AA$22=TRUE,INDEX(CDRANGE_CLS1,MATCH($A46,$A$24:$A$67,0),MATCH(AA$20,$B$20:$G$20,0))&lt;$D$6/OPDAYS_Cls1),86,payback(E46,V46,disc_rate/12,85))</f>
        <v>86</v>
      </c>
      <c r="AB46" s="303">
        <f>IF(AND(AB$22=TRUE,INDEX(CDRANGE_CLS1,MATCH($A46,$A$24:$A$67,0),MATCH(AB$20,$B$20:$G$20,0))&lt;$D$6/OPDAYS_Cls1),86,payback(F46,W46,disc_rate/12,85))</f>
        <v>86</v>
      </c>
      <c r="AC46" s="567">
        <f ca="1">IF(AND(AC$22=TRUE,INDEX(CDRANGE_CLS1,MATCH($A46,$A$24:$A$67,0),MATCH(AC$20,$B$20:$G$20,0))&lt;$D$6/OPDAYS_Cls1),86,payback(G46,X46,disc_rate/12,85))</f>
        <v>86</v>
      </c>
      <c r="AD46" s="305">
        <f t="shared" si="35"/>
        <v>0</v>
      </c>
      <c r="AE46" s="306">
        <f t="shared" si="36"/>
        <v>0</v>
      </c>
      <c r="AF46" s="306">
        <f t="shared" si="37"/>
        <v>0</v>
      </c>
      <c r="AG46" s="306">
        <f t="shared" si="38"/>
        <v>0</v>
      </c>
      <c r="AH46" s="307">
        <f t="shared" si="39"/>
        <v>0</v>
      </c>
      <c r="AI46" s="1083">
        <f t="shared" si="40"/>
        <v>0.49820137900379086</v>
      </c>
      <c r="AJ46" s="1084">
        <f t="shared" si="41"/>
        <v>0.35</v>
      </c>
      <c r="AK46" s="1084">
        <f t="shared" si="42"/>
        <v>0.5</v>
      </c>
      <c r="AL46" s="1084">
        <f t="shared" si="43"/>
        <v>0.24056450476727415</v>
      </c>
      <c r="AM46" s="1092">
        <f t="shared" si="44"/>
        <v>0</v>
      </c>
      <c r="AN46" s="308">
        <f t="shared" si="45"/>
        <v>0</v>
      </c>
      <c r="AO46" s="309">
        <f t="shared" si="46"/>
        <v>0</v>
      </c>
      <c r="AP46" s="309">
        <f t="shared" si="47"/>
        <v>0</v>
      </c>
      <c r="AQ46" s="309">
        <f t="shared" si="48"/>
        <v>0</v>
      </c>
      <c r="AR46" s="570">
        <f t="shared" si="49"/>
        <v>0</v>
      </c>
      <c r="AS46" s="305">
        <f t="shared" ca="1" si="50"/>
        <v>0</v>
      </c>
      <c r="AT46" s="306">
        <f t="shared" ca="1" si="51"/>
        <v>0</v>
      </c>
      <c r="AU46" s="306">
        <f t="shared" ca="1" si="52"/>
        <v>0</v>
      </c>
      <c r="AV46" s="306">
        <f t="shared" si="53"/>
        <v>0</v>
      </c>
      <c r="AW46" s="307">
        <f t="shared" ca="1" si="54"/>
        <v>0</v>
      </c>
      <c r="AX46" s="305">
        <f t="shared" ca="1" si="55"/>
        <v>0</v>
      </c>
      <c r="AY46" s="306">
        <f t="shared" ca="1" si="56"/>
        <v>0</v>
      </c>
      <c r="AZ46" s="306">
        <f t="shared" ca="1" si="57"/>
        <v>0</v>
      </c>
      <c r="BA46" s="306">
        <f t="shared" si="70"/>
        <v>0</v>
      </c>
      <c r="BB46" s="307">
        <f t="shared" ca="1" si="71"/>
        <v>0</v>
      </c>
      <c r="BC46" s="305">
        <f t="shared" ca="1" si="72"/>
        <v>1</v>
      </c>
      <c r="BD46" s="306">
        <f t="shared" ca="1" si="60"/>
        <v>0</v>
      </c>
      <c r="BE46" s="306">
        <f t="shared" ca="1" si="61"/>
        <v>0</v>
      </c>
      <c r="BF46" s="306">
        <f t="shared" ca="1" si="62"/>
        <v>0</v>
      </c>
      <c r="BG46" s="306">
        <f t="shared" ca="1" si="63"/>
        <v>0</v>
      </c>
      <c r="BH46" s="307">
        <f t="shared" ca="1" si="64"/>
        <v>0</v>
      </c>
    </row>
    <row r="47" spans="1:62" ht="13.5" thickBot="1" x14ac:dyDescent="0.25">
      <c r="A47" s="588">
        <v>2030</v>
      </c>
      <c r="B47" s="794">
        <f t="shared" si="75"/>
        <v>70000</v>
      </c>
      <c r="C47" s="795">
        <f t="shared" si="75"/>
        <v>999999</v>
      </c>
      <c r="D47" s="795">
        <f t="shared" si="75"/>
        <v>999999</v>
      </c>
      <c r="E47" s="795">
        <f t="shared" si="75"/>
        <v>999999</v>
      </c>
      <c r="F47" s="795">
        <f t="shared" si="75"/>
        <v>999999</v>
      </c>
      <c r="G47" s="796">
        <f t="shared" si="75"/>
        <v>999999</v>
      </c>
      <c r="H47" s="737">
        <f t="shared" si="76"/>
        <v>1</v>
      </c>
      <c r="I47" s="738">
        <f t="shared" si="76"/>
        <v>0.91357004248854534</v>
      </c>
      <c r="J47" s="738">
        <f t="shared" si="76"/>
        <v>1</v>
      </c>
      <c r="K47" s="738">
        <f t="shared" si="76"/>
        <v>1</v>
      </c>
      <c r="L47" s="738">
        <f t="shared" si="76"/>
        <v>0.84285462270644618</v>
      </c>
      <c r="M47" s="739">
        <f t="shared" si="76"/>
        <v>1</v>
      </c>
      <c r="N47" s="758">
        <f t="shared" si="28"/>
        <v>9111.366007306593</v>
      </c>
      <c r="O47" s="759">
        <f t="shared" si="29"/>
        <v>8120.4195177316315</v>
      </c>
      <c r="P47" s="759">
        <f t="shared" si="30"/>
        <v>6411.3062779022976</v>
      </c>
      <c r="Q47" s="759">
        <f t="shared" si="31"/>
        <v>9111.366007306593</v>
      </c>
      <c r="R47" s="759">
        <f t="shared" si="32"/>
        <v>23515.005770739965</v>
      </c>
      <c r="S47" s="760">
        <f t="shared" si="33"/>
        <v>18125.400243194734</v>
      </c>
      <c r="T47" s="699">
        <f t="shared" si="65"/>
        <v>990.94648957496156</v>
      </c>
      <c r="U47" s="589">
        <f t="shared" si="66"/>
        <v>2700.0597294042955</v>
      </c>
      <c r="V47" s="589">
        <f t="shared" si="67"/>
        <v>0</v>
      </c>
      <c r="W47" s="589">
        <f t="shared" si="68"/>
        <v>-14403.639763433372</v>
      </c>
      <c r="X47" s="590">
        <f t="shared" si="69"/>
        <v>-9014.0342358881408</v>
      </c>
      <c r="Y47" s="591">
        <f ca="1">IF(AND(Y$22=TRUE,INDEX(CDRANGE_CLS1,MATCH($A47,$A$24:$A$67,0),MATCH(Y$20,$B$20:$G$20,0))&lt;$D$6/OPDAYS_Cls1),86,payback(C47,T47,disc_rate/12,85))</f>
        <v>86</v>
      </c>
      <c r="Z47" s="592">
        <f ca="1">IF(AND(Z$22=TRUE,INDEX(CDRANGE_CLS1,MATCH($A47,$A$24:$A$67,0),MATCH(Z$20,$B$20:$G$20,0))&lt;$D$6/OPDAYS_Cls1),86,payback(D47,U47,disc_rate/12,85))</f>
        <v>86</v>
      </c>
      <c r="AA47" s="592">
        <f ca="1">IF(AND(AA$22=TRUE,INDEX(CDRANGE_CLS1,MATCH($A47,$A$24:$A$67,0),MATCH(AA$20,$B$20:$G$20,0))&lt;$D$6/OPDAYS_Cls1),86,payback(E47,V47,disc_rate/12,85))</f>
        <v>86</v>
      </c>
      <c r="AB47" s="592">
        <f>IF(AND(AB$22=TRUE,INDEX(CDRANGE_CLS1,MATCH($A47,$A$24:$A$67,0),MATCH(AB$20,$B$20:$G$20,0))&lt;$D$6/OPDAYS_Cls1),86,payback(F47,W47,disc_rate/12,85))</f>
        <v>86</v>
      </c>
      <c r="AC47" s="593">
        <f ca="1">IF(AND(AC$22=TRUE,INDEX(CDRANGE_CLS1,MATCH($A47,$A$24:$A$67,0),MATCH(AC$20,$B$20:$G$20,0))&lt;$D$6/OPDAYS_Cls1),86,payback(G47,X47,disc_rate/12,85))</f>
        <v>86</v>
      </c>
      <c r="AD47" s="594">
        <f t="shared" si="35"/>
        <v>0</v>
      </c>
      <c r="AE47" s="595">
        <f t="shared" si="36"/>
        <v>0</v>
      </c>
      <c r="AF47" s="595">
        <f t="shared" si="37"/>
        <v>0</v>
      </c>
      <c r="AG47" s="595">
        <f t="shared" si="38"/>
        <v>0</v>
      </c>
      <c r="AH47" s="596">
        <f t="shared" si="39"/>
        <v>0</v>
      </c>
      <c r="AI47" s="1095">
        <f t="shared" si="40"/>
        <v>0.49933071490757153</v>
      </c>
      <c r="AJ47" s="1096">
        <f t="shared" si="41"/>
        <v>0.41931757358900146</v>
      </c>
      <c r="AK47" s="1096">
        <f t="shared" si="42"/>
        <v>0.5</v>
      </c>
      <c r="AL47" s="1096">
        <f t="shared" si="43"/>
        <v>0.2861528433843149</v>
      </c>
      <c r="AM47" s="1097">
        <f t="shared" si="44"/>
        <v>7.6817243999055613E-5</v>
      </c>
      <c r="AN47" s="599">
        <f t="shared" si="45"/>
        <v>0</v>
      </c>
      <c r="AO47" s="597">
        <f t="shared" si="46"/>
        <v>0</v>
      </c>
      <c r="AP47" s="597">
        <f t="shared" si="47"/>
        <v>0</v>
      </c>
      <c r="AQ47" s="597">
        <f t="shared" si="48"/>
        <v>0</v>
      </c>
      <c r="AR47" s="598">
        <f t="shared" si="49"/>
        <v>0</v>
      </c>
      <c r="AS47" s="594">
        <f t="shared" ca="1" si="50"/>
        <v>0</v>
      </c>
      <c r="AT47" s="595">
        <f t="shared" ca="1" si="51"/>
        <v>0</v>
      </c>
      <c r="AU47" s="595">
        <f t="shared" ca="1" si="52"/>
        <v>0</v>
      </c>
      <c r="AV47" s="595">
        <f t="shared" si="53"/>
        <v>0</v>
      </c>
      <c r="AW47" s="596">
        <f t="shared" ca="1" si="54"/>
        <v>0</v>
      </c>
      <c r="AX47" s="594">
        <f t="shared" ca="1" si="55"/>
        <v>0</v>
      </c>
      <c r="AY47" s="595">
        <f t="shared" ca="1" si="56"/>
        <v>0</v>
      </c>
      <c r="AZ47" s="595">
        <f t="shared" ca="1" si="57"/>
        <v>0</v>
      </c>
      <c r="BA47" s="595">
        <f t="shared" si="70"/>
        <v>0</v>
      </c>
      <c r="BB47" s="596">
        <f t="shared" ca="1" si="71"/>
        <v>0</v>
      </c>
      <c r="BC47" s="594">
        <f t="shared" ca="1" si="72"/>
        <v>1</v>
      </c>
      <c r="BD47" s="595">
        <f t="shared" ca="1" si="60"/>
        <v>0</v>
      </c>
      <c r="BE47" s="595">
        <f t="shared" ca="1" si="61"/>
        <v>0</v>
      </c>
      <c r="BF47" s="595">
        <f t="shared" ca="1" si="62"/>
        <v>0</v>
      </c>
      <c r="BG47" s="595">
        <f t="shared" ca="1" si="63"/>
        <v>0</v>
      </c>
      <c r="BH47" s="596">
        <f t="shared" ca="1" si="64"/>
        <v>0</v>
      </c>
    </row>
    <row r="48" spans="1:62" x14ac:dyDescent="0.2">
      <c r="A48" s="327">
        <v>2031</v>
      </c>
      <c r="B48" s="797">
        <f t="shared" si="75"/>
        <v>70000</v>
      </c>
      <c r="C48" s="798">
        <f t="shared" si="75"/>
        <v>999999</v>
      </c>
      <c r="D48" s="798">
        <f t="shared" si="75"/>
        <v>999999</v>
      </c>
      <c r="E48" s="798">
        <f t="shared" si="75"/>
        <v>999999</v>
      </c>
      <c r="F48" s="798">
        <f t="shared" si="75"/>
        <v>999999</v>
      </c>
      <c r="G48" s="799">
        <f t="shared" si="75"/>
        <v>999999</v>
      </c>
      <c r="H48" s="740">
        <f t="shared" si="76"/>
        <v>1</v>
      </c>
      <c r="I48" s="741">
        <f t="shared" si="76"/>
        <v>0.91270574291343087</v>
      </c>
      <c r="J48" s="741">
        <f t="shared" si="76"/>
        <v>1</v>
      </c>
      <c r="K48" s="741">
        <f t="shared" si="76"/>
        <v>1</v>
      </c>
      <c r="L48" s="741">
        <f t="shared" si="76"/>
        <v>0.84128316893351063</v>
      </c>
      <c r="M48" s="742">
        <f t="shared" si="76"/>
        <v>1</v>
      </c>
      <c r="N48" s="600">
        <f t="shared" si="28"/>
        <v>9213.5396200626255</v>
      </c>
      <c r="O48" s="601">
        <f t="shared" si="29"/>
        <v>8175.5560897953965</v>
      </c>
      <c r="P48" s="601">
        <f t="shared" si="30"/>
        <v>6382.319804908725</v>
      </c>
      <c r="Q48" s="601">
        <f t="shared" si="31"/>
        <v>9213.5396200626255</v>
      </c>
      <c r="R48" s="601">
        <f t="shared" si="32"/>
        <v>23436.354165580527</v>
      </c>
      <c r="S48" s="708">
        <f t="shared" si="33"/>
        <v>17785.624218689791</v>
      </c>
      <c r="T48" s="700">
        <f t="shared" si="65"/>
        <v>1037.9835302672291</v>
      </c>
      <c r="U48" s="601">
        <f t="shared" si="66"/>
        <v>2831.2198151539005</v>
      </c>
      <c r="V48" s="601">
        <f t="shared" si="67"/>
        <v>0</v>
      </c>
      <c r="W48" s="601">
        <f t="shared" si="68"/>
        <v>-14222.814545517902</v>
      </c>
      <c r="X48" s="602">
        <f t="shared" si="69"/>
        <v>-8572.0845986271652</v>
      </c>
      <c r="Y48" s="603">
        <f ca="1">IF(AND(Y$22=TRUE,INDEX(CDRANGE_CLS1,MATCH($A48,$A$24:$A$67,0),MATCH(Y$20,$B$20:$G$20,0))&lt;$D$6/OPDAYS_Cls1),86,payback(C48,T48,disc_rate/12,85))</f>
        <v>86</v>
      </c>
      <c r="Z48" s="604">
        <f ca="1">IF(AND(Z$22=TRUE,INDEX(CDRANGE_CLS1,MATCH($A48,$A$24:$A$67,0),MATCH(Z$20,$B$20:$G$20,0))&lt;$D$6/OPDAYS_Cls1),86,payback(D48,U48,disc_rate/12,85))</f>
        <v>86</v>
      </c>
      <c r="AA48" s="604">
        <f ca="1">IF(AND(AA$22=TRUE,INDEX(CDRANGE_CLS1,MATCH($A48,$A$24:$A$67,0),MATCH(AA$20,$B$20:$G$20,0))&lt;$D$6/OPDAYS_Cls1),86,payback(E48,V48,disc_rate/12,85))</f>
        <v>86</v>
      </c>
      <c r="AB48" s="604">
        <f>IF(AND(AB$22=TRUE,INDEX(CDRANGE_CLS1,MATCH($A48,$A$24:$A$67,0),MATCH(AB$20,$B$20:$G$20,0))&lt;$D$6/OPDAYS_Cls1),86,payback(F48,W48,disc_rate/12,85))</f>
        <v>86</v>
      </c>
      <c r="AC48" s="605">
        <f ca="1">IF(AND(AC$22=TRUE,INDEX(CDRANGE_CLS1,MATCH($A48,$A$24:$A$67,0),MATCH(AC$20,$B$20:$G$20,0))&lt;$D$6/OPDAYS_Cls1),86,payback(G48,X48,disc_rate/12,85))</f>
        <v>86</v>
      </c>
      <c r="AD48" s="606">
        <f t="shared" si="35"/>
        <v>0</v>
      </c>
      <c r="AE48" s="607">
        <f t="shared" si="36"/>
        <v>0</v>
      </c>
      <c r="AF48" s="607">
        <f t="shared" si="37"/>
        <v>0</v>
      </c>
      <c r="AG48" s="607">
        <f t="shared" si="38"/>
        <v>0</v>
      </c>
      <c r="AH48" s="608">
        <f t="shared" si="39"/>
        <v>0</v>
      </c>
      <c r="AI48" s="1089">
        <f t="shared" si="40"/>
        <v>0.49975273768433653</v>
      </c>
      <c r="AJ48" s="1090">
        <f t="shared" si="41"/>
        <v>0.46423912339336471</v>
      </c>
      <c r="AK48" s="1090">
        <f t="shared" si="42"/>
        <v>0.5</v>
      </c>
      <c r="AL48" s="1090">
        <f t="shared" si="43"/>
        <v>0.33061471070022669</v>
      </c>
      <c r="AM48" s="1091">
        <f t="shared" si="44"/>
        <v>2.2476973760690968E-4</v>
      </c>
      <c r="AN48" s="611">
        <f t="shared" si="45"/>
        <v>0</v>
      </c>
      <c r="AO48" s="609">
        <f t="shared" si="46"/>
        <v>0</v>
      </c>
      <c r="AP48" s="609">
        <f t="shared" si="47"/>
        <v>0</v>
      </c>
      <c r="AQ48" s="609">
        <f t="shared" si="48"/>
        <v>0</v>
      </c>
      <c r="AR48" s="610">
        <f t="shared" si="49"/>
        <v>0</v>
      </c>
      <c r="AS48" s="606">
        <f t="shared" ca="1" si="50"/>
        <v>0</v>
      </c>
      <c r="AT48" s="607">
        <f t="shared" ca="1" si="51"/>
        <v>0</v>
      </c>
      <c r="AU48" s="607">
        <f t="shared" ca="1" si="52"/>
        <v>0</v>
      </c>
      <c r="AV48" s="607">
        <f t="shared" si="53"/>
        <v>0</v>
      </c>
      <c r="AW48" s="608">
        <f t="shared" ca="1" si="54"/>
        <v>0</v>
      </c>
      <c r="AX48" s="606">
        <f t="shared" ca="1" si="55"/>
        <v>0</v>
      </c>
      <c r="AY48" s="607">
        <f t="shared" ca="1" si="56"/>
        <v>0</v>
      </c>
      <c r="AZ48" s="607">
        <f t="shared" ca="1" si="57"/>
        <v>0</v>
      </c>
      <c r="BA48" s="607">
        <f t="shared" si="70"/>
        <v>0</v>
      </c>
      <c r="BB48" s="608">
        <f t="shared" ca="1" si="71"/>
        <v>0</v>
      </c>
      <c r="BC48" s="606">
        <f t="shared" ca="1" si="72"/>
        <v>1</v>
      </c>
      <c r="BD48" s="607">
        <f t="shared" ca="1" si="60"/>
        <v>0</v>
      </c>
      <c r="BE48" s="607">
        <f t="shared" ca="1" si="61"/>
        <v>0</v>
      </c>
      <c r="BF48" s="607">
        <f t="shared" ca="1" si="62"/>
        <v>0</v>
      </c>
      <c r="BG48" s="607">
        <f t="shared" ca="1" si="63"/>
        <v>0</v>
      </c>
      <c r="BH48" s="608">
        <f t="shared" ca="1" si="64"/>
        <v>0</v>
      </c>
    </row>
    <row r="49" spans="1:60" x14ac:dyDescent="0.2">
      <c r="A49" s="326">
        <v>2032</v>
      </c>
      <c r="B49" s="800">
        <f t="shared" si="75"/>
        <v>70000</v>
      </c>
      <c r="C49" s="801">
        <f t="shared" si="75"/>
        <v>999999</v>
      </c>
      <c r="D49" s="801">
        <f t="shared" si="75"/>
        <v>999999</v>
      </c>
      <c r="E49" s="801">
        <f t="shared" si="75"/>
        <v>999999</v>
      </c>
      <c r="F49" s="801">
        <f t="shared" si="75"/>
        <v>999999</v>
      </c>
      <c r="G49" s="802">
        <f t="shared" si="75"/>
        <v>999999</v>
      </c>
      <c r="H49" s="743">
        <f t="shared" si="76"/>
        <v>1</v>
      </c>
      <c r="I49" s="744">
        <f t="shared" si="76"/>
        <v>0.9118328003425652</v>
      </c>
      <c r="J49" s="744">
        <f t="shared" si="76"/>
        <v>1</v>
      </c>
      <c r="K49" s="744">
        <f t="shared" si="76"/>
        <v>1</v>
      </c>
      <c r="L49" s="744">
        <f t="shared" si="76"/>
        <v>0.83969600062284577</v>
      </c>
      <c r="M49" s="745">
        <f t="shared" si="76"/>
        <v>1</v>
      </c>
      <c r="N49" s="284">
        <f t="shared" si="28"/>
        <v>9279.4550808304793</v>
      </c>
      <c r="O49" s="285">
        <f t="shared" si="29"/>
        <v>8204.7670631186156</v>
      </c>
      <c r="P49" s="285">
        <f t="shared" si="30"/>
        <v>6330.1403772792883</v>
      </c>
      <c r="Q49" s="285">
        <f t="shared" si="31"/>
        <v>9279.4550808304793</v>
      </c>
      <c r="R49" s="285">
        <f t="shared" si="32"/>
        <v>23377.935824727916</v>
      </c>
      <c r="S49" s="287">
        <f t="shared" si="33"/>
        <v>17444.050666345163</v>
      </c>
      <c r="T49" s="698">
        <f t="shared" si="65"/>
        <v>1074.6880177118637</v>
      </c>
      <c r="U49" s="299">
        <f t="shared" si="66"/>
        <v>2949.3147035511911</v>
      </c>
      <c r="V49" s="299">
        <f t="shared" si="67"/>
        <v>0</v>
      </c>
      <c r="W49" s="299">
        <f t="shared" si="68"/>
        <v>-14098.480743897437</v>
      </c>
      <c r="X49" s="300">
        <f t="shared" si="69"/>
        <v>-8164.595585514684</v>
      </c>
      <c r="Y49" s="302">
        <f ca="1">IF(AND(Y$22=TRUE,INDEX(CDRANGE_CLS1,MATCH($A49,$A$24:$A$67,0),MATCH(Y$20,$B$20:$G$20,0))&lt;$D$6/OPDAYS_Cls1),86,payback(C49,T49,disc_rate/12,85))</f>
        <v>86</v>
      </c>
      <c r="Z49" s="303">
        <f ca="1">IF(AND(Z$22=TRUE,INDEX(CDRANGE_CLS1,MATCH($A49,$A$24:$A$67,0),MATCH(Z$20,$B$20:$G$20,0))&lt;$D$6/OPDAYS_Cls1),86,payback(D49,U49,disc_rate/12,85))</f>
        <v>86</v>
      </c>
      <c r="AA49" s="303">
        <f ca="1">IF(AND(AA$22=TRUE,INDEX(CDRANGE_CLS1,MATCH($A49,$A$24:$A$67,0),MATCH(AA$20,$B$20:$G$20,0))&lt;$D$6/OPDAYS_Cls1),86,payback(E49,V49,disc_rate/12,85))</f>
        <v>86</v>
      </c>
      <c r="AB49" s="303">
        <f>IF(AND(AB$22=TRUE,INDEX(CDRANGE_CLS1,MATCH($A49,$A$24:$A$67,0),MATCH(AB$20,$B$20:$G$20,0))&lt;$D$6/OPDAYS_Cls1),86,payback(F49,W49,disc_rate/12,85))</f>
        <v>86</v>
      </c>
      <c r="AC49" s="567">
        <f ca="1">IF(AND(AC$22=TRUE,INDEX(CDRANGE_CLS1,MATCH($A49,$A$24:$A$67,0),MATCH(AC$20,$B$20:$G$20,0))&lt;$D$6/OPDAYS_Cls1),86,payback(G49,X49,disc_rate/12,85))</f>
        <v>86</v>
      </c>
      <c r="AD49" s="305">
        <f t="shared" si="35"/>
        <v>0</v>
      </c>
      <c r="AE49" s="306">
        <f t="shared" si="36"/>
        <v>0</v>
      </c>
      <c r="AF49" s="306">
        <f t="shared" si="37"/>
        <v>0</v>
      </c>
      <c r="AG49" s="306">
        <f t="shared" si="38"/>
        <v>0</v>
      </c>
      <c r="AH49" s="307">
        <f t="shared" si="39"/>
        <v>0</v>
      </c>
      <c r="AI49" s="1083">
        <f t="shared" si="40"/>
        <v>0.49990889488055995</v>
      </c>
      <c r="AJ49" s="1084">
        <f t="shared" si="41"/>
        <v>0.48577223804673003</v>
      </c>
      <c r="AK49" s="1084">
        <f t="shared" si="42"/>
        <v>0.5</v>
      </c>
      <c r="AL49" s="1084">
        <f t="shared" si="43"/>
        <v>0.37173234461173665</v>
      </c>
      <c r="AM49" s="1092">
        <f t="shared" si="44"/>
        <v>5.5163762472327182E-4</v>
      </c>
      <c r="AN49" s="308">
        <f t="shared" si="45"/>
        <v>0</v>
      </c>
      <c r="AO49" s="309">
        <f t="shared" si="46"/>
        <v>0</v>
      </c>
      <c r="AP49" s="309">
        <f t="shared" si="47"/>
        <v>0</v>
      </c>
      <c r="AQ49" s="309">
        <f t="shared" si="48"/>
        <v>0</v>
      </c>
      <c r="AR49" s="570">
        <f t="shared" si="49"/>
        <v>0</v>
      </c>
      <c r="AS49" s="305">
        <f t="shared" ca="1" si="50"/>
        <v>0</v>
      </c>
      <c r="AT49" s="306">
        <f t="shared" ca="1" si="51"/>
        <v>0</v>
      </c>
      <c r="AU49" s="306">
        <f t="shared" ca="1" si="52"/>
        <v>0</v>
      </c>
      <c r="AV49" s="306">
        <f t="shared" si="53"/>
        <v>0</v>
      </c>
      <c r="AW49" s="307">
        <f t="shared" ca="1" si="54"/>
        <v>0</v>
      </c>
      <c r="AX49" s="305">
        <f t="shared" ca="1" si="55"/>
        <v>0</v>
      </c>
      <c r="AY49" s="306">
        <f t="shared" ca="1" si="56"/>
        <v>0</v>
      </c>
      <c r="AZ49" s="306">
        <f t="shared" ca="1" si="57"/>
        <v>0</v>
      </c>
      <c r="BA49" s="306">
        <f t="shared" si="70"/>
        <v>0</v>
      </c>
      <c r="BB49" s="307">
        <f t="shared" ca="1" si="71"/>
        <v>0</v>
      </c>
      <c r="BC49" s="305">
        <f t="shared" ca="1" si="72"/>
        <v>1</v>
      </c>
      <c r="BD49" s="306">
        <f t="shared" ca="1" si="60"/>
        <v>0</v>
      </c>
      <c r="BE49" s="306">
        <f t="shared" ca="1" si="61"/>
        <v>0</v>
      </c>
      <c r="BF49" s="306">
        <f t="shared" ca="1" si="62"/>
        <v>0</v>
      </c>
      <c r="BG49" s="306">
        <f t="shared" ca="1" si="63"/>
        <v>0</v>
      </c>
      <c r="BH49" s="307">
        <f t="shared" ca="1" si="64"/>
        <v>0</v>
      </c>
    </row>
    <row r="50" spans="1:60" x14ac:dyDescent="0.2">
      <c r="A50" s="326">
        <v>2033</v>
      </c>
      <c r="B50" s="800">
        <f t="shared" si="75"/>
        <v>70000</v>
      </c>
      <c r="C50" s="801">
        <f t="shared" si="75"/>
        <v>999999</v>
      </c>
      <c r="D50" s="801">
        <f t="shared" si="75"/>
        <v>999999</v>
      </c>
      <c r="E50" s="801">
        <f t="shared" si="75"/>
        <v>999999</v>
      </c>
      <c r="F50" s="801">
        <f t="shared" si="75"/>
        <v>999999</v>
      </c>
      <c r="G50" s="802">
        <f t="shared" si="75"/>
        <v>999999</v>
      </c>
      <c r="H50" s="743">
        <f t="shared" si="76"/>
        <v>1</v>
      </c>
      <c r="I50" s="744">
        <f t="shared" si="76"/>
        <v>0.91095112834599079</v>
      </c>
      <c r="J50" s="744">
        <f t="shared" si="76"/>
        <v>1</v>
      </c>
      <c r="K50" s="744">
        <f t="shared" si="76"/>
        <v>1</v>
      </c>
      <c r="L50" s="744">
        <f t="shared" si="76"/>
        <v>0.83809296062907412</v>
      </c>
      <c r="M50" s="745">
        <f t="shared" si="76"/>
        <v>1</v>
      </c>
      <c r="N50" s="284">
        <f t="shared" si="28"/>
        <v>9429.4222586100095</v>
      </c>
      <c r="O50" s="285">
        <f t="shared" si="29"/>
        <v>8303.1314446704837</v>
      </c>
      <c r="P50" s="285">
        <f t="shared" si="30"/>
        <v>6334.9466196496751</v>
      </c>
      <c r="Q50" s="285">
        <f t="shared" si="31"/>
        <v>9429.4222586100095</v>
      </c>
      <c r="R50" s="285">
        <f t="shared" si="32"/>
        <v>23462.508831197363</v>
      </c>
      <c r="S50" s="287">
        <f t="shared" si="33"/>
        <v>17105.44770683167</v>
      </c>
      <c r="T50" s="698">
        <f t="shared" si="65"/>
        <v>1126.2908139395258</v>
      </c>
      <c r="U50" s="299">
        <f t="shared" si="66"/>
        <v>3094.4756389603344</v>
      </c>
      <c r="V50" s="299">
        <f t="shared" si="67"/>
        <v>0</v>
      </c>
      <c r="W50" s="299">
        <f t="shared" si="68"/>
        <v>-14033.086572587354</v>
      </c>
      <c r="X50" s="300">
        <f t="shared" si="69"/>
        <v>-7676.0254482216606</v>
      </c>
      <c r="Y50" s="302">
        <f ca="1">IF(AND(Y$22=TRUE,INDEX(CDRANGE_CLS1,MATCH($A50,$A$24:$A$67,0),MATCH(Y$20,$B$20:$G$20,0))&lt;$D$6/OPDAYS_Cls1),86,payback(C50,T50,disc_rate/12,85))</f>
        <v>86</v>
      </c>
      <c r="Z50" s="303">
        <f ca="1">IF(AND(Z$22=TRUE,INDEX(CDRANGE_CLS1,MATCH($A50,$A$24:$A$67,0),MATCH(Z$20,$B$20:$G$20,0))&lt;$D$6/OPDAYS_Cls1),86,payback(D50,U50,disc_rate/12,85))</f>
        <v>86</v>
      </c>
      <c r="AA50" s="303">
        <f ca="1">IF(AND(AA$22=TRUE,INDEX(CDRANGE_CLS1,MATCH($A50,$A$24:$A$67,0),MATCH(AA$20,$B$20:$G$20,0))&lt;$D$6/OPDAYS_Cls1),86,payback(E50,V50,disc_rate/12,85))</f>
        <v>86</v>
      </c>
      <c r="AB50" s="303">
        <f>IF(AND(AB$22=TRUE,INDEX(CDRANGE_CLS1,MATCH($A50,$A$24:$A$67,0),MATCH(AB$20,$B$20:$G$20,0))&lt;$D$6/OPDAYS_Cls1),86,payback(F50,W50,disc_rate/12,85))</f>
        <v>86</v>
      </c>
      <c r="AC50" s="567">
        <f ca="1">IF(AND(AC$22=TRUE,INDEX(CDRANGE_CLS1,MATCH($A50,$A$24:$A$67,0),MATCH(AC$20,$B$20:$G$20,0))&lt;$D$6/OPDAYS_Cls1),86,payback(G50,X50,disc_rate/12,85))</f>
        <v>86</v>
      </c>
      <c r="AD50" s="305">
        <f t="shared" si="35"/>
        <v>0</v>
      </c>
      <c r="AE50" s="306">
        <f t="shared" si="36"/>
        <v>0</v>
      </c>
      <c r="AF50" s="306">
        <f t="shared" si="37"/>
        <v>0</v>
      </c>
      <c r="AG50" s="306">
        <f t="shared" si="38"/>
        <v>0</v>
      </c>
      <c r="AH50" s="307">
        <f t="shared" si="39"/>
        <v>0</v>
      </c>
      <c r="AI50" s="1083">
        <f t="shared" si="40"/>
        <v>0.49996646498695335</v>
      </c>
      <c r="AJ50" s="1084">
        <f t="shared" si="41"/>
        <v>0.49460413701137251</v>
      </c>
      <c r="AK50" s="1084">
        <f t="shared" si="42"/>
        <v>0.5</v>
      </c>
      <c r="AL50" s="1084">
        <f t="shared" si="43"/>
        <v>0.40764425271656968</v>
      </c>
      <c r="AM50" s="1092">
        <f t="shared" si="44"/>
        <v>9.2969382375632671E-4</v>
      </c>
      <c r="AN50" s="308">
        <f t="shared" si="45"/>
        <v>0</v>
      </c>
      <c r="AO50" s="309">
        <f t="shared" si="46"/>
        <v>0</v>
      </c>
      <c r="AP50" s="309">
        <f t="shared" si="47"/>
        <v>0</v>
      </c>
      <c r="AQ50" s="309">
        <f t="shared" si="48"/>
        <v>0</v>
      </c>
      <c r="AR50" s="570">
        <f t="shared" si="49"/>
        <v>0</v>
      </c>
      <c r="AS50" s="305">
        <f t="shared" ca="1" si="50"/>
        <v>0</v>
      </c>
      <c r="AT50" s="306">
        <f t="shared" ca="1" si="51"/>
        <v>0</v>
      </c>
      <c r="AU50" s="306">
        <f t="shared" ca="1" si="52"/>
        <v>0</v>
      </c>
      <c r="AV50" s="306">
        <f t="shared" si="53"/>
        <v>0</v>
      </c>
      <c r="AW50" s="307">
        <f t="shared" ca="1" si="54"/>
        <v>0</v>
      </c>
      <c r="AX50" s="305">
        <f t="shared" ca="1" si="55"/>
        <v>0</v>
      </c>
      <c r="AY50" s="306">
        <f t="shared" ca="1" si="56"/>
        <v>0</v>
      </c>
      <c r="AZ50" s="306">
        <f t="shared" ca="1" si="57"/>
        <v>0</v>
      </c>
      <c r="BA50" s="306">
        <f t="shared" si="70"/>
        <v>0</v>
      </c>
      <c r="BB50" s="307">
        <f t="shared" ca="1" si="71"/>
        <v>0</v>
      </c>
      <c r="BC50" s="305">
        <f t="shared" ca="1" si="72"/>
        <v>1</v>
      </c>
      <c r="BD50" s="306">
        <f t="shared" ca="1" si="60"/>
        <v>0</v>
      </c>
      <c r="BE50" s="306">
        <f t="shared" ca="1" si="61"/>
        <v>0</v>
      </c>
      <c r="BF50" s="306">
        <f t="shared" ca="1" si="62"/>
        <v>0</v>
      </c>
      <c r="BG50" s="306">
        <f t="shared" ca="1" si="63"/>
        <v>0</v>
      </c>
      <c r="BH50" s="307">
        <f t="shared" ca="1" si="64"/>
        <v>0</v>
      </c>
    </row>
    <row r="51" spans="1:60" x14ac:dyDescent="0.2">
      <c r="A51" s="326">
        <v>2034</v>
      </c>
      <c r="B51" s="800">
        <f t="shared" si="75"/>
        <v>70000</v>
      </c>
      <c r="C51" s="801">
        <f t="shared" si="75"/>
        <v>999999</v>
      </c>
      <c r="D51" s="801">
        <f t="shared" si="75"/>
        <v>999999</v>
      </c>
      <c r="E51" s="801">
        <f t="shared" si="75"/>
        <v>999999</v>
      </c>
      <c r="F51" s="801">
        <f t="shared" si="75"/>
        <v>999999</v>
      </c>
      <c r="G51" s="802">
        <f t="shared" si="75"/>
        <v>999999</v>
      </c>
      <c r="H51" s="743">
        <f t="shared" si="76"/>
        <v>1</v>
      </c>
      <c r="I51" s="744">
        <f t="shared" si="76"/>
        <v>0.91006063962945072</v>
      </c>
      <c r="J51" s="744">
        <f t="shared" si="76"/>
        <v>1</v>
      </c>
      <c r="K51" s="744">
        <f t="shared" si="76"/>
        <v>1</v>
      </c>
      <c r="L51" s="744">
        <f t="shared" si="76"/>
        <v>0.83647389023536489</v>
      </c>
      <c r="M51" s="745">
        <f t="shared" si="76"/>
        <v>1</v>
      </c>
      <c r="N51" s="284">
        <f t="shared" si="28"/>
        <v>9503.0483320414387</v>
      </c>
      <c r="O51" s="285">
        <f t="shared" si="29"/>
        <v>8341.8785762839616</v>
      </c>
      <c r="P51" s="285">
        <f t="shared" si="30"/>
        <v>6291.1513333703078</v>
      </c>
      <c r="Q51" s="285">
        <f t="shared" si="31"/>
        <v>9503.0483320414387</v>
      </c>
      <c r="R51" s="285">
        <f t="shared" si="32"/>
        <v>23462.980645667565</v>
      </c>
      <c r="S51" s="287">
        <f t="shared" si="33"/>
        <v>16761.25937391389</v>
      </c>
      <c r="T51" s="698">
        <f t="shared" si="65"/>
        <v>1161.1697557574771</v>
      </c>
      <c r="U51" s="299">
        <f t="shared" si="66"/>
        <v>3211.8969986711309</v>
      </c>
      <c r="V51" s="299">
        <f t="shared" si="67"/>
        <v>0</v>
      </c>
      <c r="W51" s="299">
        <f t="shared" si="68"/>
        <v>-13959.932313626126</v>
      </c>
      <c r="X51" s="300">
        <f t="shared" si="69"/>
        <v>-7258.2110418724515</v>
      </c>
      <c r="Y51" s="302">
        <f ca="1">IF(AND(Y$22=TRUE,INDEX(CDRANGE_CLS1,MATCH($A51,$A$24:$A$67,0),MATCH(Y$20,$B$20:$G$20,0))&lt;$D$6/OPDAYS_Cls1),86,payback(C51,T51,disc_rate/12,85))</f>
        <v>86</v>
      </c>
      <c r="Z51" s="303">
        <f ca="1">IF(AND(Z$22=TRUE,INDEX(CDRANGE_CLS1,MATCH($A51,$A$24:$A$67,0),MATCH(Z$20,$B$20:$G$20,0))&lt;$D$6/OPDAYS_Cls1),86,payback(D51,U51,disc_rate/12,85))</f>
        <v>86</v>
      </c>
      <c r="AA51" s="303">
        <f ca="1">IF(AND(AA$22=TRUE,INDEX(CDRANGE_CLS1,MATCH($A51,$A$24:$A$67,0),MATCH(AA$20,$B$20:$G$20,0))&lt;$D$6/OPDAYS_Cls1),86,payback(E51,V51,disc_rate/12,85))</f>
        <v>86</v>
      </c>
      <c r="AB51" s="303">
        <f>IF(AND(AB$22=TRUE,INDEX(CDRANGE_CLS1,MATCH($A51,$A$24:$A$67,0),MATCH(AB$20,$B$20:$G$20,0))&lt;$D$6/OPDAYS_Cls1),86,payback(F51,W51,disc_rate/12,85))</f>
        <v>86</v>
      </c>
      <c r="AC51" s="567">
        <f ca="1">IF(AND(AC$22=TRUE,INDEX(CDRANGE_CLS1,MATCH($A51,$A$24:$A$67,0),MATCH(AC$20,$B$20:$G$20,0))&lt;$D$6/OPDAYS_Cls1),86,payback(G51,X51,disc_rate/12,85))</f>
        <v>86</v>
      </c>
      <c r="AD51" s="305">
        <f t="shared" si="35"/>
        <v>0</v>
      </c>
      <c r="AE51" s="306">
        <f t="shared" si="36"/>
        <v>0</v>
      </c>
      <c r="AF51" s="306">
        <f t="shared" si="37"/>
        <v>0</v>
      </c>
      <c r="AG51" s="306">
        <f t="shared" si="38"/>
        <v>0</v>
      </c>
      <c r="AH51" s="307">
        <f t="shared" si="39"/>
        <v>0</v>
      </c>
      <c r="AI51" s="1083">
        <f t="shared" si="40"/>
        <v>0.4999876605424014</v>
      </c>
      <c r="AJ51" s="1084">
        <f t="shared" si="41"/>
        <v>0.49799214472271458</v>
      </c>
      <c r="AK51" s="1084">
        <f t="shared" si="42"/>
        <v>0.5</v>
      </c>
      <c r="AL51" s="1084">
        <f t="shared" si="43"/>
        <v>0.42806015106271156</v>
      </c>
      <c r="AM51" s="1092">
        <f t="shared" si="44"/>
        <v>2.144697990304719E-3</v>
      </c>
      <c r="AN51" s="308">
        <f t="shared" si="45"/>
        <v>0</v>
      </c>
      <c r="AO51" s="309">
        <f t="shared" si="46"/>
        <v>0</v>
      </c>
      <c r="AP51" s="309">
        <f t="shared" si="47"/>
        <v>0</v>
      </c>
      <c r="AQ51" s="309">
        <f t="shared" si="48"/>
        <v>0</v>
      </c>
      <c r="AR51" s="570">
        <f t="shared" si="49"/>
        <v>0</v>
      </c>
      <c r="AS51" s="305">
        <f t="shared" ca="1" si="50"/>
        <v>0</v>
      </c>
      <c r="AT51" s="306">
        <f t="shared" ca="1" si="51"/>
        <v>0</v>
      </c>
      <c r="AU51" s="306">
        <f t="shared" ca="1" si="52"/>
        <v>0</v>
      </c>
      <c r="AV51" s="306">
        <f t="shared" si="53"/>
        <v>0</v>
      </c>
      <c r="AW51" s="307">
        <f t="shared" ca="1" si="54"/>
        <v>0</v>
      </c>
      <c r="AX51" s="305">
        <f t="shared" ca="1" si="55"/>
        <v>0</v>
      </c>
      <c r="AY51" s="306">
        <f t="shared" ca="1" si="56"/>
        <v>0</v>
      </c>
      <c r="AZ51" s="306">
        <f t="shared" ca="1" si="57"/>
        <v>0</v>
      </c>
      <c r="BA51" s="306">
        <f t="shared" si="70"/>
        <v>0</v>
      </c>
      <c r="BB51" s="307">
        <f t="shared" ca="1" si="71"/>
        <v>0</v>
      </c>
      <c r="BC51" s="305">
        <f t="shared" ca="1" si="72"/>
        <v>1</v>
      </c>
      <c r="BD51" s="306">
        <f t="shared" ca="1" si="60"/>
        <v>0</v>
      </c>
      <c r="BE51" s="306">
        <f t="shared" ca="1" si="61"/>
        <v>0</v>
      </c>
      <c r="BF51" s="306">
        <f t="shared" ca="1" si="62"/>
        <v>0</v>
      </c>
      <c r="BG51" s="306">
        <f t="shared" ca="1" si="63"/>
        <v>0</v>
      </c>
      <c r="BH51" s="307">
        <f t="shared" ca="1" si="64"/>
        <v>0</v>
      </c>
    </row>
    <row r="52" spans="1:60" ht="13.5" thickBot="1" x14ac:dyDescent="0.25">
      <c r="A52" s="311">
        <v>2035</v>
      </c>
      <c r="B52" s="803">
        <f t="shared" si="75"/>
        <v>70000</v>
      </c>
      <c r="C52" s="804">
        <f t="shared" si="75"/>
        <v>999999</v>
      </c>
      <c r="D52" s="804">
        <f t="shared" si="75"/>
        <v>999999</v>
      </c>
      <c r="E52" s="804">
        <f t="shared" si="75"/>
        <v>999999</v>
      </c>
      <c r="F52" s="804">
        <f t="shared" si="75"/>
        <v>999999</v>
      </c>
      <c r="G52" s="805">
        <f t="shared" si="75"/>
        <v>999999</v>
      </c>
      <c r="H52" s="746">
        <f t="shared" si="76"/>
        <v>1</v>
      </c>
      <c r="I52" s="747">
        <f t="shared" si="76"/>
        <v>0.90916124602574522</v>
      </c>
      <c r="J52" s="747">
        <f t="shared" si="76"/>
        <v>1</v>
      </c>
      <c r="K52" s="747">
        <f t="shared" si="76"/>
        <v>1</v>
      </c>
      <c r="L52" s="747">
        <f t="shared" si="76"/>
        <v>0.83483862913771856</v>
      </c>
      <c r="M52" s="748">
        <f t="shared" si="76"/>
        <v>1</v>
      </c>
      <c r="N52" s="761">
        <f t="shared" si="28"/>
        <v>9585.1993960266318</v>
      </c>
      <c r="O52" s="762">
        <f t="shared" si="29"/>
        <v>8372.5659710898599</v>
      </c>
      <c r="P52" s="762">
        <f t="shared" si="30"/>
        <v>6254.5600676501836</v>
      </c>
      <c r="Q52" s="762">
        <f t="shared" si="31"/>
        <v>9585.1993960266318</v>
      </c>
      <c r="R52" s="762">
        <f t="shared" si="32"/>
        <v>23194.269291754412</v>
      </c>
      <c r="S52" s="763">
        <f t="shared" si="33"/>
        <v>16416.372947471958</v>
      </c>
      <c r="T52" s="701">
        <f t="shared" si="65"/>
        <v>1212.6334249367719</v>
      </c>
      <c r="U52" s="313">
        <f t="shared" si="66"/>
        <v>3330.6393283764482</v>
      </c>
      <c r="V52" s="313">
        <f t="shared" si="67"/>
        <v>0</v>
      </c>
      <c r="W52" s="313">
        <f t="shared" si="68"/>
        <v>-13609.06989572778</v>
      </c>
      <c r="X52" s="314">
        <f t="shared" si="69"/>
        <v>-6831.1735514453267</v>
      </c>
      <c r="Y52" s="316">
        <f ca="1">IF(AND(Y$22=TRUE,INDEX(CDRANGE_CLS1,MATCH($A52,$A$24:$A$67,0),MATCH(Y$20,$B$20:$G$20,0))&lt;$D$6/OPDAYS_Cls1),86,payback(C52,T52,disc_rate/12,85))</f>
        <v>86</v>
      </c>
      <c r="Z52" s="317">
        <f ca="1">IF(AND(Z$22=TRUE,INDEX(CDRANGE_CLS1,MATCH($A52,$A$24:$A$67,0),MATCH(Z$20,$B$20:$G$20,0))&lt;$D$6/OPDAYS_Cls1),86,payback(D52,U52,disc_rate/12,85))</f>
        <v>86</v>
      </c>
      <c r="AA52" s="317">
        <f ca="1">IF(AND(AA$22=TRUE,INDEX(CDRANGE_CLS1,MATCH($A52,$A$24:$A$67,0),MATCH(AA$20,$B$20:$G$20,0))&lt;$D$6/OPDAYS_Cls1),86,payback(E52,V52,disc_rate/12,85))</f>
        <v>86</v>
      </c>
      <c r="AB52" s="317">
        <f>IF(AND(AB$22=TRUE,INDEX(CDRANGE_CLS1,MATCH($A52,$A$24:$A$67,0),MATCH(AB$20,$B$20:$G$20,0))&lt;$D$6/OPDAYS_Cls1),86,payback(F52,W52,disc_rate/12,85))</f>
        <v>86</v>
      </c>
      <c r="AC52" s="568">
        <f ca="1">IF(AND(AC$22=TRUE,INDEX(CDRANGE_CLS1,MATCH($A52,$A$24:$A$67,0),MATCH(AC$20,$B$20:$G$20,0))&lt;$D$6/OPDAYS_Cls1),86,payback(G52,X52,disc_rate/12,85))</f>
        <v>86</v>
      </c>
      <c r="AD52" s="319">
        <f t="shared" si="35"/>
        <v>0</v>
      </c>
      <c r="AE52" s="320">
        <f t="shared" si="36"/>
        <v>0</v>
      </c>
      <c r="AF52" s="320">
        <f t="shared" si="37"/>
        <v>0</v>
      </c>
      <c r="AG52" s="320">
        <f t="shared" si="38"/>
        <v>0</v>
      </c>
      <c r="AH52" s="321">
        <f t="shared" si="39"/>
        <v>0</v>
      </c>
      <c r="AI52" s="1086">
        <f t="shared" si="40"/>
        <v>0.49999546021312979</v>
      </c>
      <c r="AJ52" s="1087">
        <f t="shared" si="41"/>
        <v>0.4992582130530096</v>
      </c>
      <c r="AK52" s="1087">
        <f t="shared" si="42"/>
        <v>0.5</v>
      </c>
      <c r="AL52" s="1087">
        <f t="shared" si="43"/>
        <v>0.45298840194375567</v>
      </c>
      <c r="AM52" s="1093">
        <f t="shared" si="44"/>
        <v>4.3738915756405703E-3</v>
      </c>
      <c r="AN52" s="322">
        <f t="shared" si="45"/>
        <v>0</v>
      </c>
      <c r="AO52" s="323">
        <f t="shared" si="46"/>
        <v>0</v>
      </c>
      <c r="AP52" s="323">
        <f t="shared" si="47"/>
        <v>0</v>
      </c>
      <c r="AQ52" s="323">
        <f t="shared" si="48"/>
        <v>0</v>
      </c>
      <c r="AR52" s="571">
        <f t="shared" si="49"/>
        <v>0</v>
      </c>
      <c r="AS52" s="319">
        <f t="shared" ca="1" si="50"/>
        <v>0</v>
      </c>
      <c r="AT52" s="320">
        <f t="shared" ca="1" si="51"/>
        <v>0</v>
      </c>
      <c r="AU52" s="320">
        <f t="shared" ca="1" si="52"/>
        <v>0</v>
      </c>
      <c r="AV52" s="320">
        <f t="shared" si="53"/>
        <v>0</v>
      </c>
      <c r="AW52" s="321">
        <f t="shared" ca="1" si="54"/>
        <v>0</v>
      </c>
      <c r="AX52" s="319">
        <f t="shared" ca="1" si="55"/>
        <v>0</v>
      </c>
      <c r="AY52" s="320">
        <f t="shared" ca="1" si="56"/>
        <v>0</v>
      </c>
      <c r="AZ52" s="320">
        <f t="shared" ca="1" si="57"/>
        <v>0</v>
      </c>
      <c r="BA52" s="320">
        <f t="shared" si="70"/>
        <v>0</v>
      </c>
      <c r="BB52" s="321">
        <f t="shared" ca="1" si="71"/>
        <v>0</v>
      </c>
      <c r="BC52" s="319">
        <f t="shared" ca="1" si="72"/>
        <v>1</v>
      </c>
      <c r="BD52" s="320">
        <f t="shared" ca="1" si="60"/>
        <v>0</v>
      </c>
      <c r="BE52" s="320">
        <f t="shared" ca="1" si="61"/>
        <v>0</v>
      </c>
      <c r="BF52" s="320">
        <f t="shared" ca="1" si="62"/>
        <v>0</v>
      </c>
      <c r="BG52" s="320">
        <f t="shared" ca="1" si="63"/>
        <v>0</v>
      </c>
      <c r="BH52" s="321">
        <f t="shared" ca="1" si="64"/>
        <v>0</v>
      </c>
    </row>
    <row r="53" spans="1:60" x14ac:dyDescent="0.2">
      <c r="A53" s="325">
        <v>2036</v>
      </c>
      <c r="B53" s="806">
        <f t="shared" si="75"/>
        <v>70000</v>
      </c>
      <c r="C53" s="807">
        <f t="shared" si="75"/>
        <v>999999</v>
      </c>
      <c r="D53" s="807">
        <f t="shared" si="75"/>
        <v>999999</v>
      </c>
      <c r="E53" s="807">
        <f t="shared" si="75"/>
        <v>999999</v>
      </c>
      <c r="F53" s="807">
        <f t="shared" si="75"/>
        <v>999999</v>
      </c>
      <c r="G53" s="808">
        <f t="shared" si="75"/>
        <v>999999</v>
      </c>
      <c r="H53" s="749">
        <f t="shared" si="76"/>
        <v>1</v>
      </c>
      <c r="I53" s="750">
        <f t="shared" si="76"/>
        <v>0.90825285848600268</v>
      </c>
      <c r="J53" s="750">
        <f t="shared" si="76"/>
        <v>1</v>
      </c>
      <c r="K53" s="750">
        <f t="shared" si="76"/>
        <v>1</v>
      </c>
      <c r="L53" s="750">
        <f t="shared" si="76"/>
        <v>0.83318701542909568</v>
      </c>
      <c r="M53" s="751">
        <f t="shared" si="76"/>
        <v>1</v>
      </c>
      <c r="N53" s="284">
        <f t="shared" si="28"/>
        <v>9679.1452866661257</v>
      </c>
      <c r="O53" s="285">
        <f t="shared" si="29"/>
        <v>8413.9968199255964</v>
      </c>
      <c r="P53" s="285">
        <f t="shared" si="30"/>
        <v>6099.1761759699702</v>
      </c>
      <c r="Q53" s="285">
        <f t="shared" si="31"/>
        <v>9679.1452866661257</v>
      </c>
      <c r="R53" s="285">
        <f t="shared" si="32"/>
        <v>22967.151123299758</v>
      </c>
      <c r="S53" s="287">
        <f t="shared" si="33"/>
        <v>16071.119340067406</v>
      </c>
      <c r="T53" s="697">
        <f t="shared" si="65"/>
        <v>1265.1484667405293</v>
      </c>
      <c r="U53" s="285">
        <f t="shared" si="66"/>
        <v>3579.9691106961554</v>
      </c>
      <c r="V53" s="285">
        <f t="shared" si="67"/>
        <v>0</v>
      </c>
      <c r="W53" s="285">
        <f t="shared" si="68"/>
        <v>-13288.005836633632</v>
      </c>
      <c r="X53" s="286">
        <f t="shared" si="69"/>
        <v>-6391.9740534012799</v>
      </c>
      <c r="Y53" s="288">
        <f ca="1">IF(AND(Y$22=TRUE,INDEX(CDRANGE_CLS1,MATCH($A53,$A$24:$A$67,0),MATCH(Y$20,$B$20:$G$20,0))&lt;$D$6/OPDAYS_Cls1),86,payback(C53,T53,disc_rate/12,85))</f>
        <v>86</v>
      </c>
      <c r="Z53" s="289">
        <f ca="1">IF(AND(Z$22=TRUE,INDEX(CDRANGE_CLS1,MATCH($A53,$A$24:$A$67,0),MATCH(Z$20,$B$20:$G$20,0))&lt;$D$6/OPDAYS_Cls1),86,payback(D53,U53,disc_rate/12,85))</f>
        <v>86</v>
      </c>
      <c r="AA53" s="289">
        <f ca="1">IF(AND(AA$22=TRUE,INDEX(CDRANGE_CLS1,MATCH($A53,$A$24:$A$67,0),MATCH(AA$20,$B$20:$G$20,0))&lt;$D$6/OPDAYS_Cls1),86,payback(E53,V53,disc_rate/12,85))</f>
        <v>86</v>
      </c>
      <c r="AB53" s="289">
        <f>IF(AND(AB$22=TRUE,INDEX(CDRANGE_CLS1,MATCH($A53,$A$24:$A$67,0),MATCH(AB$20,$B$20:$G$20,0))&lt;$D$6/OPDAYS_Cls1),86,payback(F53,W53,disc_rate/12,85))</f>
        <v>86</v>
      </c>
      <c r="AC53" s="581">
        <f ca="1">IF(AND(AC$22=TRUE,INDEX(CDRANGE_CLS1,MATCH($A53,$A$24:$A$67,0),MATCH(AC$20,$B$20:$G$20,0))&lt;$D$6/OPDAYS_Cls1),86,payback(G53,X53,disc_rate/12,85))</f>
        <v>86</v>
      </c>
      <c r="AD53" s="291">
        <f t="shared" si="35"/>
        <v>0</v>
      </c>
      <c r="AE53" s="292">
        <f t="shared" si="36"/>
        <v>0</v>
      </c>
      <c r="AF53" s="292">
        <f t="shared" si="37"/>
        <v>0</v>
      </c>
      <c r="AG53" s="292">
        <f t="shared" si="38"/>
        <v>0</v>
      </c>
      <c r="AH53" s="293">
        <f t="shared" si="39"/>
        <v>0</v>
      </c>
      <c r="AI53" s="1080">
        <f t="shared" si="40"/>
        <v>0.49999832985781523</v>
      </c>
      <c r="AJ53" s="1081">
        <f t="shared" si="41"/>
        <v>0.4997266846416798</v>
      </c>
      <c r="AK53" s="1081">
        <f t="shared" si="42"/>
        <v>0.5</v>
      </c>
      <c r="AL53" s="1081">
        <f t="shared" si="43"/>
        <v>0.47125372773691793</v>
      </c>
      <c r="AM53" s="1094">
        <f t="shared" si="44"/>
        <v>6.1625267918915339E-3</v>
      </c>
      <c r="AN53" s="294">
        <f t="shared" si="45"/>
        <v>0</v>
      </c>
      <c r="AO53" s="295">
        <f t="shared" si="46"/>
        <v>0</v>
      </c>
      <c r="AP53" s="295">
        <f t="shared" si="47"/>
        <v>0</v>
      </c>
      <c r="AQ53" s="295">
        <f t="shared" si="48"/>
        <v>0</v>
      </c>
      <c r="AR53" s="582">
        <f t="shared" si="49"/>
        <v>0</v>
      </c>
      <c r="AS53" s="291">
        <f t="shared" ca="1" si="50"/>
        <v>0</v>
      </c>
      <c r="AT53" s="292">
        <f t="shared" ca="1" si="51"/>
        <v>0</v>
      </c>
      <c r="AU53" s="292">
        <f t="shared" ca="1" si="52"/>
        <v>0</v>
      </c>
      <c r="AV53" s="292">
        <f t="shared" si="53"/>
        <v>0</v>
      </c>
      <c r="AW53" s="293">
        <f t="shared" ca="1" si="54"/>
        <v>0</v>
      </c>
      <c r="AX53" s="291">
        <f t="shared" ca="1" si="55"/>
        <v>0</v>
      </c>
      <c r="AY53" s="292">
        <f t="shared" ca="1" si="56"/>
        <v>0</v>
      </c>
      <c r="AZ53" s="292">
        <f t="shared" ca="1" si="57"/>
        <v>0</v>
      </c>
      <c r="BA53" s="292">
        <f t="shared" si="70"/>
        <v>0</v>
      </c>
      <c r="BB53" s="293">
        <f t="shared" ca="1" si="71"/>
        <v>0</v>
      </c>
      <c r="BC53" s="291">
        <f t="shared" ca="1" si="72"/>
        <v>1</v>
      </c>
      <c r="BD53" s="292">
        <f t="shared" ca="1" si="60"/>
        <v>0</v>
      </c>
      <c r="BE53" s="292">
        <f t="shared" ca="1" si="61"/>
        <v>0</v>
      </c>
      <c r="BF53" s="292">
        <f t="shared" ca="1" si="62"/>
        <v>0</v>
      </c>
      <c r="BG53" s="292">
        <f t="shared" ca="1" si="63"/>
        <v>0</v>
      </c>
      <c r="BH53" s="293">
        <f t="shared" ca="1" si="64"/>
        <v>0</v>
      </c>
    </row>
    <row r="54" spans="1:60" x14ac:dyDescent="0.2">
      <c r="A54" s="326">
        <v>2037</v>
      </c>
      <c r="B54" s="800">
        <f t="shared" ref="B54:G67" si="77">ROUND(INDEX(COST_Cls1,$A54-($A$24-1),MATCH(B$20,TECHOPTS_Cls1,0)),2)</f>
        <v>70000</v>
      </c>
      <c r="C54" s="801">
        <f t="shared" si="77"/>
        <v>999999</v>
      </c>
      <c r="D54" s="801">
        <f t="shared" si="77"/>
        <v>999999</v>
      </c>
      <c r="E54" s="801">
        <f t="shared" si="77"/>
        <v>999999</v>
      </c>
      <c r="F54" s="801">
        <f t="shared" si="77"/>
        <v>999999</v>
      </c>
      <c r="G54" s="802">
        <f t="shared" si="77"/>
        <v>999999</v>
      </c>
      <c r="H54" s="743">
        <f t="shared" ref="H54:M67" si="78">MAX(1-INDEX(CDRANGE_CLS1,$A54-($A$24-1),MATCH(H$20,TECHOPTS_Cls1,0))*OPDAYS_Cls1/$D$6,0)</f>
        <v>1</v>
      </c>
      <c r="I54" s="744">
        <f t="shared" si="78"/>
        <v>0.9073353870708627</v>
      </c>
      <c r="J54" s="744">
        <f t="shared" si="78"/>
        <v>1</v>
      </c>
      <c r="K54" s="744">
        <f t="shared" si="78"/>
        <v>1</v>
      </c>
      <c r="L54" s="744">
        <f t="shared" si="78"/>
        <v>0.83151888558338671</v>
      </c>
      <c r="M54" s="745">
        <f t="shared" si="78"/>
        <v>1</v>
      </c>
      <c r="N54" s="284">
        <f t="shared" si="28"/>
        <v>9741.3557564868224</v>
      </c>
      <c r="O54" s="285">
        <f t="shared" si="29"/>
        <v>8434.1922392512315</v>
      </c>
      <c r="P54" s="285">
        <f t="shared" si="30"/>
        <v>5935.0030866167126</v>
      </c>
      <c r="Q54" s="285">
        <f t="shared" si="31"/>
        <v>9741.3557564868224</v>
      </c>
      <c r="R54" s="285">
        <f t="shared" si="32"/>
        <v>22785.304025737438</v>
      </c>
      <c r="S54" s="287">
        <f t="shared" si="33"/>
        <v>15725.842256680304</v>
      </c>
      <c r="T54" s="698">
        <f t="shared" si="65"/>
        <v>1307.1635172355909</v>
      </c>
      <c r="U54" s="299">
        <f t="shared" si="66"/>
        <v>3806.3526698701098</v>
      </c>
      <c r="V54" s="299">
        <f t="shared" si="67"/>
        <v>0</v>
      </c>
      <c r="W54" s="299">
        <f t="shared" si="68"/>
        <v>-13043.948269250615</v>
      </c>
      <c r="X54" s="300">
        <f t="shared" si="69"/>
        <v>-5984.4865001934813</v>
      </c>
      <c r="Y54" s="302">
        <f ca="1">IF(AND(Y$22=TRUE,INDEX(CDRANGE_CLS1,MATCH($A54,$A$24:$A$67,0),MATCH(Y$20,$B$20:$G$20,0))&lt;$D$6/OPDAYS_Cls1),86,payback(C54,T54,disc_rate/12,85))</f>
        <v>86</v>
      </c>
      <c r="Z54" s="303">
        <f ca="1">IF(AND(Z$22=TRUE,INDEX(CDRANGE_CLS1,MATCH($A54,$A$24:$A$67,0),MATCH(Z$20,$B$20:$G$20,0))&lt;$D$6/OPDAYS_Cls1),86,payback(D54,U54,disc_rate/12,85))</f>
        <v>86</v>
      </c>
      <c r="AA54" s="303">
        <f ca="1">IF(AND(AA$22=TRUE,INDEX(CDRANGE_CLS1,MATCH($A54,$A$24:$A$67,0),MATCH(AA$20,$B$20:$G$20,0))&lt;$D$6/OPDAYS_Cls1),86,payback(E54,V54,disc_rate/12,85))</f>
        <v>86</v>
      </c>
      <c r="AB54" s="303">
        <f>IF(AND(AB$22=TRUE,INDEX(CDRANGE_CLS1,MATCH($A54,$A$24:$A$67,0),MATCH(AB$20,$B$20:$G$20,0))&lt;$D$6/OPDAYS_Cls1),86,payback(F54,W54,disc_rate/12,85))</f>
        <v>86</v>
      </c>
      <c r="AC54" s="567">
        <f ca="1">IF(AND(AC$22=TRUE,INDEX(CDRANGE_CLS1,MATCH($A54,$A$24:$A$67,0),MATCH(AC$20,$B$20:$G$20,0))&lt;$D$6/OPDAYS_Cls1),86,payback(G54,X54,disc_rate/12,85))</f>
        <v>86</v>
      </c>
      <c r="AD54" s="305">
        <f t="shared" si="35"/>
        <v>0</v>
      </c>
      <c r="AE54" s="306">
        <f t="shared" si="36"/>
        <v>0</v>
      </c>
      <c r="AF54" s="306">
        <f t="shared" si="37"/>
        <v>0</v>
      </c>
      <c r="AG54" s="306">
        <f t="shared" si="38"/>
        <v>0</v>
      </c>
      <c r="AH54" s="307">
        <f t="shared" si="39"/>
        <v>0</v>
      </c>
      <c r="AI54" s="1083">
        <f t="shared" si="40"/>
        <v>0.49999938558253976</v>
      </c>
      <c r="AJ54" s="1084">
        <f t="shared" si="41"/>
        <v>0.49989939496086011</v>
      </c>
      <c r="AK54" s="1084">
        <f t="shared" si="42"/>
        <v>0.5</v>
      </c>
      <c r="AL54" s="1084">
        <f t="shared" si="43"/>
        <v>0.48366045998102358</v>
      </c>
      <c r="AM54" s="1092">
        <f t="shared" si="44"/>
        <v>1.0024140148043427E-2</v>
      </c>
      <c r="AN54" s="308">
        <f t="shared" si="45"/>
        <v>0</v>
      </c>
      <c r="AO54" s="309">
        <f t="shared" si="46"/>
        <v>0</v>
      </c>
      <c r="AP54" s="309">
        <f t="shared" si="47"/>
        <v>0</v>
      </c>
      <c r="AQ54" s="309">
        <f t="shared" si="48"/>
        <v>0</v>
      </c>
      <c r="AR54" s="570">
        <f t="shared" si="49"/>
        <v>0</v>
      </c>
      <c r="AS54" s="305">
        <f t="shared" ca="1" si="50"/>
        <v>0</v>
      </c>
      <c r="AT54" s="306">
        <f t="shared" ca="1" si="51"/>
        <v>0</v>
      </c>
      <c r="AU54" s="306">
        <f t="shared" ca="1" si="52"/>
        <v>0</v>
      </c>
      <c r="AV54" s="306">
        <f t="shared" si="53"/>
        <v>0</v>
      </c>
      <c r="AW54" s="307">
        <f t="shared" ca="1" si="54"/>
        <v>0</v>
      </c>
      <c r="AX54" s="305">
        <f t="shared" ca="1" si="55"/>
        <v>0</v>
      </c>
      <c r="AY54" s="306">
        <f t="shared" ca="1" si="56"/>
        <v>0</v>
      </c>
      <c r="AZ54" s="306">
        <f t="shared" ca="1" si="57"/>
        <v>0</v>
      </c>
      <c r="BA54" s="306">
        <f t="shared" si="70"/>
        <v>0</v>
      </c>
      <c r="BB54" s="307">
        <f t="shared" ca="1" si="71"/>
        <v>0</v>
      </c>
      <c r="BC54" s="305">
        <f t="shared" ca="1" si="72"/>
        <v>1</v>
      </c>
      <c r="BD54" s="306">
        <f t="shared" ca="1" si="60"/>
        <v>0</v>
      </c>
      <c r="BE54" s="306">
        <f t="shared" ca="1" si="61"/>
        <v>0</v>
      </c>
      <c r="BF54" s="306">
        <f t="shared" ca="1" si="62"/>
        <v>0</v>
      </c>
      <c r="BG54" s="306">
        <f t="shared" ca="1" si="63"/>
        <v>0</v>
      </c>
      <c r="BH54" s="307">
        <f t="shared" ca="1" si="64"/>
        <v>0</v>
      </c>
    </row>
    <row r="55" spans="1:60" x14ac:dyDescent="0.2">
      <c r="A55" s="326">
        <v>2038</v>
      </c>
      <c r="B55" s="800">
        <f t="shared" si="77"/>
        <v>70000</v>
      </c>
      <c r="C55" s="801">
        <f t="shared" si="77"/>
        <v>999999</v>
      </c>
      <c r="D55" s="801">
        <f t="shared" si="77"/>
        <v>999999</v>
      </c>
      <c r="E55" s="801">
        <f t="shared" si="77"/>
        <v>999999</v>
      </c>
      <c r="F55" s="801">
        <f t="shared" si="77"/>
        <v>999999</v>
      </c>
      <c r="G55" s="802">
        <f t="shared" si="77"/>
        <v>999999</v>
      </c>
      <c r="H55" s="743">
        <f t="shared" si="78"/>
        <v>1</v>
      </c>
      <c r="I55" s="744">
        <f t="shared" si="78"/>
        <v>0.90640874094157131</v>
      </c>
      <c r="J55" s="744">
        <f t="shared" si="78"/>
        <v>1</v>
      </c>
      <c r="K55" s="744">
        <f t="shared" si="78"/>
        <v>1</v>
      </c>
      <c r="L55" s="744">
        <f t="shared" si="78"/>
        <v>0.82983407443922053</v>
      </c>
      <c r="M55" s="745">
        <f t="shared" si="78"/>
        <v>1</v>
      </c>
      <c r="N55" s="284">
        <f t="shared" si="28"/>
        <v>9819.3558910324791</v>
      </c>
      <c r="O55" s="285">
        <f t="shared" si="29"/>
        <v>8462.9959429477713</v>
      </c>
      <c r="P55" s="285">
        <f t="shared" si="30"/>
        <v>5791.2419045222787</v>
      </c>
      <c r="Q55" s="285">
        <f t="shared" si="31"/>
        <v>9819.3558910324791</v>
      </c>
      <c r="R55" s="285">
        <f t="shared" si="32"/>
        <v>22546.381202297209</v>
      </c>
      <c r="S55" s="287">
        <f t="shared" si="33"/>
        <v>15379.661896225318</v>
      </c>
      <c r="T55" s="698">
        <f t="shared" si="65"/>
        <v>1356.3599480847079</v>
      </c>
      <c r="U55" s="299">
        <f t="shared" si="66"/>
        <v>4028.1139865102004</v>
      </c>
      <c r="V55" s="299">
        <f t="shared" si="67"/>
        <v>0</v>
      </c>
      <c r="W55" s="299">
        <f t="shared" si="68"/>
        <v>-12727.02531126473</v>
      </c>
      <c r="X55" s="300">
        <f t="shared" si="69"/>
        <v>-5560.3060051928387</v>
      </c>
      <c r="Y55" s="302">
        <f ca="1">IF(AND(Y$22=TRUE,INDEX(CDRANGE_CLS1,MATCH($A55,$A$24:$A$67,0),MATCH(Y$20,$B$20:$G$20,0))&lt;$D$6/OPDAYS_Cls1),86,payback(C55,T55,disc_rate/12,85))</f>
        <v>86</v>
      </c>
      <c r="Z55" s="303">
        <f ca="1">IF(AND(Z$22=TRUE,INDEX(CDRANGE_CLS1,MATCH($A55,$A$24:$A$67,0),MATCH(Z$20,$B$20:$G$20,0))&lt;$D$6/OPDAYS_Cls1),86,payback(D55,U55,disc_rate/12,85))</f>
        <v>86</v>
      </c>
      <c r="AA55" s="303">
        <f ca="1">IF(AND(AA$22=TRUE,INDEX(CDRANGE_CLS1,MATCH($A55,$A$24:$A$67,0),MATCH(AA$20,$B$20:$G$20,0))&lt;$D$6/OPDAYS_Cls1),86,payback(E55,V55,disc_rate/12,85))</f>
        <v>86</v>
      </c>
      <c r="AB55" s="303">
        <f>IF(AND(AB$22=TRUE,INDEX(CDRANGE_CLS1,MATCH($A55,$A$24:$A$67,0),MATCH(AB$20,$B$20:$G$20,0))&lt;$D$6/OPDAYS_Cls1),86,payback(F55,W55,disc_rate/12,85))</f>
        <v>86</v>
      </c>
      <c r="AC55" s="567">
        <f ca="1">IF(AND(AC$22=TRUE,INDEX(CDRANGE_CLS1,MATCH($A55,$A$24:$A$67,0),MATCH(AC$20,$B$20:$G$20,0))&lt;$D$6/OPDAYS_Cls1),86,payback(G55,X55,disc_rate/12,85))</f>
        <v>86</v>
      </c>
      <c r="AD55" s="305">
        <f t="shared" si="35"/>
        <v>0</v>
      </c>
      <c r="AE55" s="306">
        <f t="shared" si="36"/>
        <v>0</v>
      </c>
      <c r="AF55" s="306">
        <f t="shared" si="37"/>
        <v>0</v>
      </c>
      <c r="AG55" s="306">
        <f t="shared" si="38"/>
        <v>0</v>
      </c>
      <c r="AH55" s="307">
        <f t="shared" si="39"/>
        <v>0</v>
      </c>
      <c r="AI55" s="1083">
        <f t="shared" si="40"/>
        <v>0.49999977396757023</v>
      </c>
      <c r="AJ55" s="1084">
        <f t="shared" si="41"/>
        <v>0.49996298162720409</v>
      </c>
      <c r="AK55" s="1084">
        <f t="shared" si="42"/>
        <v>0.5</v>
      </c>
      <c r="AL55" s="1084">
        <f t="shared" si="43"/>
        <v>0.49142595909980985</v>
      </c>
      <c r="AM55" s="1092">
        <f t="shared" si="44"/>
        <v>1.5153587652235642E-2</v>
      </c>
      <c r="AN55" s="308">
        <f t="shared" si="45"/>
        <v>0</v>
      </c>
      <c r="AO55" s="309">
        <f t="shared" si="46"/>
        <v>0</v>
      </c>
      <c r="AP55" s="309">
        <f t="shared" si="47"/>
        <v>0</v>
      </c>
      <c r="AQ55" s="309">
        <f t="shared" si="48"/>
        <v>0</v>
      </c>
      <c r="AR55" s="570">
        <f t="shared" si="49"/>
        <v>0</v>
      </c>
      <c r="AS55" s="305">
        <f t="shared" ca="1" si="50"/>
        <v>0</v>
      </c>
      <c r="AT55" s="306">
        <f t="shared" ca="1" si="51"/>
        <v>0</v>
      </c>
      <c r="AU55" s="306">
        <f t="shared" ca="1" si="52"/>
        <v>0</v>
      </c>
      <c r="AV55" s="306">
        <f t="shared" si="53"/>
        <v>0</v>
      </c>
      <c r="AW55" s="307">
        <f t="shared" ca="1" si="54"/>
        <v>0</v>
      </c>
      <c r="AX55" s="305">
        <f t="shared" ca="1" si="55"/>
        <v>0</v>
      </c>
      <c r="AY55" s="306">
        <f t="shared" ca="1" si="56"/>
        <v>0</v>
      </c>
      <c r="AZ55" s="306">
        <f t="shared" ca="1" si="57"/>
        <v>0</v>
      </c>
      <c r="BA55" s="306">
        <f t="shared" si="70"/>
        <v>0</v>
      </c>
      <c r="BB55" s="307">
        <f t="shared" ca="1" si="71"/>
        <v>0</v>
      </c>
      <c r="BC55" s="305">
        <f t="shared" ca="1" si="72"/>
        <v>1</v>
      </c>
      <c r="BD55" s="306">
        <f t="shared" ca="1" si="60"/>
        <v>0</v>
      </c>
      <c r="BE55" s="306">
        <f t="shared" ca="1" si="61"/>
        <v>0</v>
      </c>
      <c r="BF55" s="306">
        <f t="shared" ca="1" si="62"/>
        <v>0</v>
      </c>
      <c r="BG55" s="306">
        <f t="shared" ca="1" si="63"/>
        <v>0</v>
      </c>
      <c r="BH55" s="307">
        <f t="shared" ca="1" si="64"/>
        <v>0</v>
      </c>
    </row>
    <row r="56" spans="1:60" x14ac:dyDescent="0.2">
      <c r="A56" s="326">
        <v>2039</v>
      </c>
      <c r="B56" s="800">
        <f t="shared" si="77"/>
        <v>70000</v>
      </c>
      <c r="C56" s="801">
        <f t="shared" si="77"/>
        <v>999999</v>
      </c>
      <c r="D56" s="801">
        <f t="shared" si="77"/>
        <v>999999</v>
      </c>
      <c r="E56" s="801">
        <f t="shared" si="77"/>
        <v>999999</v>
      </c>
      <c r="F56" s="801">
        <f t="shared" si="77"/>
        <v>999999</v>
      </c>
      <c r="G56" s="802">
        <f t="shared" si="77"/>
        <v>999999</v>
      </c>
      <c r="H56" s="743">
        <f t="shared" si="78"/>
        <v>1</v>
      </c>
      <c r="I56" s="744">
        <f t="shared" si="78"/>
        <v>0.90547282835098708</v>
      </c>
      <c r="J56" s="744">
        <f t="shared" si="78"/>
        <v>1</v>
      </c>
      <c r="K56" s="744">
        <f t="shared" si="78"/>
        <v>1</v>
      </c>
      <c r="L56" s="744">
        <f t="shared" si="78"/>
        <v>0.82813241518361269</v>
      </c>
      <c r="M56" s="745">
        <f t="shared" si="78"/>
        <v>1</v>
      </c>
      <c r="N56" s="284">
        <f t="shared" si="28"/>
        <v>9899.4048878530066</v>
      </c>
      <c r="O56" s="285">
        <f t="shared" si="29"/>
        <v>8479.5717631232983</v>
      </c>
      <c r="P56" s="285">
        <f t="shared" si="30"/>
        <v>5657.6876733623649</v>
      </c>
      <c r="Q56" s="285">
        <f t="shared" si="31"/>
        <v>9899.4048878530066</v>
      </c>
      <c r="R56" s="285">
        <f t="shared" si="32"/>
        <v>22075.519308090414</v>
      </c>
      <c r="S56" s="287">
        <f t="shared" si="33"/>
        <v>15033.856827406504</v>
      </c>
      <c r="T56" s="698">
        <f t="shared" si="65"/>
        <v>1419.8331247297083</v>
      </c>
      <c r="U56" s="299">
        <f t="shared" si="66"/>
        <v>4241.7172144906417</v>
      </c>
      <c r="V56" s="299">
        <f t="shared" si="67"/>
        <v>0</v>
      </c>
      <c r="W56" s="299">
        <f t="shared" si="68"/>
        <v>-12176.114420237407</v>
      </c>
      <c r="X56" s="300">
        <f t="shared" si="69"/>
        <v>-5134.4519395534971</v>
      </c>
      <c r="Y56" s="302">
        <f ca="1">IF(AND(Y$22=TRUE,INDEX(CDRANGE_CLS1,MATCH($A56,$A$24:$A$67,0),MATCH(Y$20,$B$20:$G$20,0))&lt;$D$6/OPDAYS_Cls1),86,payback(C56,T56,disc_rate/12,85))</f>
        <v>86</v>
      </c>
      <c r="Z56" s="303">
        <f ca="1">IF(AND(Z$22=TRUE,INDEX(CDRANGE_CLS1,MATCH($A56,$A$24:$A$67,0),MATCH(Z$20,$B$20:$G$20,0))&lt;$D$6/OPDAYS_Cls1),86,payback(D56,U56,disc_rate/12,85))</f>
        <v>86</v>
      </c>
      <c r="AA56" s="303">
        <f ca="1">IF(AND(AA$22=TRUE,INDEX(CDRANGE_CLS1,MATCH($A56,$A$24:$A$67,0),MATCH(AA$20,$B$20:$G$20,0))&lt;$D$6/OPDAYS_Cls1),86,payback(E56,V56,disc_rate/12,85))</f>
        <v>86</v>
      </c>
      <c r="AB56" s="303">
        <f>IF(AND(AB$22=TRUE,INDEX(CDRANGE_CLS1,MATCH($A56,$A$24:$A$67,0),MATCH(AB$20,$B$20:$G$20,0))&lt;$D$6/OPDAYS_Cls1),86,payback(F56,W56,disc_rate/12,85))</f>
        <v>86</v>
      </c>
      <c r="AC56" s="567">
        <f ca="1">IF(AND(AC$22=TRUE,INDEX(CDRANGE_CLS1,MATCH($A56,$A$24:$A$67,0),MATCH(AC$20,$B$20:$G$20,0))&lt;$D$6/OPDAYS_Cls1),86,payback(G56,X56,disc_rate/12,85))</f>
        <v>86</v>
      </c>
      <c r="AD56" s="305">
        <f t="shared" si="35"/>
        <v>0</v>
      </c>
      <c r="AE56" s="306">
        <f t="shared" si="36"/>
        <v>0</v>
      </c>
      <c r="AF56" s="306">
        <f t="shared" si="37"/>
        <v>0</v>
      </c>
      <c r="AG56" s="306">
        <f t="shared" si="38"/>
        <v>0</v>
      </c>
      <c r="AH56" s="307">
        <f t="shared" si="39"/>
        <v>0</v>
      </c>
      <c r="AI56" s="1083">
        <f t="shared" si="40"/>
        <v>0.49999991684719725</v>
      </c>
      <c r="AJ56" s="1084">
        <f t="shared" si="41"/>
        <v>0.49998638063938927</v>
      </c>
      <c r="AK56" s="1084">
        <f t="shared" si="42"/>
        <v>0.5</v>
      </c>
      <c r="AL56" s="1084">
        <f t="shared" si="43"/>
        <v>0.4958762788873386</v>
      </c>
      <c r="AM56" s="1092">
        <f t="shared" si="44"/>
        <v>2.5746094194596579E-2</v>
      </c>
      <c r="AN56" s="308">
        <f t="shared" si="45"/>
        <v>0</v>
      </c>
      <c r="AO56" s="309">
        <f t="shared" si="46"/>
        <v>0</v>
      </c>
      <c r="AP56" s="309">
        <f t="shared" si="47"/>
        <v>0</v>
      </c>
      <c r="AQ56" s="309">
        <f t="shared" si="48"/>
        <v>0</v>
      </c>
      <c r="AR56" s="570">
        <f t="shared" si="49"/>
        <v>0</v>
      </c>
      <c r="AS56" s="305">
        <f t="shared" ca="1" si="50"/>
        <v>0</v>
      </c>
      <c r="AT56" s="306">
        <f t="shared" ca="1" si="51"/>
        <v>0</v>
      </c>
      <c r="AU56" s="306">
        <f t="shared" ca="1" si="52"/>
        <v>0</v>
      </c>
      <c r="AV56" s="306">
        <f t="shared" si="53"/>
        <v>0</v>
      </c>
      <c r="AW56" s="307">
        <f t="shared" ca="1" si="54"/>
        <v>0</v>
      </c>
      <c r="AX56" s="305">
        <f t="shared" ca="1" si="55"/>
        <v>0</v>
      </c>
      <c r="AY56" s="306">
        <f t="shared" ca="1" si="56"/>
        <v>0</v>
      </c>
      <c r="AZ56" s="306">
        <f t="shared" ca="1" si="57"/>
        <v>0</v>
      </c>
      <c r="BA56" s="306">
        <f t="shared" si="70"/>
        <v>0</v>
      </c>
      <c r="BB56" s="307">
        <f t="shared" ca="1" si="71"/>
        <v>0</v>
      </c>
      <c r="BC56" s="305">
        <f t="shared" ca="1" si="72"/>
        <v>1</v>
      </c>
      <c r="BD56" s="306">
        <f t="shared" ca="1" si="60"/>
        <v>0</v>
      </c>
      <c r="BE56" s="306">
        <f t="shared" ca="1" si="61"/>
        <v>0</v>
      </c>
      <c r="BF56" s="306">
        <f t="shared" ca="1" si="62"/>
        <v>0</v>
      </c>
      <c r="BG56" s="306">
        <f t="shared" ca="1" si="63"/>
        <v>0</v>
      </c>
      <c r="BH56" s="307">
        <f t="shared" ca="1" si="64"/>
        <v>0</v>
      </c>
    </row>
    <row r="57" spans="1:60" ht="13.5" thickBot="1" x14ac:dyDescent="0.25">
      <c r="A57" s="588">
        <v>2040</v>
      </c>
      <c r="B57" s="794">
        <f t="shared" si="77"/>
        <v>70000</v>
      </c>
      <c r="C57" s="795">
        <f t="shared" si="77"/>
        <v>999999</v>
      </c>
      <c r="D57" s="795">
        <f t="shared" si="77"/>
        <v>999999</v>
      </c>
      <c r="E57" s="795">
        <f t="shared" si="77"/>
        <v>999999</v>
      </c>
      <c r="F57" s="795">
        <f t="shared" si="77"/>
        <v>999999</v>
      </c>
      <c r="G57" s="796">
        <f t="shared" si="77"/>
        <v>999999</v>
      </c>
      <c r="H57" s="737">
        <f t="shared" si="78"/>
        <v>1</v>
      </c>
      <c r="I57" s="738">
        <f t="shared" si="78"/>
        <v>0.90452755663449691</v>
      </c>
      <c r="J57" s="738">
        <f t="shared" si="78"/>
        <v>1</v>
      </c>
      <c r="K57" s="738">
        <f t="shared" si="78"/>
        <v>1</v>
      </c>
      <c r="L57" s="738">
        <f t="shared" si="78"/>
        <v>0.82641373933544893</v>
      </c>
      <c r="M57" s="739">
        <f t="shared" si="78"/>
        <v>1</v>
      </c>
      <c r="N57" s="758">
        <f t="shared" si="28"/>
        <v>9895.6822513688021</v>
      </c>
      <c r="O57" s="759">
        <f t="shared" si="29"/>
        <v>8416.8036255201951</v>
      </c>
      <c r="P57" s="759">
        <f t="shared" si="30"/>
        <v>5485.7786405343932</v>
      </c>
      <c r="Q57" s="759">
        <f t="shared" si="31"/>
        <v>9895.6822513688021</v>
      </c>
      <c r="R57" s="759">
        <f t="shared" si="32"/>
        <v>21299.714798644673</v>
      </c>
      <c r="S57" s="760">
        <f t="shared" si="33"/>
        <v>14688.568627574459</v>
      </c>
      <c r="T57" s="699">
        <f t="shared" si="65"/>
        <v>1478.878625848607</v>
      </c>
      <c r="U57" s="589">
        <f t="shared" si="66"/>
        <v>4409.9036108344089</v>
      </c>
      <c r="V57" s="589">
        <f t="shared" si="67"/>
        <v>0</v>
      </c>
      <c r="W57" s="589">
        <f t="shared" si="68"/>
        <v>-11404.03254727587</v>
      </c>
      <c r="X57" s="590">
        <f t="shared" si="69"/>
        <v>-4792.8863762056571</v>
      </c>
      <c r="Y57" s="591">
        <f ca="1">IF(AND(Y$22=TRUE,INDEX(CDRANGE_CLS1,MATCH($A57,$A$24:$A$67,0),MATCH(Y$20,$B$20:$G$20,0))&lt;$D$6/OPDAYS_Cls1),86,payback(C57,T57,disc_rate/12,85))</f>
        <v>86</v>
      </c>
      <c r="Z57" s="592">
        <f ca="1">IF(AND(Z$22=TRUE,INDEX(CDRANGE_CLS1,MATCH($A57,$A$24:$A$67,0),MATCH(Z$20,$B$20:$G$20,0))&lt;$D$6/OPDAYS_Cls1),86,payback(D57,U57,disc_rate/12,85))</f>
        <v>86</v>
      </c>
      <c r="AA57" s="592">
        <f ca="1">IF(AND(AA$22=TRUE,INDEX(CDRANGE_CLS1,MATCH($A57,$A$24:$A$67,0),MATCH(AA$20,$B$20:$G$20,0))&lt;$D$6/OPDAYS_Cls1),86,payback(E57,V57,disc_rate/12,85))</f>
        <v>86</v>
      </c>
      <c r="AB57" s="592">
        <f>IF(AND(AB$22=TRUE,INDEX(CDRANGE_CLS1,MATCH($A57,$A$24:$A$67,0),MATCH(AB$20,$B$20:$G$20,0))&lt;$D$6/OPDAYS_Cls1),86,payback(F57,W57,disc_rate/12,85))</f>
        <v>86</v>
      </c>
      <c r="AC57" s="593">
        <f ca="1">IF(AND(AC$22=TRUE,INDEX(CDRANGE_CLS1,MATCH($A57,$A$24:$A$67,0),MATCH(AC$20,$B$20:$G$20,0))&lt;$D$6/OPDAYS_Cls1),86,payback(G57,X57,disc_rate/12,85))</f>
        <v>86</v>
      </c>
      <c r="AD57" s="594">
        <f t="shared" si="35"/>
        <v>0</v>
      </c>
      <c r="AE57" s="595">
        <f t="shared" si="36"/>
        <v>0</v>
      </c>
      <c r="AF57" s="595">
        <f t="shared" si="37"/>
        <v>0</v>
      </c>
      <c r="AG57" s="595">
        <f t="shared" si="38"/>
        <v>0</v>
      </c>
      <c r="AH57" s="596">
        <f t="shared" si="39"/>
        <v>0</v>
      </c>
      <c r="AI57" s="1095">
        <f t="shared" si="40"/>
        <v>0.49999996940977731</v>
      </c>
      <c r="AJ57" s="1096">
        <f t="shared" si="41"/>
        <v>0.49999498957344563</v>
      </c>
      <c r="AK57" s="1096">
        <f t="shared" si="42"/>
        <v>0.5</v>
      </c>
      <c r="AL57" s="1096">
        <f t="shared" si="43"/>
        <v>0.4981957923173721</v>
      </c>
      <c r="AM57" s="1097">
        <f t="shared" si="44"/>
        <v>3.5201271786950483E-2</v>
      </c>
      <c r="AN57" s="599">
        <f t="shared" si="45"/>
        <v>0</v>
      </c>
      <c r="AO57" s="597">
        <f t="shared" si="46"/>
        <v>0</v>
      </c>
      <c r="AP57" s="597">
        <f t="shared" si="47"/>
        <v>0</v>
      </c>
      <c r="AQ57" s="597">
        <f t="shared" si="48"/>
        <v>0</v>
      </c>
      <c r="AR57" s="598">
        <f t="shared" si="49"/>
        <v>0</v>
      </c>
      <c r="AS57" s="594">
        <f t="shared" ca="1" si="50"/>
        <v>0</v>
      </c>
      <c r="AT57" s="595">
        <f t="shared" ca="1" si="51"/>
        <v>0</v>
      </c>
      <c r="AU57" s="595">
        <f t="shared" ca="1" si="52"/>
        <v>0</v>
      </c>
      <c r="AV57" s="595">
        <f t="shared" si="53"/>
        <v>0</v>
      </c>
      <c r="AW57" s="596">
        <f t="shared" ca="1" si="54"/>
        <v>0</v>
      </c>
      <c r="AX57" s="594">
        <f t="shared" ca="1" si="55"/>
        <v>0</v>
      </c>
      <c r="AY57" s="595">
        <f t="shared" ca="1" si="56"/>
        <v>0</v>
      </c>
      <c r="AZ57" s="595">
        <f t="shared" ca="1" si="57"/>
        <v>0</v>
      </c>
      <c r="BA57" s="595">
        <f t="shared" si="70"/>
        <v>0</v>
      </c>
      <c r="BB57" s="596">
        <f t="shared" ca="1" si="71"/>
        <v>0</v>
      </c>
      <c r="BC57" s="594">
        <f t="shared" ca="1" si="72"/>
        <v>1</v>
      </c>
      <c r="BD57" s="595">
        <f t="shared" ca="1" si="60"/>
        <v>0</v>
      </c>
      <c r="BE57" s="595">
        <f t="shared" ca="1" si="61"/>
        <v>0</v>
      </c>
      <c r="BF57" s="595">
        <f t="shared" ca="1" si="62"/>
        <v>0</v>
      </c>
      <c r="BG57" s="595">
        <f t="shared" ca="1" si="63"/>
        <v>0</v>
      </c>
      <c r="BH57" s="596">
        <f t="shared" ca="1" si="64"/>
        <v>0</v>
      </c>
    </row>
    <row r="58" spans="1:60" x14ac:dyDescent="0.2">
      <c r="A58" s="327">
        <v>2041</v>
      </c>
      <c r="B58" s="797">
        <f t="shared" si="77"/>
        <v>70000</v>
      </c>
      <c r="C58" s="798">
        <f t="shared" si="77"/>
        <v>999999</v>
      </c>
      <c r="D58" s="798">
        <f t="shared" si="77"/>
        <v>999999</v>
      </c>
      <c r="E58" s="798">
        <f t="shared" si="77"/>
        <v>999999</v>
      </c>
      <c r="F58" s="798">
        <f t="shared" si="77"/>
        <v>999999</v>
      </c>
      <c r="G58" s="799">
        <f t="shared" si="77"/>
        <v>999999</v>
      </c>
      <c r="H58" s="740">
        <f t="shared" si="78"/>
        <v>1</v>
      </c>
      <c r="I58" s="741">
        <f t="shared" si="78"/>
        <v>0.90357283220084184</v>
      </c>
      <c r="J58" s="741">
        <f t="shared" si="78"/>
        <v>1</v>
      </c>
      <c r="K58" s="741">
        <f t="shared" si="78"/>
        <v>1</v>
      </c>
      <c r="L58" s="741">
        <f t="shared" si="78"/>
        <v>0.82467787672880344</v>
      </c>
      <c r="M58" s="742">
        <f t="shared" si="78"/>
        <v>1</v>
      </c>
      <c r="N58" s="600">
        <f t="shared" si="28"/>
        <v>9955.1489163374463</v>
      </c>
      <c r="O58" s="601">
        <f t="shared" si="29"/>
        <v>8403.1144160650383</v>
      </c>
      <c r="P58" s="601">
        <f t="shared" si="30"/>
        <v>5520.8536938242023</v>
      </c>
      <c r="Q58" s="601">
        <f t="shared" si="31"/>
        <v>9955.1489163374463</v>
      </c>
      <c r="R58" s="601">
        <f t="shared" si="32"/>
        <v>20155.011991683714</v>
      </c>
      <c r="S58" s="708">
        <f t="shared" si="33"/>
        <v>14344.119858399556</v>
      </c>
      <c r="T58" s="700">
        <f t="shared" si="65"/>
        <v>1552.034500272408</v>
      </c>
      <c r="U58" s="601">
        <f t="shared" si="66"/>
        <v>4434.295222513244</v>
      </c>
      <c r="V58" s="601">
        <f t="shared" si="67"/>
        <v>0</v>
      </c>
      <c r="W58" s="601">
        <f t="shared" si="68"/>
        <v>-10199.863075346268</v>
      </c>
      <c r="X58" s="602">
        <f t="shared" si="69"/>
        <v>-4388.9709420621093</v>
      </c>
      <c r="Y58" s="603">
        <f ca="1">IF(AND(Y$22=TRUE,INDEX(CDRANGE_CLS1,MATCH($A58,$A$24:$A$67,0),MATCH(Y$20,$B$20:$G$20,0))&lt;$D$6/OPDAYS_Cls1),86,payback(C58,T58,disc_rate/12,85))</f>
        <v>86</v>
      </c>
      <c r="Z58" s="604">
        <f ca="1">IF(AND(Z$22=TRUE,INDEX(CDRANGE_CLS1,MATCH($A58,$A$24:$A$67,0),MATCH(Z$20,$B$20:$G$20,0))&lt;$D$6/OPDAYS_Cls1),86,payback(D58,U58,disc_rate/12,85))</f>
        <v>86</v>
      </c>
      <c r="AA58" s="604">
        <f ca="1">IF(AND(AA$22=TRUE,INDEX(CDRANGE_CLS1,MATCH($A58,$A$24:$A$67,0),MATCH(AA$20,$B$20:$G$20,0))&lt;$D$6/OPDAYS_Cls1),86,payback(E58,V58,disc_rate/12,85))</f>
        <v>86</v>
      </c>
      <c r="AB58" s="604">
        <f>IF(AND(AB$22=TRUE,INDEX(CDRANGE_CLS1,MATCH($A58,$A$24:$A$67,0),MATCH(AB$20,$B$20:$G$20,0))&lt;$D$6/OPDAYS_Cls1),86,payback(F58,W58,disc_rate/12,85))</f>
        <v>86</v>
      </c>
      <c r="AC58" s="605">
        <f ca="1">IF(AND(AC$22=TRUE,INDEX(CDRANGE_CLS1,MATCH($A58,$A$24:$A$67,0),MATCH(AC$20,$B$20:$G$20,0))&lt;$D$6/OPDAYS_Cls1),86,payback(G58,X58,disc_rate/12,85))</f>
        <v>86</v>
      </c>
      <c r="AD58" s="606">
        <f t="shared" si="35"/>
        <v>0</v>
      </c>
      <c r="AE58" s="607">
        <f t="shared" si="36"/>
        <v>0</v>
      </c>
      <c r="AF58" s="607">
        <f t="shared" si="37"/>
        <v>0</v>
      </c>
      <c r="AG58" s="607">
        <f t="shared" si="38"/>
        <v>0</v>
      </c>
      <c r="AH58" s="608">
        <f t="shared" si="39"/>
        <v>0</v>
      </c>
      <c r="AI58" s="1089">
        <f t="shared" si="40"/>
        <v>0.49999998874648377</v>
      </c>
      <c r="AJ58" s="1090">
        <f t="shared" si="41"/>
        <v>0.49999815674761933</v>
      </c>
      <c r="AK58" s="1090">
        <f t="shared" si="42"/>
        <v>0.5</v>
      </c>
      <c r="AL58" s="1090">
        <f t="shared" si="43"/>
        <v>0.4992875117809038</v>
      </c>
      <c r="AM58" s="1091">
        <f t="shared" si="44"/>
        <v>4.6806300201809273E-2</v>
      </c>
      <c r="AN58" s="611">
        <f t="shared" si="45"/>
        <v>0</v>
      </c>
      <c r="AO58" s="609">
        <f t="shared" si="46"/>
        <v>0</v>
      </c>
      <c r="AP58" s="609">
        <f t="shared" si="47"/>
        <v>0</v>
      </c>
      <c r="AQ58" s="609">
        <f t="shared" si="48"/>
        <v>0</v>
      </c>
      <c r="AR58" s="610">
        <f t="shared" si="49"/>
        <v>0</v>
      </c>
      <c r="AS58" s="606">
        <f t="shared" ca="1" si="50"/>
        <v>0</v>
      </c>
      <c r="AT58" s="607">
        <f t="shared" ca="1" si="51"/>
        <v>0</v>
      </c>
      <c r="AU58" s="607">
        <f t="shared" ca="1" si="52"/>
        <v>0</v>
      </c>
      <c r="AV58" s="607">
        <f t="shared" si="53"/>
        <v>0</v>
      </c>
      <c r="AW58" s="608">
        <f t="shared" ca="1" si="54"/>
        <v>0</v>
      </c>
      <c r="AX58" s="606">
        <f t="shared" ca="1" si="55"/>
        <v>0</v>
      </c>
      <c r="AY58" s="607">
        <f t="shared" ca="1" si="56"/>
        <v>0</v>
      </c>
      <c r="AZ58" s="607">
        <f t="shared" ca="1" si="57"/>
        <v>0</v>
      </c>
      <c r="BA58" s="607">
        <f t="shared" si="70"/>
        <v>0</v>
      </c>
      <c r="BB58" s="608">
        <f t="shared" ca="1" si="71"/>
        <v>0</v>
      </c>
      <c r="BC58" s="606">
        <f t="shared" ca="1" si="72"/>
        <v>1</v>
      </c>
      <c r="BD58" s="607">
        <f t="shared" ca="1" si="60"/>
        <v>0</v>
      </c>
      <c r="BE58" s="607">
        <f t="shared" ca="1" si="61"/>
        <v>0</v>
      </c>
      <c r="BF58" s="607">
        <f t="shared" ca="1" si="62"/>
        <v>0</v>
      </c>
      <c r="BG58" s="607">
        <f t="shared" ca="1" si="63"/>
        <v>0</v>
      </c>
      <c r="BH58" s="608">
        <f t="shared" ca="1" si="64"/>
        <v>0</v>
      </c>
    </row>
    <row r="59" spans="1:60" x14ac:dyDescent="0.2">
      <c r="A59" s="326">
        <v>2042</v>
      </c>
      <c r="B59" s="800">
        <f t="shared" si="77"/>
        <v>70000</v>
      </c>
      <c r="C59" s="801">
        <f t="shared" si="77"/>
        <v>999999</v>
      </c>
      <c r="D59" s="801">
        <f t="shared" si="77"/>
        <v>999999</v>
      </c>
      <c r="E59" s="801">
        <f t="shared" si="77"/>
        <v>999999</v>
      </c>
      <c r="F59" s="801">
        <f t="shared" si="77"/>
        <v>999999</v>
      </c>
      <c r="G59" s="802">
        <f t="shared" si="77"/>
        <v>999999</v>
      </c>
      <c r="H59" s="743">
        <f t="shared" si="78"/>
        <v>1</v>
      </c>
      <c r="I59" s="744">
        <f t="shared" si="78"/>
        <v>0.90260856052285032</v>
      </c>
      <c r="J59" s="744">
        <f t="shared" si="78"/>
        <v>1</v>
      </c>
      <c r="K59" s="744">
        <f t="shared" si="78"/>
        <v>1</v>
      </c>
      <c r="L59" s="744">
        <f t="shared" si="78"/>
        <v>0.8229246554960914</v>
      </c>
      <c r="M59" s="745">
        <f t="shared" si="78"/>
        <v>1</v>
      </c>
      <c r="N59" s="284">
        <f t="shared" si="28"/>
        <v>10096.82254426213</v>
      </c>
      <c r="O59" s="285">
        <f t="shared" si="29"/>
        <v>8423.8975021218375</v>
      </c>
      <c r="P59" s="285">
        <f t="shared" si="30"/>
        <v>5601.6189067308287</v>
      </c>
      <c r="Q59" s="285">
        <f t="shared" si="31"/>
        <v>10096.82254426213</v>
      </c>
      <c r="R59" s="285">
        <f t="shared" si="32"/>
        <v>18610.329124881115</v>
      </c>
      <c r="S59" s="287">
        <f t="shared" si="33"/>
        <v>13999.789676402625</v>
      </c>
      <c r="T59" s="698">
        <f t="shared" si="65"/>
        <v>1672.9250421402921</v>
      </c>
      <c r="U59" s="299">
        <f t="shared" si="66"/>
        <v>4495.203637531301</v>
      </c>
      <c r="V59" s="299">
        <f t="shared" si="67"/>
        <v>0</v>
      </c>
      <c r="W59" s="299">
        <f t="shared" si="68"/>
        <v>-8513.506580618985</v>
      </c>
      <c r="X59" s="300">
        <f t="shared" si="69"/>
        <v>-3902.9671321404949</v>
      </c>
      <c r="Y59" s="302">
        <f ca="1">IF(AND(Y$22=TRUE,INDEX(CDRANGE_CLS1,MATCH($A59,$A$24:$A$67,0),MATCH(Y$20,$B$20:$G$20,0))&lt;$D$6/OPDAYS_Cls1),86,payback(C59,T59,disc_rate/12,85))</f>
        <v>86</v>
      </c>
      <c r="Z59" s="303">
        <f ca="1">IF(AND(Z$22=TRUE,INDEX(CDRANGE_CLS1,MATCH($A59,$A$24:$A$67,0),MATCH(Z$20,$B$20:$G$20,0))&lt;$D$6/OPDAYS_Cls1),86,payback(D59,U59,disc_rate/12,85))</f>
        <v>86</v>
      </c>
      <c r="AA59" s="303">
        <f ca="1">IF(AND(AA$22=TRUE,INDEX(CDRANGE_CLS1,MATCH($A59,$A$24:$A$67,0),MATCH(AA$20,$B$20:$G$20,0))&lt;$D$6/OPDAYS_Cls1),86,payback(E59,V59,disc_rate/12,85))</f>
        <v>86</v>
      </c>
      <c r="AB59" s="303">
        <f>IF(AND(AB$22=TRUE,INDEX(CDRANGE_CLS1,MATCH($A59,$A$24:$A$67,0),MATCH(AB$20,$B$20:$G$20,0))&lt;$D$6/OPDAYS_Cls1),86,payback(F59,W59,disc_rate/12,85))</f>
        <v>86</v>
      </c>
      <c r="AC59" s="567">
        <f ca="1">IF(AND(AC$22=TRUE,INDEX(CDRANGE_CLS1,MATCH($A59,$A$24:$A$67,0),MATCH(AC$20,$B$20:$G$20,0))&lt;$D$6/OPDAYS_Cls1),86,payback(G59,X59,disc_rate/12,85))</f>
        <v>86</v>
      </c>
      <c r="AD59" s="305">
        <f t="shared" si="35"/>
        <v>0</v>
      </c>
      <c r="AE59" s="306">
        <f t="shared" si="36"/>
        <v>0</v>
      </c>
      <c r="AF59" s="306">
        <f t="shared" si="37"/>
        <v>0</v>
      </c>
      <c r="AG59" s="306">
        <f t="shared" si="38"/>
        <v>0</v>
      </c>
      <c r="AH59" s="307">
        <f t="shared" si="39"/>
        <v>0</v>
      </c>
      <c r="AI59" s="1083">
        <f t="shared" si="40"/>
        <v>0.49999999586006244</v>
      </c>
      <c r="AJ59" s="1084">
        <f t="shared" si="41"/>
        <v>0.49999932190271063</v>
      </c>
      <c r="AK59" s="1084">
        <f t="shared" si="42"/>
        <v>0.5</v>
      </c>
      <c r="AL59" s="1084">
        <f t="shared" si="43"/>
        <v>0.49982645765770806</v>
      </c>
      <c r="AM59" s="1092">
        <f t="shared" si="44"/>
        <v>6.0764401454489129E-2</v>
      </c>
      <c r="AN59" s="308">
        <f t="shared" si="45"/>
        <v>0</v>
      </c>
      <c r="AO59" s="309">
        <f t="shared" si="46"/>
        <v>0</v>
      </c>
      <c r="AP59" s="309">
        <f t="shared" si="47"/>
        <v>0</v>
      </c>
      <c r="AQ59" s="309">
        <f t="shared" si="48"/>
        <v>0</v>
      </c>
      <c r="AR59" s="570">
        <f t="shared" si="49"/>
        <v>0</v>
      </c>
      <c r="AS59" s="305">
        <f t="shared" ca="1" si="50"/>
        <v>0</v>
      </c>
      <c r="AT59" s="306">
        <f t="shared" ca="1" si="51"/>
        <v>0</v>
      </c>
      <c r="AU59" s="306">
        <f t="shared" ca="1" si="52"/>
        <v>0</v>
      </c>
      <c r="AV59" s="306">
        <f t="shared" si="53"/>
        <v>0</v>
      </c>
      <c r="AW59" s="307">
        <f t="shared" ca="1" si="54"/>
        <v>0</v>
      </c>
      <c r="AX59" s="305">
        <f t="shared" ca="1" si="55"/>
        <v>0</v>
      </c>
      <c r="AY59" s="306">
        <f t="shared" ca="1" si="56"/>
        <v>0</v>
      </c>
      <c r="AZ59" s="306">
        <f t="shared" ca="1" si="57"/>
        <v>0</v>
      </c>
      <c r="BA59" s="306">
        <f t="shared" si="70"/>
        <v>0</v>
      </c>
      <c r="BB59" s="307">
        <f t="shared" ca="1" si="71"/>
        <v>0</v>
      </c>
      <c r="BC59" s="305">
        <f t="shared" ca="1" si="72"/>
        <v>1</v>
      </c>
      <c r="BD59" s="306">
        <f t="shared" ca="1" si="60"/>
        <v>0</v>
      </c>
      <c r="BE59" s="306">
        <f t="shared" ca="1" si="61"/>
        <v>0</v>
      </c>
      <c r="BF59" s="306">
        <f t="shared" ca="1" si="62"/>
        <v>0</v>
      </c>
      <c r="BG59" s="306">
        <f t="shared" ca="1" si="63"/>
        <v>0</v>
      </c>
      <c r="BH59" s="307">
        <f t="shared" ca="1" si="64"/>
        <v>0</v>
      </c>
    </row>
    <row r="60" spans="1:60" x14ac:dyDescent="0.2">
      <c r="A60" s="326">
        <v>2043</v>
      </c>
      <c r="B60" s="800">
        <f t="shared" si="77"/>
        <v>70000</v>
      </c>
      <c r="C60" s="801">
        <f t="shared" si="77"/>
        <v>999999</v>
      </c>
      <c r="D60" s="801">
        <f t="shared" si="77"/>
        <v>999999</v>
      </c>
      <c r="E60" s="801">
        <f t="shared" si="77"/>
        <v>999999</v>
      </c>
      <c r="F60" s="801">
        <f t="shared" si="77"/>
        <v>999999</v>
      </c>
      <c r="G60" s="802">
        <f t="shared" si="77"/>
        <v>999999</v>
      </c>
      <c r="H60" s="743">
        <f t="shared" si="78"/>
        <v>1</v>
      </c>
      <c r="I60" s="744">
        <f t="shared" si="78"/>
        <v>0.90163464612807886</v>
      </c>
      <c r="J60" s="744">
        <f t="shared" si="78"/>
        <v>1</v>
      </c>
      <c r="K60" s="744">
        <f t="shared" si="78"/>
        <v>1</v>
      </c>
      <c r="L60" s="744">
        <f t="shared" si="78"/>
        <v>0.82115390205105232</v>
      </c>
      <c r="M60" s="745">
        <f t="shared" si="78"/>
        <v>1</v>
      </c>
      <c r="N60" s="284">
        <f t="shared" si="28"/>
        <v>10153.981523277369</v>
      </c>
      <c r="O60" s="285">
        <f t="shared" si="29"/>
        <v>8359.4122842042016</v>
      </c>
      <c r="P60" s="285">
        <f t="shared" si="30"/>
        <v>5635.5925846863711</v>
      </c>
      <c r="Q60" s="285">
        <f t="shared" si="31"/>
        <v>10153.981523277369</v>
      </c>
      <c r="R60" s="285">
        <f t="shared" si="32"/>
        <v>16700.99441258462</v>
      </c>
      <c r="S60" s="287">
        <f t="shared" si="33"/>
        <v>13655.600786902771</v>
      </c>
      <c r="T60" s="698">
        <f t="shared" si="65"/>
        <v>1794.5692390731674</v>
      </c>
      <c r="U60" s="299">
        <f t="shared" si="66"/>
        <v>4518.3889385909979</v>
      </c>
      <c r="V60" s="299">
        <f t="shared" si="67"/>
        <v>0</v>
      </c>
      <c r="W60" s="299">
        <f t="shared" si="68"/>
        <v>-6547.0128893072506</v>
      </c>
      <c r="X60" s="300">
        <f t="shared" si="69"/>
        <v>-3501.6192636254018</v>
      </c>
      <c r="Y60" s="302">
        <f ca="1">IF(AND(Y$22=TRUE,INDEX(CDRANGE_CLS1,MATCH($A60,$A$24:$A$67,0),MATCH(Y$20,$B$20:$G$20,0))&lt;$D$6/OPDAYS_Cls1),86,payback(C60,T60,disc_rate/12,85))</f>
        <v>86</v>
      </c>
      <c r="Z60" s="303">
        <f ca="1">IF(AND(Z$22=TRUE,INDEX(CDRANGE_CLS1,MATCH($A60,$A$24:$A$67,0),MATCH(Z$20,$B$20:$G$20,0))&lt;$D$6/OPDAYS_Cls1),86,payback(D60,U60,disc_rate/12,85))</f>
        <v>86</v>
      </c>
      <c r="AA60" s="303">
        <f ca="1">IF(AND(AA$22=TRUE,INDEX(CDRANGE_CLS1,MATCH($A60,$A$24:$A$67,0),MATCH(AA$20,$B$20:$G$20,0))&lt;$D$6/OPDAYS_Cls1),86,payback(E60,V60,disc_rate/12,85))</f>
        <v>86</v>
      </c>
      <c r="AB60" s="303">
        <f>IF(AND(AB$22=TRUE,INDEX(CDRANGE_CLS1,MATCH($A60,$A$24:$A$67,0),MATCH(AB$20,$B$20:$G$20,0))&lt;$D$6/OPDAYS_Cls1),86,payback(F60,W60,disc_rate/12,85))</f>
        <v>86</v>
      </c>
      <c r="AC60" s="567">
        <f ca="1">IF(AND(AC$22=TRUE,INDEX(CDRANGE_CLS1,MATCH($A60,$A$24:$A$67,0),MATCH(AC$20,$B$20:$G$20,0))&lt;$D$6/OPDAYS_Cls1),86,payback(G60,X60,disc_rate/12,85))</f>
        <v>86</v>
      </c>
      <c r="AD60" s="305">
        <f t="shared" si="35"/>
        <v>0</v>
      </c>
      <c r="AE60" s="306">
        <f t="shared" si="36"/>
        <v>0</v>
      </c>
      <c r="AF60" s="306">
        <f t="shared" si="37"/>
        <v>0</v>
      </c>
      <c r="AG60" s="306">
        <f t="shared" si="38"/>
        <v>0</v>
      </c>
      <c r="AH60" s="307">
        <f t="shared" si="39"/>
        <v>0</v>
      </c>
      <c r="AI60" s="1083">
        <f t="shared" si="40"/>
        <v>0.49999999847700205</v>
      </c>
      <c r="AJ60" s="1084">
        <f t="shared" si="41"/>
        <v>0.49999975054159168</v>
      </c>
      <c r="AK60" s="1084">
        <f t="shared" si="42"/>
        <v>0.5</v>
      </c>
      <c r="AL60" s="1084">
        <f t="shared" si="43"/>
        <v>0.499947751999749</v>
      </c>
      <c r="AM60" s="1092">
        <f t="shared" si="44"/>
        <v>7.7221051358538004E-2</v>
      </c>
      <c r="AN60" s="308">
        <f t="shared" si="45"/>
        <v>0</v>
      </c>
      <c r="AO60" s="309">
        <f t="shared" si="46"/>
        <v>0</v>
      </c>
      <c r="AP60" s="309">
        <f t="shared" si="47"/>
        <v>0</v>
      </c>
      <c r="AQ60" s="309">
        <f t="shared" si="48"/>
        <v>0</v>
      </c>
      <c r="AR60" s="570">
        <f t="shared" si="49"/>
        <v>0</v>
      </c>
      <c r="AS60" s="305">
        <f t="shared" ca="1" si="50"/>
        <v>0</v>
      </c>
      <c r="AT60" s="306">
        <f t="shared" ca="1" si="51"/>
        <v>0</v>
      </c>
      <c r="AU60" s="306">
        <f t="shared" ca="1" si="52"/>
        <v>0</v>
      </c>
      <c r="AV60" s="306">
        <f t="shared" si="53"/>
        <v>0</v>
      </c>
      <c r="AW60" s="307">
        <f t="shared" ca="1" si="54"/>
        <v>0</v>
      </c>
      <c r="AX60" s="305">
        <f t="shared" ca="1" si="55"/>
        <v>0</v>
      </c>
      <c r="AY60" s="306">
        <f t="shared" ca="1" si="56"/>
        <v>0</v>
      </c>
      <c r="AZ60" s="306">
        <f t="shared" ca="1" si="57"/>
        <v>0</v>
      </c>
      <c r="BA60" s="306">
        <f t="shared" si="70"/>
        <v>0</v>
      </c>
      <c r="BB60" s="307">
        <f t="shared" ca="1" si="71"/>
        <v>0</v>
      </c>
      <c r="BC60" s="305">
        <f t="shared" ca="1" si="72"/>
        <v>1</v>
      </c>
      <c r="BD60" s="306">
        <f t="shared" ca="1" si="60"/>
        <v>0</v>
      </c>
      <c r="BE60" s="306">
        <f t="shared" ca="1" si="61"/>
        <v>0</v>
      </c>
      <c r="BF60" s="306">
        <f t="shared" ca="1" si="62"/>
        <v>0</v>
      </c>
      <c r="BG60" s="306">
        <f t="shared" ca="1" si="63"/>
        <v>0</v>
      </c>
      <c r="BH60" s="307">
        <f t="shared" ca="1" si="64"/>
        <v>0</v>
      </c>
    </row>
    <row r="61" spans="1:60" x14ac:dyDescent="0.2">
      <c r="A61" s="326">
        <v>2044</v>
      </c>
      <c r="B61" s="800">
        <f t="shared" si="77"/>
        <v>70000</v>
      </c>
      <c r="C61" s="801">
        <f t="shared" si="77"/>
        <v>999999</v>
      </c>
      <c r="D61" s="801">
        <f t="shared" si="77"/>
        <v>999999</v>
      </c>
      <c r="E61" s="801">
        <f t="shared" si="77"/>
        <v>999999</v>
      </c>
      <c r="F61" s="801">
        <f t="shared" si="77"/>
        <v>999999</v>
      </c>
      <c r="G61" s="802">
        <f t="shared" si="77"/>
        <v>999999</v>
      </c>
      <c r="H61" s="743">
        <f t="shared" si="78"/>
        <v>1</v>
      </c>
      <c r="I61" s="744">
        <f t="shared" si="78"/>
        <v>0.90065099258935954</v>
      </c>
      <c r="J61" s="744">
        <f t="shared" si="78"/>
        <v>1</v>
      </c>
      <c r="K61" s="744">
        <f t="shared" si="78"/>
        <v>1</v>
      </c>
      <c r="L61" s="744">
        <f t="shared" si="78"/>
        <v>0.81936544107156284</v>
      </c>
      <c r="M61" s="745">
        <f t="shared" si="78"/>
        <v>1</v>
      </c>
      <c r="N61" s="284">
        <f t="shared" si="28"/>
        <v>10229.328289976544</v>
      </c>
      <c r="O61" s="285">
        <f t="shared" si="29"/>
        <v>8303.7745018202568</v>
      </c>
      <c r="P61" s="285">
        <f t="shared" si="30"/>
        <v>5679.6713445582591</v>
      </c>
      <c r="Q61" s="285">
        <f t="shared" si="31"/>
        <v>10229.328289976544</v>
      </c>
      <c r="R61" s="285">
        <f t="shared" si="32"/>
        <v>14765.937840225861</v>
      </c>
      <c r="S61" s="287">
        <f t="shared" si="33"/>
        <v>13311.732440358934</v>
      </c>
      <c r="T61" s="698">
        <f t="shared" si="65"/>
        <v>1925.5537881562868</v>
      </c>
      <c r="U61" s="299">
        <f t="shared" si="66"/>
        <v>4549.6569454182845</v>
      </c>
      <c r="V61" s="299">
        <f t="shared" si="67"/>
        <v>0</v>
      </c>
      <c r="W61" s="299">
        <f t="shared" si="68"/>
        <v>-4536.6095502493172</v>
      </c>
      <c r="X61" s="300">
        <f t="shared" si="69"/>
        <v>-3082.4041503823901</v>
      </c>
      <c r="Y61" s="302">
        <f ca="1">IF(AND(Y$22=TRUE,INDEX(CDRANGE_CLS1,MATCH($A61,$A$24:$A$67,0),MATCH(Y$20,$B$20:$G$20,0))&lt;$D$6/OPDAYS_Cls1),86,payback(C61,T61,disc_rate/12,85))</f>
        <v>86</v>
      </c>
      <c r="Z61" s="303">
        <f ca="1">IF(AND(Z$22=TRUE,INDEX(CDRANGE_CLS1,MATCH($A61,$A$24:$A$67,0),MATCH(Z$20,$B$20:$G$20,0))&lt;$D$6/OPDAYS_Cls1),86,payback(D61,U61,disc_rate/12,85))</f>
        <v>86</v>
      </c>
      <c r="AA61" s="303">
        <f ca="1">IF(AND(AA$22=TRUE,INDEX(CDRANGE_CLS1,MATCH($A61,$A$24:$A$67,0),MATCH(AA$20,$B$20:$G$20,0))&lt;$D$6/OPDAYS_Cls1),86,payback(E61,V61,disc_rate/12,85))</f>
        <v>86</v>
      </c>
      <c r="AB61" s="303">
        <f>IF(AND(AB$22=TRUE,INDEX(CDRANGE_CLS1,MATCH($A61,$A$24:$A$67,0),MATCH(AB$20,$B$20:$G$20,0))&lt;$D$6/OPDAYS_Cls1),86,payback(F61,W61,disc_rate/12,85))</f>
        <v>86</v>
      </c>
      <c r="AC61" s="567">
        <f ca="1">IF(AND(AC$22=TRUE,INDEX(CDRANGE_CLS1,MATCH($A61,$A$24:$A$67,0),MATCH(AC$20,$B$20:$G$20,0))&lt;$D$6/OPDAYS_Cls1),86,payback(G61,X61,disc_rate/12,85))</f>
        <v>86</v>
      </c>
      <c r="AD61" s="305">
        <f t="shared" si="35"/>
        <v>0</v>
      </c>
      <c r="AE61" s="306">
        <f t="shared" si="36"/>
        <v>0</v>
      </c>
      <c r="AF61" s="306">
        <f t="shared" si="37"/>
        <v>0</v>
      </c>
      <c r="AG61" s="306">
        <f t="shared" si="38"/>
        <v>0</v>
      </c>
      <c r="AH61" s="307">
        <f t="shared" si="39"/>
        <v>0</v>
      </c>
      <c r="AI61" s="1083">
        <f t="shared" si="40"/>
        <v>0.49999999943972034</v>
      </c>
      <c r="AJ61" s="1084">
        <f t="shared" si="41"/>
        <v>0.49999990822933188</v>
      </c>
      <c r="AK61" s="1084">
        <f t="shared" si="42"/>
        <v>0.5</v>
      </c>
      <c r="AL61" s="1084">
        <f t="shared" si="43"/>
        <v>0.4999861986919017</v>
      </c>
      <c r="AM61" s="1092">
        <f t="shared" si="44"/>
        <v>9.6247998462012457E-2</v>
      </c>
      <c r="AN61" s="308">
        <f t="shared" si="45"/>
        <v>0</v>
      </c>
      <c r="AO61" s="309">
        <f t="shared" si="46"/>
        <v>0</v>
      </c>
      <c r="AP61" s="309">
        <f t="shared" si="47"/>
        <v>0</v>
      </c>
      <c r="AQ61" s="309">
        <f t="shared" si="48"/>
        <v>0</v>
      </c>
      <c r="AR61" s="570">
        <f t="shared" si="49"/>
        <v>0</v>
      </c>
      <c r="AS61" s="305">
        <f t="shared" ca="1" si="50"/>
        <v>0</v>
      </c>
      <c r="AT61" s="306">
        <f t="shared" ca="1" si="51"/>
        <v>0</v>
      </c>
      <c r="AU61" s="306">
        <f t="shared" ca="1" si="52"/>
        <v>0</v>
      </c>
      <c r="AV61" s="306">
        <f t="shared" si="53"/>
        <v>0</v>
      </c>
      <c r="AW61" s="307">
        <f t="shared" ca="1" si="54"/>
        <v>0</v>
      </c>
      <c r="AX61" s="305">
        <f t="shared" ca="1" si="55"/>
        <v>0</v>
      </c>
      <c r="AY61" s="306">
        <f t="shared" ca="1" si="56"/>
        <v>0</v>
      </c>
      <c r="AZ61" s="306">
        <f t="shared" ca="1" si="57"/>
        <v>0</v>
      </c>
      <c r="BA61" s="306">
        <f t="shared" si="70"/>
        <v>0</v>
      </c>
      <c r="BB61" s="307">
        <f t="shared" ca="1" si="71"/>
        <v>0</v>
      </c>
      <c r="BC61" s="305">
        <f t="shared" ca="1" si="72"/>
        <v>1</v>
      </c>
      <c r="BD61" s="306">
        <f t="shared" ca="1" si="60"/>
        <v>0</v>
      </c>
      <c r="BE61" s="306">
        <f t="shared" ca="1" si="61"/>
        <v>0</v>
      </c>
      <c r="BF61" s="306">
        <f t="shared" ca="1" si="62"/>
        <v>0</v>
      </c>
      <c r="BG61" s="306">
        <f t="shared" ca="1" si="63"/>
        <v>0</v>
      </c>
      <c r="BH61" s="307">
        <f t="shared" ca="1" si="64"/>
        <v>0</v>
      </c>
    </row>
    <row r="62" spans="1:60" ht="13.5" thickBot="1" x14ac:dyDescent="0.25">
      <c r="A62" s="311">
        <v>2045</v>
      </c>
      <c r="B62" s="803">
        <f t="shared" si="77"/>
        <v>70000</v>
      </c>
      <c r="C62" s="804">
        <f t="shared" si="77"/>
        <v>999999</v>
      </c>
      <c r="D62" s="804">
        <f t="shared" si="77"/>
        <v>999999</v>
      </c>
      <c r="E62" s="804">
        <f t="shared" si="77"/>
        <v>999999</v>
      </c>
      <c r="F62" s="804">
        <f t="shared" si="77"/>
        <v>999999</v>
      </c>
      <c r="G62" s="805">
        <f t="shared" si="77"/>
        <v>999999</v>
      </c>
      <c r="H62" s="746">
        <f t="shared" si="78"/>
        <v>1</v>
      </c>
      <c r="I62" s="747">
        <f t="shared" si="78"/>
        <v>0.89965750251525323</v>
      </c>
      <c r="J62" s="747">
        <f t="shared" si="78"/>
        <v>1</v>
      </c>
      <c r="K62" s="747">
        <f t="shared" si="78"/>
        <v>1</v>
      </c>
      <c r="L62" s="747">
        <f t="shared" si="78"/>
        <v>0.81755909548227845</v>
      </c>
      <c r="M62" s="748">
        <f t="shared" si="78"/>
        <v>1</v>
      </c>
      <c r="N62" s="761">
        <f t="shared" si="28"/>
        <v>10365.71052843717</v>
      </c>
      <c r="O62" s="762">
        <f t="shared" si="29"/>
        <v>8303.6114217906725</v>
      </c>
      <c r="P62" s="762">
        <f t="shared" si="30"/>
        <v>5757.6712458786196</v>
      </c>
      <c r="Q62" s="762">
        <f t="shared" si="31"/>
        <v>10365.71052843717</v>
      </c>
      <c r="R62" s="762">
        <f t="shared" si="32"/>
        <v>13061.906588273983</v>
      </c>
      <c r="S62" s="763">
        <f t="shared" si="33"/>
        <v>12968.170599102323</v>
      </c>
      <c r="T62" s="701">
        <f t="shared" si="65"/>
        <v>2062.0991066464976</v>
      </c>
      <c r="U62" s="313">
        <f t="shared" si="66"/>
        <v>4608.0392825585504</v>
      </c>
      <c r="V62" s="313">
        <f t="shared" si="67"/>
        <v>0</v>
      </c>
      <c r="W62" s="313">
        <f t="shared" si="68"/>
        <v>-2696.1960598368132</v>
      </c>
      <c r="X62" s="314">
        <f t="shared" si="69"/>
        <v>-2602.4600706651527</v>
      </c>
      <c r="Y62" s="316">
        <f ca="1">IF(AND(Y$22=TRUE,INDEX(CDRANGE_CLS1,MATCH($A62,$A$24:$A$67,0),MATCH(Y$20,$B$20:$G$20,0))&lt;$D$6/OPDAYS_Cls1),86,payback(C62,T62,disc_rate/12,85))</f>
        <v>86</v>
      </c>
      <c r="Z62" s="317">
        <f ca="1">IF(AND(Z$22=TRUE,INDEX(CDRANGE_CLS1,MATCH($A62,$A$24:$A$67,0),MATCH(Z$20,$B$20:$G$20,0))&lt;$D$6/OPDAYS_Cls1),86,payback(D62,U62,disc_rate/12,85))</f>
        <v>86</v>
      </c>
      <c r="AA62" s="317">
        <f ca="1">IF(AND(AA$22=TRUE,INDEX(CDRANGE_CLS1,MATCH($A62,$A$24:$A$67,0),MATCH(AA$20,$B$20:$G$20,0))&lt;$D$6/OPDAYS_Cls1),86,payback(E62,V62,disc_rate/12,85))</f>
        <v>86</v>
      </c>
      <c r="AB62" s="317">
        <f>IF(AND(AB$22=TRUE,INDEX(CDRANGE_CLS1,MATCH($A62,$A$24:$A$67,0),MATCH(AB$20,$B$20:$G$20,0))&lt;$D$6/OPDAYS_Cls1),86,payback(F62,W62,disc_rate/12,85))</f>
        <v>86</v>
      </c>
      <c r="AC62" s="568">
        <f ca="1">IF(AND(AC$22=TRUE,INDEX(CDRANGE_CLS1,MATCH($A62,$A$24:$A$67,0),MATCH(AC$20,$B$20:$G$20,0))&lt;$D$6/OPDAYS_Cls1),86,payback(G62,X62,disc_rate/12,85))</f>
        <v>86</v>
      </c>
      <c r="AD62" s="319">
        <f t="shared" si="35"/>
        <v>0</v>
      </c>
      <c r="AE62" s="320">
        <f t="shared" si="36"/>
        <v>0</v>
      </c>
      <c r="AF62" s="320">
        <f t="shared" si="37"/>
        <v>0</v>
      </c>
      <c r="AG62" s="320">
        <f t="shared" si="38"/>
        <v>0</v>
      </c>
      <c r="AH62" s="321">
        <f t="shared" si="39"/>
        <v>0</v>
      </c>
      <c r="AI62" s="1086">
        <f t="shared" si="40"/>
        <v>0.49999999979388465</v>
      </c>
      <c r="AJ62" s="1087">
        <f t="shared" si="41"/>
        <v>0.49999996623945137</v>
      </c>
      <c r="AK62" s="1087">
        <f t="shared" si="42"/>
        <v>0.5</v>
      </c>
      <c r="AL62" s="1087">
        <f t="shared" si="43"/>
        <v>0.4999968306351108</v>
      </c>
      <c r="AM62" s="1093">
        <f t="shared" si="44"/>
        <v>0.11782728956912655</v>
      </c>
      <c r="AN62" s="322">
        <f t="shared" si="45"/>
        <v>0</v>
      </c>
      <c r="AO62" s="323">
        <f t="shared" si="46"/>
        <v>0</v>
      </c>
      <c r="AP62" s="323">
        <f t="shared" si="47"/>
        <v>0</v>
      </c>
      <c r="AQ62" s="323">
        <f t="shared" si="48"/>
        <v>0</v>
      </c>
      <c r="AR62" s="571">
        <f t="shared" si="49"/>
        <v>0</v>
      </c>
      <c r="AS62" s="319">
        <f t="shared" ca="1" si="50"/>
        <v>0</v>
      </c>
      <c r="AT62" s="320">
        <f t="shared" ca="1" si="51"/>
        <v>0</v>
      </c>
      <c r="AU62" s="320">
        <f t="shared" ca="1" si="52"/>
        <v>0</v>
      </c>
      <c r="AV62" s="320">
        <f t="shared" si="53"/>
        <v>0</v>
      </c>
      <c r="AW62" s="321">
        <f t="shared" ca="1" si="54"/>
        <v>0</v>
      </c>
      <c r="AX62" s="319">
        <f t="shared" ca="1" si="55"/>
        <v>0</v>
      </c>
      <c r="AY62" s="320">
        <f t="shared" ca="1" si="56"/>
        <v>0</v>
      </c>
      <c r="AZ62" s="320">
        <f t="shared" ca="1" si="57"/>
        <v>0</v>
      </c>
      <c r="BA62" s="320">
        <f t="shared" si="70"/>
        <v>0</v>
      </c>
      <c r="BB62" s="321">
        <f t="shared" ca="1" si="71"/>
        <v>0</v>
      </c>
      <c r="BC62" s="319">
        <f t="shared" ca="1" si="72"/>
        <v>1</v>
      </c>
      <c r="BD62" s="320">
        <f t="shared" ca="1" si="60"/>
        <v>0</v>
      </c>
      <c r="BE62" s="320">
        <f t="shared" ca="1" si="61"/>
        <v>0</v>
      </c>
      <c r="BF62" s="320">
        <f t="shared" ca="1" si="62"/>
        <v>0</v>
      </c>
      <c r="BG62" s="320">
        <f t="shared" ca="1" si="63"/>
        <v>0</v>
      </c>
      <c r="BH62" s="321">
        <f t="shared" ca="1" si="64"/>
        <v>0</v>
      </c>
    </row>
    <row r="63" spans="1:60" x14ac:dyDescent="0.2">
      <c r="A63" s="325">
        <v>2046</v>
      </c>
      <c r="B63" s="806">
        <f t="shared" si="77"/>
        <v>70000</v>
      </c>
      <c r="C63" s="807">
        <f t="shared" si="77"/>
        <v>999999</v>
      </c>
      <c r="D63" s="807">
        <f t="shared" si="77"/>
        <v>999999</v>
      </c>
      <c r="E63" s="807">
        <f t="shared" si="77"/>
        <v>999999</v>
      </c>
      <c r="F63" s="807">
        <f t="shared" si="77"/>
        <v>999999</v>
      </c>
      <c r="G63" s="808">
        <f t="shared" si="77"/>
        <v>999999</v>
      </c>
      <c r="H63" s="749">
        <f t="shared" si="78"/>
        <v>1</v>
      </c>
      <c r="I63" s="750">
        <f t="shared" si="78"/>
        <v>0.89865407754040572</v>
      </c>
      <c r="J63" s="750">
        <f t="shared" si="78"/>
        <v>1</v>
      </c>
      <c r="K63" s="750">
        <f t="shared" si="78"/>
        <v>1</v>
      </c>
      <c r="L63" s="750">
        <f t="shared" si="78"/>
        <v>0.81573468643710123</v>
      </c>
      <c r="M63" s="751">
        <f t="shared" si="78"/>
        <v>1</v>
      </c>
      <c r="N63" s="600">
        <f t="shared" si="28"/>
        <v>10367.796775149907</v>
      </c>
      <c r="O63" s="601">
        <f t="shared" si="29"/>
        <v>8231.2774813232845</v>
      </c>
      <c r="P63" s="601">
        <f t="shared" si="30"/>
        <v>5761.1086044633576</v>
      </c>
      <c r="Q63" s="601">
        <f t="shared" si="31"/>
        <v>10367.796775149907</v>
      </c>
      <c r="R63" s="601">
        <f t="shared" si="32"/>
        <v>11801.966451907443</v>
      </c>
      <c r="S63" s="708">
        <f t="shared" si="33"/>
        <v>12624.875323804736</v>
      </c>
      <c r="T63" s="697">
        <f t="shared" si="65"/>
        <v>2136.5192938266227</v>
      </c>
      <c r="U63" s="285">
        <f t="shared" si="66"/>
        <v>4606.6881706865497</v>
      </c>
      <c r="V63" s="285">
        <f t="shared" si="67"/>
        <v>0</v>
      </c>
      <c r="W63" s="285">
        <f t="shared" si="68"/>
        <v>-1434.1696767575359</v>
      </c>
      <c r="X63" s="286">
        <f t="shared" si="69"/>
        <v>-2257.0785486548284</v>
      </c>
      <c r="Y63" s="288">
        <f ca="1">IF(AND(Y$22=TRUE,INDEX(CDRANGE_CLS1,MATCH($A63,$A$24:$A$67,0),MATCH(Y$20,$B$20:$G$20,0))&lt;$D$6/OPDAYS_Cls1),86,payback(C63,T63,disc_rate/12,85))</f>
        <v>86</v>
      </c>
      <c r="Z63" s="289">
        <f ca="1">IF(AND(Z$22=TRUE,INDEX(CDRANGE_CLS1,MATCH($A63,$A$24:$A$67,0),MATCH(Z$20,$B$20:$G$20,0))&lt;$D$6/OPDAYS_Cls1),86,payback(D63,U63,disc_rate/12,85))</f>
        <v>86</v>
      </c>
      <c r="AA63" s="289">
        <f ca="1">IF(AND(AA$22=TRUE,INDEX(CDRANGE_CLS1,MATCH($A63,$A$24:$A$67,0),MATCH(AA$20,$B$20:$G$20,0))&lt;$D$6/OPDAYS_Cls1),86,payback(E63,V63,disc_rate/12,85))</f>
        <v>86</v>
      </c>
      <c r="AB63" s="289">
        <f>IF(AND(AB$22=TRUE,INDEX(CDRANGE_CLS1,MATCH($A63,$A$24:$A$67,0),MATCH(AB$20,$B$20:$G$20,0))&lt;$D$6/OPDAYS_Cls1),86,payback(F63,W63,disc_rate/12,85))</f>
        <v>86</v>
      </c>
      <c r="AC63" s="581">
        <f ca="1">IF(AND(AC$22=TRUE,INDEX(CDRANGE_CLS1,MATCH($A63,$A$24:$A$67,0),MATCH(AC$20,$B$20:$G$20,0))&lt;$D$6/OPDAYS_Cls1),86,payback(G63,X63,disc_rate/12,85))</f>
        <v>86</v>
      </c>
      <c r="AD63" s="291">
        <f t="shared" si="35"/>
        <v>0</v>
      </c>
      <c r="AE63" s="292">
        <f t="shared" si="36"/>
        <v>0</v>
      </c>
      <c r="AF63" s="292">
        <f t="shared" si="37"/>
        <v>0</v>
      </c>
      <c r="AG63" s="292">
        <f t="shared" si="38"/>
        <v>0</v>
      </c>
      <c r="AH63" s="293">
        <f t="shared" si="39"/>
        <v>0</v>
      </c>
      <c r="AI63" s="1080">
        <f t="shared" si="40"/>
        <v>0.49999999992417438</v>
      </c>
      <c r="AJ63" s="1081">
        <f t="shared" si="41"/>
        <v>0.49999998758018732</v>
      </c>
      <c r="AK63" s="1081">
        <f t="shared" si="42"/>
        <v>0.5</v>
      </c>
      <c r="AL63" s="1081">
        <f t="shared" si="43"/>
        <v>0.49999937323372978</v>
      </c>
      <c r="AM63" s="1094">
        <f t="shared" si="44"/>
        <v>0.14183714029600356</v>
      </c>
      <c r="AN63" s="294">
        <f t="shared" si="45"/>
        <v>0</v>
      </c>
      <c r="AO63" s="295">
        <f t="shared" si="46"/>
        <v>0</v>
      </c>
      <c r="AP63" s="295">
        <f t="shared" si="47"/>
        <v>0</v>
      </c>
      <c r="AQ63" s="295">
        <f t="shared" si="48"/>
        <v>0</v>
      </c>
      <c r="AR63" s="582">
        <f t="shared" si="49"/>
        <v>0</v>
      </c>
      <c r="AS63" s="291">
        <f t="shared" ca="1" si="50"/>
        <v>0</v>
      </c>
      <c r="AT63" s="292">
        <f t="shared" ca="1" si="51"/>
        <v>0</v>
      </c>
      <c r="AU63" s="292">
        <f t="shared" ca="1" si="52"/>
        <v>0</v>
      </c>
      <c r="AV63" s="292">
        <f t="shared" si="53"/>
        <v>0</v>
      </c>
      <c r="AW63" s="293">
        <f t="shared" ca="1" si="54"/>
        <v>0</v>
      </c>
      <c r="AX63" s="291">
        <f t="shared" ca="1" si="55"/>
        <v>0</v>
      </c>
      <c r="AY63" s="292">
        <f t="shared" ca="1" si="56"/>
        <v>0</v>
      </c>
      <c r="AZ63" s="292">
        <f t="shared" ca="1" si="57"/>
        <v>0</v>
      </c>
      <c r="BA63" s="292">
        <f t="shared" si="70"/>
        <v>0</v>
      </c>
      <c r="BB63" s="293">
        <f t="shared" ca="1" si="71"/>
        <v>0</v>
      </c>
      <c r="BC63" s="291">
        <f t="shared" ca="1" si="72"/>
        <v>1</v>
      </c>
      <c r="BD63" s="292">
        <f t="shared" ca="1" si="60"/>
        <v>0</v>
      </c>
      <c r="BE63" s="292">
        <f t="shared" ca="1" si="61"/>
        <v>0</v>
      </c>
      <c r="BF63" s="292">
        <f t="shared" ca="1" si="62"/>
        <v>0</v>
      </c>
      <c r="BG63" s="292">
        <f t="shared" ca="1" si="63"/>
        <v>0</v>
      </c>
      <c r="BH63" s="293">
        <f t="shared" ca="1" si="64"/>
        <v>0</v>
      </c>
    </row>
    <row r="64" spans="1:60" x14ac:dyDescent="0.2">
      <c r="A64" s="326">
        <v>2047</v>
      </c>
      <c r="B64" s="800">
        <f t="shared" si="77"/>
        <v>70000</v>
      </c>
      <c r="C64" s="801">
        <f t="shared" si="77"/>
        <v>999999</v>
      </c>
      <c r="D64" s="801">
        <f t="shared" si="77"/>
        <v>999999</v>
      </c>
      <c r="E64" s="801">
        <f t="shared" si="77"/>
        <v>999999</v>
      </c>
      <c r="F64" s="801">
        <f t="shared" si="77"/>
        <v>999999</v>
      </c>
      <c r="G64" s="802">
        <f t="shared" si="77"/>
        <v>999999</v>
      </c>
      <c r="H64" s="743">
        <f t="shared" si="78"/>
        <v>1</v>
      </c>
      <c r="I64" s="744">
        <f t="shared" si="78"/>
        <v>0.89764061831580977</v>
      </c>
      <c r="J64" s="744">
        <f t="shared" si="78"/>
        <v>1</v>
      </c>
      <c r="K64" s="744">
        <f t="shared" si="78"/>
        <v>1</v>
      </c>
      <c r="L64" s="744">
        <f t="shared" si="78"/>
        <v>0.8138920333014722</v>
      </c>
      <c r="M64" s="745">
        <f t="shared" si="78"/>
        <v>1</v>
      </c>
      <c r="N64" s="284">
        <f t="shared" si="28"/>
        <v>10460.426592396101</v>
      </c>
      <c r="O64" s="285">
        <f t="shared" si="29"/>
        <v>8253.697569061811</v>
      </c>
      <c r="P64" s="285">
        <f t="shared" si="30"/>
        <v>5814.8956905501836</v>
      </c>
      <c r="Q64" s="285">
        <f t="shared" si="31"/>
        <v>10460.426592396101</v>
      </c>
      <c r="R64" s="285">
        <f t="shared" si="32"/>
        <v>11037.731557719897</v>
      </c>
      <c r="S64" s="287">
        <f t="shared" si="33"/>
        <v>12281.817146783034</v>
      </c>
      <c r="T64" s="698">
        <f t="shared" si="65"/>
        <v>2206.7290233342901</v>
      </c>
      <c r="U64" s="299">
        <f t="shared" si="66"/>
        <v>4645.5309018459175</v>
      </c>
      <c r="V64" s="299">
        <f t="shared" si="67"/>
        <v>0</v>
      </c>
      <c r="W64" s="299">
        <f t="shared" si="68"/>
        <v>-577.30496532379584</v>
      </c>
      <c r="X64" s="300">
        <f t="shared" si="69"/>
        <v>-1821.3905543869332</v>
      </c>
      <c r="Y64" s="302">
        <f ca="1">IF(AND(Y$22=TRUE,INDEX(CDRANGE_CLS1,MATCH($A64,$A$24:$A$67,0),MATCH(Y$20,$B$20:$G$20,0))&lt;$D$6/OPDAYS_Cls1),86,payback(C64,T64,disc_rate/12,85))</f>
        <v>86</v>
      </c>
      <c r="Z64" s="303">
        <f ca="1">IF(AND(Z$22=TRUE,INDEX(CDRANGE_CLS1,MATCH($A64,$A$24:$A$67,0),MATCH(Z$20,$B$20:$G$20,0))&lt;$D$6/OPDAYS_Cls1),86,payback(D64,U64,disc_rate/12,85))</f>
        <v>86</v>
      </c>
      <c r="AA64" s="303">
        <f ca="1">IF(AND(AA$22=TRUE,INDEX(CDRANGE_CLS1,MATCH($A64,$A$24:$A$67,0),MATCH(AA$20,$B$20:$G$20,0))&lt;$D$6/OPDAYS_Cls1),86,payback(E64,V64,disc_rate/12,85))</f>
        <v>86</v>
      </c>
      <c r="AB64" s="303">
        <f>IF(AND(AB$22=TRUE,INDEX(CDRANGE_CLS1,MATCH($A64,$A$24:$A$67,0),MATCH(AB$20,$B$20:$G$20,0))&lt;$D$6/OPDAYS_Cls1),86,payback(F64,W64,disc_rate/12,85))</f>
        <v>86</v>
      </c>
      <c r="AC64" s="567">
        <f ca="1">IF(AND(AC$22=TRUE,INDEX(CDRANGE_CLS1,MATCH($A64,$A$24:$A$67,0),MATCH(AC$20,$B$20:$G$20,0))&lt;$D$6/OPDAYS_Cls1),86,payback(G64,X64,disc_rate/12,85))</f>
        <v>86</v>
      </c>
      <c r="AD64" s="305">
        <f t="shared" si="35"/>
        <v>0</v>
      </c>
      <c r="AE64" s="306">
        <f t="shared" si="36"/>
        <v>0</v>
      </c>
      <c r="AF64" s="306">
        <f t="shared" si="37"/>
        <v>0</v>
      </c>
      <c r="AG64" s="306">
        <f t="shared" si="38"/>
        <v>0</v>
      </c>
      <c r="AH64" s="307">
        <f t="shared" si="39"/>
        <v>0</v>
      </c>
      <c r="AI64" s="1083">
        <f t="shared" si="40"/>
        <v>0.49999999992417438</v>
      </c>
      <c r="AJ64" s="1084">
        <f t="shared" si="41"/>
        <v>0.49999999543100615</v>
      </c>
      <c r="AK64" s="1084">
        <f t="shared" si="42"/>
        <v>0.5</v>
      </c>
      <c r="AL64" s="1084">
        <f t="shared" si="43"/>
        <v>0.4999998943023673</v>
      </c>
      <c r="AM64" s="1092">
        <f t="shared" si="44"/>
        <v>0.16804189043445361</v>
      </c>
      <c r="AN64" s="308">
        <f t="shared" si="45"/>
        <v>0</v>
      </c>
      <c r="AO64" s="309">
        <f t="shared" si="46"/>
        <v>0</v>
      </c>
      <c r="AP64" s="309">
        <f t="shared" si="47"/>
        <v>0</v>
      </c>
      <c r="AQ64" s="309">
        <f t="shared" si="48"/>
        <v>0</v>
      </c>
      <c r="AR64" s="570">
        <f t="shared" si="49"/>
        <v>0</v>
      </c>
      <c r="AS64" s="305">
        <f t="shared" ca="1" si="50"/>
        <v>0</v>
      </c>
      <c r="AT64" s="306">
        <f t="shared" ca="1" si="51"/>
        <v>0</v>
      </c>
      <c r="AU64" s="306">
        <f t="shared" ca="1" si="52"/>
        <v>0</v>
      </c>
      <c r="AV64" s="306">
        <f t="shared" si="53"/>
        <v>0</v>
      </c>
      <c r="AW64" s="307">
        <f t="shared" ca="1" si="54"/>
        <v>0</v>
      </c>
      <c r="AX64" s="305">
        <f t="shared" ca="1" si="55"/>
        <v>0</v>
      </c>
      <c r="AY64" s="306">
        <f t="shared" ca="1" si="56"/>
        <v>0</v>
      </c>
      <c r="AZ64" s="306">
        <f t="shared" ca="1" si="57"/>
        <v>0</v>
      </c>
      <c r="BA64" s="306">
        <f t="shared" si="70"/>
        <v>0</v>
      </c>
      <c r="BB64" s="307">
        <f t="shared" ca="1" si="71"/>
        <v>0</v>
      </c>
      <c r="BC64" s="305">
        <f t="shared" ca="1" si="72"/>
        <v>1</v>
      </c>
      <c r="BD64" s="306">
        <f t="shared" ca="1" si="60"/>
        <v>0</v>
      </c>
      <c r="BE64" s="306">
        <f t="shared" ca="1" si="61"/>
        <v>0</v>
      </c>
      <c r="BF64" s="306">
        <f t="shared" ca="1" si="62"/>
        <v>0</v>
      </c>
      <c r="BG64" s="306">
        <f t="shared" ca="1" si="63"/>
        <v>0</v>
      </c>
      <c r="BH64" s="307">
        <f t="shared" ca="1" si="64"/>
        <v>0</v>
      </c>
    </row>
    <row r="65" spans="1:60" x14ac:dyDescent="0.2">
      <c r="A65" s="326">
        <v>2048</v>
      </c>
      <c r="B65" s="800">
        <f t="shared" si="77"/>
        <v>70000</v>
      </c>
      <c r="C65" s="801">
        <f t="shared" si="77"/>
        <v>999999</v>
      </c>
      <c r="D65" s="801">
        <f t="shared" si="77"/>
        <v>999999</v>
      </c>
      <c r="E65" s="801">
        <f t="shared" si="77"/>
        <v>999999</v>
      </c>
      <c r="F65" s="801">
        <f t="shared" si="77"/>
        <v>999999</v>
      </c>
      <c r="G65" s="802">
        <f t="shared" si="77"/>
        <v>999999</v>
      </c>
      <c r="H65" s="743">
        <f t="shared" si="78"/>
        <v>1</v>
      </c>
      <c r="I65" s="744">
        <f t="shared" si="78"/>
        <v>0.89661702449896785</v>
      </c>
      <c r="J65" s="744">
        <f t="shared" si="78"/>
        <v>1</v>
      </c>
      <c r="K65" s="744">
        <f t="shared" si="78"/>
        <v>1</v>
      </c>
      <c r="L65" s="744">
        <f t="shared" si="78"/>
        <v>0.81203095363448696</v>
      </c>
      <c r="M65" s="745">
        <f t="shared" si="78"/>
        <v>1</v>
      </c>
      <c r="N65" s="284">
        <f t="shared" si="28"/>
        <v>10544.993054746657</v>
      </c>
      <c r="O65" s="285">
        <f t="shared" si="29"/>
        <v>8292.8501292584115</v>
      </c>
      <c r="P65" s="285">
        <f t="shared" si="30"/>
        <v>5864.2472244178962</v>
      </c>
      <c r="Q65" s="285">
        <f t="shared" si="31"/>
        <v>10544.993054746657</v>
      </c>
      <c r="R65" s="285">
        <f t="shared" si="32"/>
        <v>10647.192893248326</v>
      </c>
      <c r="S65" s="287">
        <f t="shared" si="33"/>
        <v>11939.016548963267</v>
      </c>
      <c r="T65" s="698">
        <f t="shared" si="65"/>
        <v>2252.142925488246</v>
      </c>
      <c r="U65" s="299">
        <f t="shared" si="66"/>
        <v>4680.7458303287613</v>
      </c>
      <c r="V65" s="299">
        <f t="shared" si="67"/>
        <v>0</v>
      </c>
      <c r="W65" s="299">
        <f t="shared" si="68"/>
        <v>-102.19983850166864</v>
      </c>
      <c r="X65" s="300">
        <f t="shared" si="69"/>
        <v>-1394.0234942166098</v>
      </c>
      <c r="Y65" s="302">
        <f ca="1">IF(AND(Y$22=TRUE,INDEX(CDRANGE_CLS1,MATCH($A65,$A$24:$A$67,0),MATCH(Y$20,$B$20:$G$20,0))&lt;$D$6/OPDAYS_Cls1),86,payback(C65,T65,disc_rate/12,85))</f>
        <v>86</v>
      </c>
      <c r="Z65" s="303">
        <f ca="1">IF(AND(Z$22=TRUE,INDEX(CDRANGE_CLS1,MATCH($A65,$A$24:$A$67,0),MATCH(Z$20,$B$20:$G$20,0))&lt;$D$6/OPDAYS_Cls1),86,payback(D65,U65,disc_rate/12,85))</f>
        <v>86</v>
      </c>
      <c r="AA65" s="303">
        <f ca="1">IF(AND(AA$22=TRUE,INDEX(CDRANGE_CLS1,MATCH($A65,$A$24:$A$67,0),MATCH(AA$20,$B$20:$G$20,0))&lt;$D$6/OPDAYS_Cls1),86,payback(E65,V65,disc_rate/12,85))</f>
        <v>86</v>
      </c>
      <c r="AB65" s="303">
        <f>IF(AND(AB$22=TRUE,INDEX(CDRANGE_CLS1,MATCH($A65,$A$24:$A$67,0),MATCH(AB$20,$B$20:$G$20,0))&lt;$D$6/OPDAYS_Cls1),86,payback(F65,W65,disc_rate/12,85))</f>
        <v>86</v>
      </c>
      <c r="AC65" s="567">
        <f ca="1">IF(AND(AC$22=TRUE,INDEX(CDRANGE_CLS1,MATCH($A65,$A$24:$A$67,0),MATCH(AC$20,$B$20:$G$20,0))&lt;$D$6/OPDAYS_Cls1),86,payback(G65,X65,disc_rate/12,85))</f>
        <v>86</v>
      </c>
      <c r="AD65" s="305">
        <f t="shared" si="35"/>
        <v>0</v>
      </c>
      <c r="AE65" s="306">
        <f t="shared" si="36"/>
        <v>0</v>
      </c>
      <c r="AF65" s="306">
        <f t="shared" si="37"/>
        <v>0</v>
      </c>
      <c r="AG65" s="306">
        <f t="shared" si="38"/>
        <v>0</v>
      </c>
      <c r="AH65" s="307">
        <f t="shared" si="39"/>
        <v>0</v>
      </c>
      <c r="AI65" s="1083">
        <f t="shared" si="40"/>
        <v>0.49999999992417438</v>
      </c>
      <c r="AJ65" s="1084">
        <f t="shared" si="41"/>
        <v>0.49999999831916109</v>
      </c>
      <c r="AK65" s="1084">
        <f t="shared" si="42"/>
        <v>0.5</v>
      </c>
      <c r="AL65" s="1084">
        <f t="shared" si="43"/>
        <v>0.49999994373241263</v>
      </c>
      <c r="AM65" s="1092">
        <f t="shared" si="44"/>
        <v>0.19608834204833553</v>
      </c>
      <c r="AN65" s="308">
        <f t="shared" si="45"/>
        <v>0</v>
      </c>
      <c r="AO65" s="309">
        <f t="shared" si="46"/>
        <v>0</v>
      </c>
      <c r="AP65" s="309">
        <f t="shared" si="47"/>
        <v>0</v>
      </c>
      <c r="AQ65" s="309">
        <f t="shared" si="48"/>
        <v>0</v>
      </c>
      <c r="AR65" s="570">
        <f t="shared" si="49"/>
        <v>0</v>
      </c>
      <c r="AS65" s="305">
        <f t="shared" ca="1" si="50"/>
        <v>0</v>
      </c>
      <c r="AT65" s="306">
        <f t="shared" ca="1" si="51"/>
        <v>0</v>
      </c>
      <c r="AU65" s="306">
        <f t="shared" ca="1" si="52"/>
        <v>0</v>
      </c>
      <c r="AV65" s="306">
        <f t="shared" si="53"/>
        <v>0</v>
      </c>
      <c r="AW65" s="307">
        <f t="shared" ca="1" si="54"/>
        <v>0</v>
      </c>
      <c r="AX65" s="305">
        <f t="shared" ca="1" si="55"/>
        <v>0</v>
      </c>
      <c r="AY65" s="306">
        <f t="shared" ca="1" si="56"/>
        <v>0</v>
      </c>
      <c r="AZ65" s="306">
        <f t="shared" ca="1" si="57"/>
        <v>0</v>
      </c>
      <c r="BA65" s="306">
        <f t="shared" si="70"/>
        <v>0</v>
      </c>
      <c r="BB65" s="307">
        <f t="shared" ca="1" si="71"/>
        <v>0</v>
      </c>
      <c r="BC65" s="305">
        <f t="shared" ca="1" si="72"/>
        <v>1</v>
      </c>
      <c r="BD65" s="306">
        <f t="shared" ca="1" si="60"/>
        <v>0</v>
      </c>
      <c r="BE65" s="306">
        <f t="shared" ca="1" si="61"/>
        <v>0</v>
      </c>
      <c r="BF65" s="306">
        <f t="shared" ca="1" si="62"/>
        <v>0</v>
      </c>
      <c r="BG65" s="306">
        <f t="shared" ca="1" si="63"/>
        <v>0</v>
      </c>
      <c r="BH65" s="307">
        <f t="shared" ca="1" si="64"/>
        <v>0</v>
      </c>
    </row>
    <row r="66" spans="1:60" x14ac:dyDescent="0.2">
      <c r="A66" s="326">
        <v>2049</v>
      </c>
      <c r="B66" s="800">
        <f t="shared" si="77"/>
        <v>70000</v>
      </c>
      <c r="C66" s="801">
        <f t="shared" si="77"/>
        <v>999999</v>
      </c>
      <c r="D66" s="801">
        <f t="shared" si="77"/>
        <v>999999</v>
      </c>
      <c r="E66" s="801">
        <f t="shared" si="77"/>
        <v>999999</v>
      </c>
      <c r="F66" s="801">
        <f t="shared" si="77"/>
        <v>999999</v>
      </c>
      <c r="G66" s="802">
        <f t="shared" si="77"/>
        <v>999999</v>
      </c>
      <c r="H66" s="743">
        <f t="shared" si="78"/>
        <v>1</v>
      </c>
      <c r="I66" s="744">
        <f t="shared" si="78"/>
        <v>0.89558319474395753</v>
      </c>
      <c r="J66" s="744">
        <f t="shared" si="78"/>
        <v>1</v>
      </c>
      <c r="K66" s="744">
        <f t="shared" si="78"/>
        <v>1</v>
      </c>
      <c r="L66" s="744">
        <f t="shared" si="78"/>
        <v>0.81015126317083186</v>
      </c>
      <c r="M66" s="745">
        <f t="shared" si="78"/>
        <v>1</v>
      </c>
      <c r="N66" s="284">
        <f t="shared" si="28"/>
        <v>10605.335803019783</v>
      </c>
      <c r="O66" s="285">
        <f t="shared" si="29"/>
        <v>8325.5306886096841</v>
      </c>
      <c r="P66" s="285">
        <f t="shared" si="30"/>
        <v>5900.1578183161846</v>
      </c>
      <c r="Q66" s="285">
        <f t="shared" si="31"/>
        <v>10605.335803019783</v>
      </c>
      <c r="R66" s="285">
        <f t="shared" si="32"/>
        <v>10437.964381317606</v>
      </c>
      <c r="S66" s="287">
        <f t="shared" si="33"/>
        <v>11596.493331231324</v>
      </c>
      <c r="T66" s="698">
        <f t="shared" si="65"/>
        <v>2279.8051144100991</v>
      </c>
      <c r="U66" s="299">
        <f t="shared" si="66"/>
        <v>4705.1779847035987</v>
      </c>
      <c r="V66" s="299">
        <f t="shared" si="67"/>
        <v>0</v>
      </c>
      <c r="W66" s="299">
        <f t="shared" si="68"/>
        <v>167.37142170217703</v>
      </c>
      <c r="X66" s="300">
        <f t="shared" si="69"/>
        <v>-991.15752821154092</v>
      </c>
      <c r="Y66" s="302">
        <f ca="1">IF(AND(Y$22=TRUE,INDEX(CDRANGE_CLS1,MATCH($A66,$A$24:$A$67,0),MATCH(Y$20,$B$20:$G$20,0))&lt;$D$6/OPDAYS_Cls1),86,payback(C66,T66,disc_rate/12,85))</f>
        <v>86</v>
      </c>
      <c r="Z66" s="303">
        <f ca="1">IF(AND(Z$22=TRUE,INDEX(CDRANGE_CLS1,MATCH($A66,$A$24:$A$67,0),MATCH(Z$20,$B$20:$G$20,0))&lt;$D$6/OPDAYS_Cls1),86,payback(D66,U66,disc_rate/12,85))</f>
        <v>86</v>
      </c>
      <c r="AA66" s="303">
        <f ca="1">IF(AND(AA$22=TRUE,INDEX(CDRANGE_CLS1,MATCH($A66,$A$24:$A$67,0),MATCH(AA$20,$B$20:$G$20,0))&lt;$D$6/OPDAYS_Cls1),86,payback(E66,V66,disc_rate/12,85))</f>
        <v>86</v>
      </c>
      <c r="AB66" s="303">
        <f>IF(AND(AB$22=TRUE,INDEX(CDRANGE_CLS1,MATCH($A66,$A$24:$A$67,0),MATCH(AB$20,$B$20:$G$20,0))&lt;$D$6/OPDAYS_Cls1),86,payback(F66,W66,disc_rate/12,85))</f>
        <v>86</v>
      </c>
      <c r="AC66" s="567">
        <f ca="1">IF(AND(AC$22=TRUE,INDEX(CDRANGE_CLS1,MATCH($A66,$A$24:$A$67,0),MATCH(AC$20,$B$20:$G$20,0))&lt;$D$6/OPDAYS_Cls1),86,payback(G66,X66,disc_rate/12,85))</f>
        <v>86</v>
      </c>
      <c r="AD66" s="305">
        <f t="shared" si="35"/>
        <v>0</v>
      </c>
      <c r="AE66" s="306">
        <f t="shared" si="36"/>
        <v>0</v>
      </c>
      <c r="AF66" s="306">
        <f t="shared" si="37"/>
        <v>0</v>
      </c>
      <c r="AG66" s="306">
        <f t="shared" si="38"/>
        <v>0</v>
      </c>
      <c r="AH66" s="307">
        <f t="shared" si="39"/>
        <v>0</v>
      </c>
      <c r="AI66" s="1083">
        <f t="shared" si="40"/>
        <v>0.49999999992417438</v>
      </c>
      <c r="AJ66" s="1084">
        <f t="shared" si="41"/>
        <v>0.4999999993816539</v>
      </c>
      <c r="AK66" s="1084">
        <f t="shared" si="42"/>
        <v>0.5</v>
      </c>
      <c r="AL66" s="1084">
        <f t="shared" si="43"/>
        <v>0.49999994373241263</v>
      </c>
      <c r="AM66" s="1092">
        <f t="shared" si="44"/>
        <v>0.22551053283958344</v>
      </c>
      <c r="AN66" s="308">
        <f t="shared" si="45"/>
        <v>0</v>
      </c>
      <c r="AO66" s="309">
        <f t="shared" si="46"/>
        <v>0</v>
      </c>
      <c r="AP66" s="309">
        <f t="shared" si="47"/>
        <v>0</v>
      </c>
      <c r="AQ66" s="309">
        <f t="shared" si="48"/>
        <v>0</v>
      </c>
      <c r="AR66" s="570">
        <f t="shared" si="49"/>
        <v>0</v>
      </c>
      <c r="AS66" s="305">
        <f t="shared" ca="1" si="50"/>
        <v>0</v>
      </c>
      <c r="AT66" s="306">
        <f t="shared" ca="1" si="51"/>
        <v>0</v>
      </c>
      <c r="AU66" s="306">
        <f t="shared" ca="1" si="52"/>
        <v>0</v>
      </c>
      <c r="AV66" s="306">
        <f t="shared" si="53"/>
        <v>0</v>
      </c>
      <c r="AW66" s="307">
        <f t="shared" ca="1" si="54"/>
        <v>0</v>
      </c>
      <c r="AX66" s="305">
        <f t="shared" ca="1" si="55"/>
        <v>0</v>
      </c>
      <c r="AY66" s="306">
        <f t="shared" ca="1" si="56"/>
        <v>0</v>
      </c>
      <c r="AZ66" s="306">
        <f t="shared" ca="1" si="57"/>
        <v>0</v>
      </c>
      <c r="BA66" s="306">
        <f t="shared" si="70"/>
        <v>0</v>
      </c>
      <c r="BB66" s="307">
        <f t="shared" ca="1" si="71"/>
        <v>0</v>
      </c>
      <c r="BC66" s="305">
        <f t="shared" ca="1" si="72"/>
        <v>1</v>
      </c>
      <c r="BD66" s="306">
        <f t="shared" ca="1" si="60"/>
        <v>0</v>
      </c>
      <c r="BE66" s="306">
        <f t="shared" ca="1" si="61"/>
        <v>0</v>
      </c>
      <c r="BF66" s="306">
        <f t="shared" ca="1" si="62"/>
        <v>0</v>
      </c>
      <c r="BG66" s="306">
        <f t="shared" ca="1" si="63"/>
        <v>0</v>
      </c>
      <c r="BH66" s="307">
        <f t="shared" ca="1" si="64"/>
        <v>0</v>
      </c>
    </row>
    <row r="67" spans="1:60" ht="13.5" thickBot="1" x14ac:dyDescent="0.25">
      <c r="A67" s="311">
        <v>2050</v>
      </c>
      <c r="B67" s="803">
        <f t="shared" si="77"/>
        <v>70000</v>
      </c>
      <c r="C67" s="804">
        <f t="shared" si="77"/>
        <v>999999</v>
      </c>
      <c r="D67" s="804">
        <f t="shared" si="77"/>
        <v>999999</v>
      </c>
      <c r="E67" s="804">
        <f t="shared" si="77"/>
        <v>999999</v>
      </c>
      <c r="F67" s="804">
        <f t="shared" si="77"/>
        <v>999999</v>
      </c>
      <c r="G67" s="805">
        <f t="shared" si="77"/>
        <v>999999</v>
      </c>
      <c r="H67" s="746">
        <f t="shared" si="78"/>
        <v>1</v>
      </c>
      <c r="I67" s="747">
        <f t="shared" si="78"/>
        <v>0.89453902669139707</v>
      </c>
      <c r="J67" s="747">
        <f t="shared" si="78"/>
        <v>1</v>
      </c>
      <c r="K67" s="747">
        <f t="shared" si="78"/>
        <v>1</v>
      </c>
      <c r="L67" s="747">
        <f t="shared" si="78"/>
        <v>0.80825277580254007</v>
      </c>
      <c r="M67" s="748">
        <f t="shared" si="78"/>
        <v>1</v>
      </c>
      <c r="N67" s="761">
        <f t="shared" si="28"/>
        <v>10660.564884048103</v>
      </c>
      <c r="O67" s="762">
        <f t="shared" si="29"/>
        <v>8359.6750198064783</v>
      </c>
      <c r="P67" s="762">
        <f t="shared" si="30"/>
        <v>5933.2507742671614</v>
      </c>
      <c r="Q67" s="762">
        <f t="shared" si="31"/>
        <v>10660.564884048103</v>
      </c>
      <c r="R67" s="762">
        <f t="shared" si="32"/>
        <v>10313.362745669616</v>
      </c>
      <c r="S67" s="763">
        <f t="shared" si="33"/>
        <v>11254.2400693648</v>
      </c>
      <c r="T67" s="701">
        <f t="shared" si="65"/>
        <v>2300.8898642416243</v>
      </c>
      <c r="U67" s="313">
        <f t="shared" si="66"/>
        <v>4727.3141097809412</v>
      </c>
      <c r="V67" s="313">
        <f t="shared" si="67"/>
        <v>0</v>
      </c>
      <c r="W67" s="313">
        <f t="shared" si="68"/>
        <v>347.20213837848678</v>
      </c>
      <c r="X67" s="314">
        <f t="shared" si="69"/>
        <v>-593.67518531669702</v>
      </c>
      <c r="Y67" s="316">
        <f ca="1">IF(AND(Y$22=TRUE,INDEX(CDRANGE_CLS1,MATCH($A67,$A$24:$A$67,0),MATCH(Y$20,$B$20:$G$20,0))&lt;$D$6/OPDAYS_Cls1),86,payback(C67,T67,disc_rate/12,85))</f>
        <v>86</v>
      </c>
      <c r="Z67" s="317">
        <f ca="1">IF(AND(Z$22=TRUE,INDEX(CDRANGE_CLS1,MATCH($A67,$A$24:$A$67,0),MATCH(Z$20,$B$20:$G$20,0))&lt;$D$6/OPDAYS_Cls1),86,payback(D67,U67,disc_rate/12,85))</f>
        <v>86</v>
      </c>
      <c r="AA67" s="317">
        <f ca="1">IF(AND(AA$22=TRUE,INDEX(CDRANGE_CLS1,MATCH($A67,$A$24:$A$67,0),MATCH(AA$20,$B$20:$G$20,0))&lt;$D$6/OPDAYS_Cls1),86,payback(E67,V67,disc_rate/12,85))</f>
        <v>86</v>
      </c>
      <c r="AB67" s="317">
        <f>IF(AND(AB$22=TRUE,INDEX(CDRANGE_CLS1,MATCH($A67,$A$24:$A$67,0),MATCH(AB$20,$B$20:$G$20,0))&lt;$D$6/OPDAYS_Cls1),86,payback(F67,W67,disc_rate/12,85))</f>
        <v>86</v>
      </c>
      <c r="AC67" s="568">
        <f ca="1">IF(AND(AC$22=TRUE,INDEX(CDRANGE_CLS1,MATCH($A67,$A$24:$A$67,0),MATCH(AC$20,$B$20:$G$20,0))&lt;$D$6/OPDAYS_Cls1),86,payback(G67,X67,disc_rate/12,85))</f>
        <v>86</v>
      </c>
      <c r="AD67" s="319">
        <f t="shared" si="35"/>
        <v>0</v>
      </c>
      <c r="AE67" s="320">
        <f t="shared" si="36"/>
        <v>0</v>
      </c>
      <c r="AF67" s="320">
        <f t="shared" si="37"/>
        <v>0</v>
      </c>
      <c r="AG67" s="320">
        <f t="shared" si="38"/>
        <v>0</v>
      </c>
      <c r="AH67" s="321">
        <f t="shared" si="39"/>
        <v>0</v>
      </c>
      <c r="AI67" s="1086">
        <f t="shared" si="40"/>
        <v>0.49999999992417438</v>
      </c>
      <c r="AJ67" s="1087">
        <f t="shared" si="41"/>
        <v>0.49999999977252318</v>
      </c>
      <c r="AK67" s="1087">
        <f t="shared" si="42"/>
        <v>0.5</v>
      </c>
      <c r="AL67" s="1087">
        <f t="shared" si="43"/>
        <v>0.49999994373241263</v>
      </c>
      <c r="AM67" s="1093">
        <f t="shared" si="44"/>
        <v>0.25574440216640193</v>
      </c>
      <c r="AN67" s="322">
        <f t="shared" si="45"/>
        <v>0</v>
      </c>
      <c r="AO67" s="323">
        <f t="shared" si="46"/>
        <v>0</v>
      </c>
      <c r="AP67" s="323">
        <f t="shared" si="47"/>
        <v>0</v>
      </c>
      <c r="AQ67" s="323">
        <f t="shared" si="48"/>
        <v>0</v>
      </c>
      <c r="AR67" s="571">
        <f t="shared" si="49"/>
        <v>0</v>
      </c>
      <c r="AS67" s="319">
        <f t="shared" ca="1" si="50"/>
        <v>0</v>
      </c>
      <c r="AT67" s="320">
        <f t="shared" ca="1" si="51"/>
        <v>0</v>
      </c>
      <c r="AU67" s="320">
        <f t="shared" ca="1" si="52"/>
        <v>0</v>
      </c>
      <c r="AV67" s="320">
        <f t="shared" si="53"/>
        <v>0</v>
      </c>
      <c r="AW67" s="321">
        <f t="shared" ca="1" si="54"/>
        <v>0</v>
      </c>
      <c r="AX67" s="319">
        <f t="shared" ca="1" si="55"/>
        <v>0</v>
      </c>
      <c r="AY67" s="320">
        <f t="shared" ca="1" si="56"/>
        <v>0</v>
      </c>
      <c r="AZ67" s="320">
        <f t="shared" ca="1" si="57"/>
        <v>0</v>
      </c>
      <c r="BA67" s="320">
        <f t="shared" si="70"/>
        <v>0</v>
      </c>
      <c r="BB67" s="321">
        <f t="shared" ca="1" si="71"/>
        <v>0</v>
      </c>
      <c r="BC67" s="319">
        <f t="shared" ca="1" si="72"/>
        <v>1</v>
      </c>
      <c r="BD67" s="320">
        <f t="shared" ca="1" si="60"/>
        <v>0</v>
      </c>
      <c r="BE67" s="320">
        <f t="shared" ca="1" si="61"/>
        <v>0</v>
      </c>
      <c r="BF67" s="320">
        <f t="shared" ca="1" si="62"/>
        <v>0</v>
      </c>
      <c r="BG67" s="320">
        <f t="shared" ca="1" si="63"/>
        <v>0</v>
      </c>
      <c r="BH67" s="321">
        <f t="shared" ca="1" si="64"/>
        <v>0</v>
      </c>
    </row>
    <row r="68" spans="1:60" x14ac:dyDescent="0.2">
      <c r="A68" s="236" t="str">
        <f>"Output generated: "&amp; TEXT(MAX($P$4,$P$5),"m/dd/yyyy hh:mm")</f>
        <v>Output generated: 11/04/2020 14:43</v>
      </c>
      <c r="B68" s="788"/>
      <c r="C68" s="788"/>
      <c r="D68" s="788"/>
      <c r="E68" s="788"/>
      <c r="F68" s="788"/>
      <c r="G68" s="733"/>
      <c r="W68" s="236" t="str">
        <f>IF(K68=0,"",$N68-R68+W$22)</f>
        <v/>
      </c>
      <c r="X68" s="236" t="str">
        <f>IF(M68=0,"",$N68-S68+X$22)</f>
        <v/>
      </c>
      <c r="Y68" s="243"/>
      <c r="Z68" s="243"/>
      <c r="AA68" s="243"/>
      <c r="AB68" s="243"/>
      <c r="AC68" s="243"/>
      <c r="AD68" s="331"/>
      <c r="AE68" s="243"/>
      <c r="AF68" s="243"/>
      <c r="AG68" s="243"/>
      <c r="AH68" s="243"/>
    </row>
    <row r="69" spans="1:60" ht="13.5" thickBot="1" x14ac:dyDescent="0.25"/>
    <row r="70" spans="1:60" s="28" customFormat="1" ht="15" x14ac:dyDescent="0.25">
      <c r="A70" s="342"/>
      <c r="B70" s="1643" t="s">
        <v>269</v>
      </c>
      <c r="C70" s="1644"/>
      <c r="D70" s="1644"/>
      <c r="E70" s="1644"/>
      <c r="F70" s="1644"/>
      <c r="G70" s="1644"/>
      <c r="H70" s="1644"/>
      <c r="I70" s="1644"/>
      <c r="J70" s="1644"/>
      <c r="K70" s="1644"/>
      <c r="L70" s="1644"/>
      <c r="M70" s="1644"/>
      <c r="N70" s="1645"/>
      <c r="O70" s="1643" t="s">
        <v>270</v>
      </c>
      <c r="P70" s="1644"/>
      <c r="Q70" s="1644"/>
      <c r="R70" s="1644"/>
      <c r="S70" s="1644"/>
      <c r="T70" s="1644"/>
      <c r="U70" s="1644"/>
      <c r="V70" s="1644"/>
      <c r="W70" s="1644"/>
      <c r="X70" s="1644"/>
      <c r="Y70" s="1644"/>
      <c r="Z70" s="1644"/>
      <c r="AA70" s="1645"/>
    </row>
    <row r="71" spans="1:60" x14ac:dyDescent="0.2">
      <c r="A71" s="333"/>
      <c r="B71" s="1641" t="s">
        <v>125</v>
      </c>
      <c r="C71" s="1642"/>
      <c r="D71" s="1642"/>
      <c r="E71" s="1642"/>
      <c r="F71" s="1642"/>
      <c r="G71" s="1642"/>
      <c r="H71" s="1642"/>
      <c r="I71" s="1642"/>
      <c r="J71" s="1642"/>
      <c r="K71" s="1642"/>
      <c r="L71" s="1658"/>
      <c r="M71" s="367"/>
      <c r="N71" s="334"/>
      <c r="O71" s="1641" t="s">
        <v>125</v>
      </c>
      <c r="P71" s="1642"/>
      <c r="Q71" s="1642"/>
      <c r="R71" s="1642"/>
      <c r="S71" s="1642"/>
      <c r="T71" s="1642"/>
      <c r="U71" s="1642"/>
      <c r="V71" s="1642"/>
      <c r="W71" s="1642"/>
      <c r="X71" s="1642"/>
      <c r="Y71" s="1658"/>
      <c r="Z71" s="367"/>
      <c r="AA71" s="334"/>
      <c r="AI71" s="236"/>
      <c r="AJ71" s="236"/>
      <c r="AK71" s="236"/>
      <c r="AL71" s="236"/>
      <c r="AM71" s="236"/>
    </row>
    <row r="72" spans="1:60" s="237" customFormat="1" ht="13.5" thickBot="1" x14ac:dyDescent="0.25">
      <c r="A72" s="340"/>
      <c r="B72" s="347" t="s">
        <v>31</v>
      </c>
      <c r="C72" s="348" t="s">
        <v>32</v>
      </c>
      <c r="D72" s="348" t="s">
        <v>33</v>
      </c>
      <c r="E72" s="348" t="s">
        <v>34</v>
      </c>
      <c r="F72" s="348" t="s">
        <v>35</v>
      </c>
      <c r="G72" s="348" t="s">
        <v>36</v>
      </c>
      <c r="H72" s="348" t="s">
        <v>37</v>
      </c>
      <c r="I72" s="348" t="s">
        <v>38</v>
      </c>
      <c r="J72" s="348" t="s">
        <v>39</v>
      </c>
      <c r="K72" s="348" t="s">
        <v>40</v>
      </c>
      <c r="L72" s="362" t="s">
        <v>41</v>
      </c>
      <c r="M72" s="368" t="s">
        <v>126</v>
      </c>
      <c r="N72" s="341" t="s">
        <v>127</v>
      </c>
      <c r="O72" s="347" t="s">
        <v>31</v>
      </c>
      <c r="P72" s="348" t="s">
        <v>32</v>
      </c>
      <c r="Q72" s="348" t="s">
        <v>33</v>
      </c>
      <c r="R72" s="348" t="s">
        <v>34</v>
      </c>
      <c r="S72" s="348" t="s">
        <v>35</v>
      </c>
      <c r="T72" s="348" t="s">
        <v>36</v>
      </c>
      <c r="U72" s="348" t="s">
        <v>37</v>
      </c>
      <c r="V72" s="348" t="s">
        <v>38</v>
      </c>
      <c r="W72" s="348" t="s">
        <v>39</v>
      </c>
      <c r="X72" s="348" t="s">
        <v>40</v>
      </c>
      <c r="Y72" s="362" t="s">
        <v>41</v>
      </c>
      <c r="Z72" s="368" t="s">
        <v>126</v>
      </c>
      <c r="AA72" s="341" t="s">
        <v>127</v>
      </c>
      <c r="AB72" s="236"/>
      <c r="AC72" s="869" t="s">
        <v>211</v>
      </c>
      <c r="AD72" s="243" t="b">
        <f>INDEX(TECH_OPT_FUEL2_Cls1,MATCH(RIGHT(O70),TECH_OPT_ROWS_Cls1,0))&lt;&gt;"N/A"</f>
        <v>1</v>
      </c>
    </row>
    <row r="73" spans="1:60" s="237" customFormat="1" ht="14.25" thickTop="1" thickBot="1" x14ac:dyDescent="0.25">
      <c r="A73" s="344" t="s">
        <v>128</v>
      </c>
      <c r="B73" s="349">
        <f t="array" ref="B73:L73">TRANSPOSE(Cls1CentTruckShr)</f>
        <v>0.19351049492932548</v>
      </c>
      <c r="C73" s="350">
        <v>0.2501505093300298</v>
      </c>
      <c r="D73" s="350">
        <v>4.1900540200962323E-3</v>
      </c>
      <c r="E73" s="350">
        <v>0</v>
      </c>
      <c r="F73" s="350">
        <v>0</v>
      </c>
      <c r="G73" s="350">
        <v>0</v>
      </c>
      <c r="H73" s="350">
        <v>0</v>
      </c>
      <c r="I73" s="350">
        <v>0</v>
      </c>
      <c r="J73" s="350">
        <v>0</v>
      </c>
      <c r="K73" s="350">
        <v>0</v>
      </c>
      <c r="L73" s="363">
        <v>0</v>
      </c>
      <c r="M73" s="369"/>
      <c r="N73" s="345"/>
      <c r="O73" s="349">
        <f t="array" ref="O73:Y73">TRANSPOSE(Cls1NCentTruckShr)</f>
        <v>0.30789040692318376</v>
      </c>
      <c r="P73" s="350">
        <v>0.21073814200859928</v>
      </c>
      <c r="Q73" s="350">
        <v>3.3520392788765403E-2</v>
      </c>
      <c r="R73" s="350">
        <v>0</v>
      </c>
      <c r="S73" s="350">
        <v>0</v>
      </c>
      <c r="T73" s="350">
        <v>0</v>
      </c>
      <c r="U73" s="350">
        <v>0</v>
      </c>
      <c r="V73" s="350">
        <v>0</v>
      </c>
      <c r="W73" s="350">
        <v>0</v>
      </c>
      <c r="X73" s="350">
        <v>0</v>
      </c>
      <c r="Y73" s="363">
        <v>0</v>
      </c>
      <c r="Z73" s="369"/>
      <c r="AA73" s="345"/>
      <c r="AB73" s="896"/>
      <c r="AC73" s="869" t="s">
        <v>212</v>
      </c>
      <c r="AD73" s="243">
        <f>MATCH(RIGHT(O70),TECH_OPT_ROWS_Cls1,0)</f>
        <v>2</v>
      </c>
      <c r="AH73"/>
      <c r="AI73"/>
      <c r="AJ73"/>
      <c r="AK73"/>
      <c r="AL73"/>
      <c r="AM73"/>
      <c r="AN73"/>
      <c r="AO73"/>
      <c r="AP73"/>
      <c r="AQ73"/>
      <c r="AR73"/>
      <c r="AS73"/>
      <c r="AT73"/>
      <c r="AU73"/>
    </row>
    <row r="74" spans="1:60" s="237" customFormat="1" x14ac:dyDescent="0.2">
      <c r="A74" s="340" t="s">
        <v>129</v>
      </c>
      <c r="B74" s="898">
        <f t="array" ref="B74:L74">TRANSPOSE(Cls1CentVMTShr)</f>
        <v>9.273212178681503E-2</v>
      </c>
      <c r="C74" s="899">
        <v>0.32242235704181188</v>
      </c>
      <c r="D74" s="899">
        <v>9.1542250355295205E-3</v>
      </c>
      <c r="E74" s="899">
        <v>0</v>
      </c>
      <c r="F74" s="899">
        <v>0</v>
      </c>
      <c r="G74" s="899">
        <v>0</v>
      </c>
      <c r="H74" s="899">
        <v>0</v>
      </c>
      <c r="I74" s="899">
        <v>0</v>
      </c>
      <c r="J74" s="899">
        <v>0</v>
      </c>
      <c r="K74" s="899">
        <v>0</v>
      </c>
      <c r="L74" s="900">
        <v>0</v>
      </c>
      <c r="M74" s="373"/>
      <c r="N74" s="343"/>
      <c r="O74" s="898">
        <f t="array" ref="O74:Y74">TRANSPOSE(Cls1NCentVMTShr)</f>
        <v>0.16874553744672482</v>
      </c>
      <c r="P74" s="899">
        <v>0.32500949786451999</v>
      </c>
      <c r="Q74" s="899">
        <v>8.1936260824598706E-2</v>
      </c>
      <c r="R74" s="899">
        <v>0</v>
      </c>
      <c r="S74" s="899">
        <v>0</v>
      </c>
      <c r="T74" s="899">
        <v>0</v>
      </c>
      <c r="U74" s="899">
        <v>0</v>
      </c>
      <c r="V74" s="899">
        <v>0</v>
      </c>
      <c r="W74" s="899">
        <v>0</v>
      </c>
      <c r="X74" s="899">
        <v>0</v>
      </c>
      <c r="Y74" s="900">
        <v>0</v>
      </c>
      <c r="Z74" s="373"/>
      <c r="AA74" s="343"/>
      <c r="AB74" s="1630" t="str">
        <f>"% of miles on f2 for Tech "&amp; RIGHT(O70)&amp;" adopters"</f>
        <v>% of miles on f2 for Tech A adopters</v>
      </c>
      <c r="AC74" s="1631"/>
      <c r="AD74" s="1632"/>
      <c r="AE74" s="1114" t="s">
        <v>243</v>
      </c>
      <c r="AF74" s="1114"/>
      <c r="AG74" s="1114"/>
      <c r="AH74" s="1115" t="s">
        <v>252</v>
      </c>
      <c r="AI74" s="1116"/>
      <c r="AJ74" s="1111"/>
      <c r="AK74"/>
      <c r="AL74"/>
      <c r="AM74"/>
      <c r="AN74"/>
      <c r="AO74"/>
      <c r="AP74"/>
      <c r="AQ74"/>
      <c r="AR74"/>
      <c r="AS74"/>
      <c r="AT74"/>
      <c r="AU74"/>
    </row>
    <row r="75" spans="1:60" ht="13.5" thickBot="1" x14ac:dyDescent="0.25">
      <c r="A75" s="902" t="s">
        <v>210</v>
      </c>
      <c r="B75" s="893">
        <f t="array" ref="B75:L75">TRANSPOSE(Cls1CentVMT/OPDAYS_Cls1)</f>
        <v>37.00142799703638</v>
      </c>
      <c r="C75" s="894">
        <v>99.521421131036902</v>
      </c>
      <c r="D75" s="894">
        <v>168.69211144921252</v>
      </c>
      <c r="E75" s="894">
        <v>280</v>
      </c>
      <c r="F75" s="894">
        <v>360</v>
      </c>
      <c r="G75" s="894">
        <v>440</v>
      </c>
      <c r="H75" s="894">
        <v>520</v>
      </c>
      <c r="I75" s="894">
        <v>600</v>
      </c>
      <c r="J75" s="894">
        <v>680</v>
      </c>
      <c r="K75" s="894">
        <v>760</v>
      </c>
      <c r="L75" s="895">
        <v>800</v>
      </c>
      <c r="M75" s="891"/>
      <c r="N75" s="892"/>
      <c r="O75" s="893">
        <f t="array" ref="O75:Y75">TRANSPOSE(Cls1NCentVMT/OPDAYS_Cls1)</f>
        <v>42.318371896217066</v>
      </c>
      <c r="P75" s="894">
        <v>119.08188972092167</v>
      </c>
      <c r="Q75" s="894">
        <v>188.73821956526081</v>
      </c>
      <c r="R75" s="894">
        <v>280</v>
      </c>
      <c r="S75" s="894">
        <v>360</v>
      </c>
      <c r="T75" s="894">
        <v>440</v>
      </c>
      <c r="U75" s="894">
        <v>520</v>
      </c>
      <c r="V75" s="894">
        <v>600</v>
      </c>
      <c r="W75" s="894">
        <v>680</v>
      </c>
      <c r="X75" s="894">
        <v>760</v>
      </c>
      <c r="Y75" s="895">
        <v>800</v>
      </c>
      <c r="Z75" s="903"/>
      <c r="AA75" s="892"/>
      <c r="AB75" s="915" t="s">
        <v>174</v>
      </c>
      <c r="AC75" s="916" t="s">
        <v>15</v>
      </c>
      <c r="AD75" s="917" t="s">
        <v>20</v>
      </c>
      <c r="AE75" s="897" t="s">
        <v>174</v>
      </c>
      <c r="AF75" s="897" t="s">
        <v>15</v>
      </c>
      <c r="AG75" s="897" t="s">
        <v>20</v>
      </c>
      <c r="AH75" s="1113" t="s">
        <v>174</v>
      </c>
      <c r="AI75" s="897" t="s">
        <v>15</v>
      </c>
      <c r="AJ75"/>
      <c r="AK75"/>
      <c r="AL75"/>
      <c r="AM75"/>
      <c r="AN75"/>
      <c r="AO75"/>
      <c r="AP75"/>
      <c r="AQ75"/>
      <c r="AR75"/>
      <c r="AS75"/>
      <c r="AT75"/>
      <c r="AU75"/>
    </row>
    <row r="76" spans="1:60" ht="13.5" thickTop="1" x14ac:dyDescent="0.2">
      <c r="A76" s="901">
        <v>2007</v>
      </c>
      <c r="B76" s="351">
        <v>0</v>
      </c>
      <c r="C76" s="352">
        <v>0</v>
      </c>
      <c r="D76" s="352">
        <v>0</v>
      </c>
      <c r="E76" s="352">
        <v>0</v>
      </c>
      <c r="F76" s="352">
        <v>0</v>
      </c>
      <c r="G76" s="352">
        <v>0</v>
      </c>
      <c r="H76" s="352">
        <v>0</v>
      </c>
      <c r="I76" s="352">
        <v>0</v>
      </c>
      <c r="J76" s="352">
        <v>0</v>
      </c>
      <c r="K76" s="352">
        <v>0</v>
      </c>
      <c r="L76" s="364">
        <v>0</v>
      </c>
      <c r="M76" s="291">
        <f t="shared" ref="M76:M119" si="79">SUMPRODUCT($B$74:$L$74,$B76:$L76)</f>
        <v>0</v>
      </c>
      <c r="N76" s="293">
        <f t="shared" ref="N76:N119" si="80">SUMPRODUCT($B$73:$L$73,$B76:$L76)</f>
        <v>0</v>
      </c>
      <c r="O76" s="351">
        <v>0</v>
      </c>
      <c r="P76" s="352">
        <v>0</v>
      </c>
      <c r="Q76" s="352">
        <v>0</v>
      </c>
      <c r="R76" s="352">
        <v>0</v>
      </c>
      <c r="S76" s="352">
        <v>0</v>
      </c>
      <c r="T76" s="352">
        <v>0</v>
      </c>
      <c r="U76" s="352">
        <v>0</v>
      </c>
      <c r="V76" s="352">
        <v>0</v>
      </c>
      <c r="W76" s="352">
        <v>0</v>
      </c>
      <c r="X76" s="352">
        <v>0</v>
      </c>
      <c r="Y76" s="364">
        <v>0</v>
      </c>
      <c r="Z76" s="291">
        <f t="shared" ref="Z76:Z119" si="81">SUMPRODUCT($O$74:$Y$74,$O76:$Y76)</f>
        <v>0</v>
      </c>
      <c r="AA76" s="293">
        <f t="shared" ref="AA76:AA119" si="82">SUMPRODUCT($O$73:$Y$73,$O76:$Y76)</f>
        <v>0</v>
      </c>
      <c r="AB76" s="91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1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174">
        <f>AB76*AH76+AC76*AI76</f>
        <v>0</v>
      </c>
      <c r="AE76" s="897">
        <f t="shared" ref="AE76:AE90" si="83">SUMPRODUCT($B$74:$L$74,B76:L76)</f>
        <v>0</v>
      </c>
      <c r="AF76" s="897">
        <f t="shared" ref="AF76:AF90" si="84">SUMPRODUCT($O$74:$Y$74,O76:Y76)</f>
        <v>0</v>
      </c>
      <c r="AG76" s="897">
        <f t="shared" ref="AG76:AG90" si="85">SUM(AE76:AF76)</f>
        <v>0</v>
      </c>
      <c r="AH76" s="1113">
        <f>IF(AG76&gt;0,AE76/AG76,0)</f>
        <v>0</v>
      </c>
      <c r="AI76" s="897">
        <f>IF(AG76&gt;0,AF76/AG76,0)</f>
        <v>0</v>
      </c>
      <c r="AJ76"/>
      <c r="AK76"/>
      <c r="AL76"/>
      <c r="AM76" s="1112"/>
      <c r="AN76"/>
      <c r="AO76"/>
      <c r="AP76"/>
      <c r="AQ76"/>
      <c r="AR76"/>
      <c r="AS76"/>
      <c r="AT76"/>
      <c r="AU76"/>
    </row>
    <row r="77" spans="1:60" x14ac:dyDescent="0.2">
      <c r="A77" s="336">
        <v>2008</v>
      </c>
      <c r="B77" s="353">
        <v>0</v>
      </c>
      <c r="C77" s="354">
        <v>0</v>
      </c>
      <c r="D77" s="354">
        <v>0</v>
      </c>
      <c r="E77" s="354">
        <v>0</v>
      </c>
      <c r="F77" s="354">
        <v>0</v>
      </c>
      <c r="G77" s="354">
        <v>0</v>
      </c>
      <c r="H77" s="354">
        <v>0</v>
      </c>
      <c r="I77" s="354">
        <v>0</v>
      </c>
      <c r="J77" s="354">
        <v>0</v>
      </c>
      <c r="K77" s="354">
        <v>0</v>
      </c>
      <c r="L77" s="365">
        <v>0</v>
      </c>
      <c r="M77" s="305">
        <f t="shared" si="79"/>
        <v>0</v>
      </c>
      <c r="N77" s="307">
        <f t="shared" si="80"/>
        <v>0</v>
      </c>
      <c r="O77" s="353">
        <v>0</v>
      </c>
      <c r="P77" s="354">
        <v>0</v>
      </c>
      <c r="Q77" s="354">
        <v>0</v>
      </c>
      <c r="R77" s="354">
        <v>0</v>
      </c>
      <c r="S77" s="354">
        <v>0</v>
      </c>
      <c r="T77" s="354">
        <v>0</v>
      </c>
      <c r="U77" s="354">
        <v>0</v>
      </c>
      <c r="V77" s="354">
        <v>0</v>
      </c>
      <c r="W77" s="354">
        <v>0</v>
      </c>
      <c r="X77" s="354">
        <v>0</v>
      </c>
      <c r="Y77" s="365">
        <v>0</v>
      </c>
      <c r="Z77" s="305">
        <f t="shared" si="81"/>
        <v>0</v>
      </c>
      <c r="AA77" s="307">
        <f t="shared" si="82"/>
        <v>0</v>
      </c>
      <c r="AB77" s="91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1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920">
        <f t="shared" ref="AD77:AD119" si="86">AB77*AH77+AC77*AI77</f>
        <v>0</v>
      </c>
      <c r="AE77" s="897">
        <f t="shared" si="83"/>
        <v>0</v>
      </c>
      <c r="AF77" s="897">
        <f t="shared" si="84"/>
        <v>0</v>
      </c>
      <c r="AG77" s="897">
        <f t="shared" si="85"/>
        <v>0</v>
      </c>
      <c r="AH77" s="1113">
        <f t="shared" ref="AH77:AH119" si="87">IF(AG77&gt;0,AE77/AG77,0)</f>
        <v>0</v>
      </c>
      <c r="AI77" s="897">
        <f t="shared" ref="AI77:AI119" si="88">IF(AG77&gt;0,AF77/AG77,0)</f>
        <v>0</v>
      </c>
      <c r="AJ77"/>
      <c r="AK77"/>
      <c r="AL77"/>
      <c r="AM77" s="1112"/>
      <c r="AN77"/>
      <c r="AO77"/>
      <c r="AP77"/>
      <c r="AQ77"/>
      <c r="AR77"/>
      <c r="AS77"/>
      <c r="AT77"/>
      <c r="AU77"/>
    </row>
    <row r="78" spans="1:60" x14ac:dyDescent="0.2">
      <c r="A78" s="336">
        <v>2009</v>
      </c>
      <c r="B78" s="353">
        <v>0</v>
      </c>
      <c r="C78" s="354">
        <v>0</v>
      </c>
      <c r="D78" s="354">
        <v>0</v>
      </c>
      <c r="E78" s="354">
        <v>0</v>
      </c>
      <c r="F78" s="354">
        <v>0</v>
      </c>
      <c r="G78" s="354">
        <v>0</v>
      </c>
      <c r="H78" s="354">
        <v>0</v>
      </c>
      <c r="I78" s="354">
        <v>0</v>
      </c>
      <c r="J78" s="354">
        <v>0</v>
      </c>
      <c r="K78" s="354">
        <v>0</v>
      </c>
      <c r="L78" s="365">
        <v>0</v>
      </c>
      <c r="M78" s="305">
        <f t="shared" si="79"/>
        <v>0</v>
      </c>
      <c r="N78" s="307">
        <f t="shared" si="80"/>
        <v>0</v>
      </c>
      <c r="O78" s="353">
        <v>0</v>
      </c>
      <c r="P78" s="354">
        <v>0</v>
      </c>
      <c r="Q78" s="354">
        <v>0</v>
      </c>
      <c r="R78" s="354">
        <v>0</v>
      </c>
      <c r="S78" s="354">
        <v>0</v>
      </c>
      <c r="T78" s="354">
        <v>0</v>
      </c>
      <c r="U78" s="354">
        <v>0</v>
      </c>
      <c r="V78" s="354">
        <v>0</v>
      </c>
      <c r="W78" s="354">
        <v>0</v>
      </c>
      <c r="X78" s="354">
        <v>0</v>
      </c>
      <c r="Y78" s="365">
        <v>0</v>
      </c>
      <c r="Z78" s="305">
        <f t="shared" si="81"/>
        <v>0</v>
      </c>
      <c r="AA78" s="307">
        <f t="shared" si="82"/>
        <v>0</v>
      </c>
      <c r="AB78" s="91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1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920">
        <f t="shared" si="86"/>
        <v>0</v>
      </c>
      <c r="AE78" s="897">
        <f t="shared" si="83"/>
        <v>0</v>
      </c>
      <c r="AF78" s="897">
        <f t="shared" si="84"/>
        <v>0</v>
      </c>
      <c r="AG78" s="897">
        <f t="shared" si="85"/>
        <v>0</v>
      </c>
      <c r="AH78" s="1113">
        <f t="shared" si="87"/>
        <v>0</v>
      </c>
      <c r="AI78" s="897">
        <f t="shared" si="88"/>
        <v>0</v>
      </c>
      <c r="AJ78"/>
      <c r="AK78"/>
      <c r="AL78"/>
      <c r="AM78" s="1112"/>
      <c r="AN78"/>
      <c r="AO78"/>
      <c r="AP78"/>
      <c r="AQ78"/>
      <c r="AR78"/>
      <c r="AS78"/>
      <c r="AT78"/>
      <c r="AU78"/>
    </row>
    <row r="79" spans="1:60" ht="13.5" thickBot="1" x14ac:dyDescent="0.25">
      <c r="A79" s="337">
        <v>2010</v>
      </c>
      <c r="B79" s="355">
        <v>0</v>
      </c>
      <c r="C79" s="356">
        <v>0</v>
      </c>
      <c r="D79" s="356">
        <v>0</v>
      </c>
      <c r="E79" s="356">
        <v>0</v>
      </c>
      <c r="F79" s="356">
        <v>0</v>
      </c>
      <c r="G79" s="356">
        <v>0</v>
      </c>
      <c r="H79" s="356">
        <v>0</v>
      </c>
      <c r="I79" s="356">
        <v>0</v>
      </c>
      <c r="J79" s="356">
        <v>0</v>
      </c>
      <c r="K79" s="356">
        <v>0</v>
      </c>
      <c r="L79" s="366">
        <v>0</v>
      </c>
      <c r="M79" s="319">
        <f t="shared" si="79"/>
        <v>0</v>
      </c>
      <c r="N79" s="321">
        <f t="shared" si="80"/>
        <v>0</v>
      </c>
      <c r="O79" s="355">
        <v>0</v>
      </c>
      <c r="P79" s="356">
        <v>0</v>
      </c>
      <c r="Q79" s="356">
        <v>0</v>
      </c>
      <c r="R79" s="356">
        <v>0</v>
      </c>
      <c r="S79" s="356">
        <v>0</v>
      </c>
      <c r="T79" s="356">
        <v>0</v>
      </c>
      <c r="U79" s="356">
        <v>0</v>
      </c>
      <c r="V79" s="356">
        <v>0</v>
      </c>
      <c r="W79" s="356">
        <v>0</v>
      </c>
      <c r="X79" s="356">
        <v>0</v>
      </c>
      <c r="Y79" s="366">
        <v>0</v>
      </c>
      <c r="Z79" s="319">
        <f t="shared" si="81"/>
        <v>0</v>
      </c>
      <c r="AA79" s="321">
        <f t="shared" si="82"/>
        <v>0</v>
      </c>
      <c r="AB79" s="91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1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920">
        <f t="shared" si="86"/>
        <v>0</v>
      </c>
      <c r="AE79" s="897">
        <f t="shared" si="83"/>
        <v>0</v>
      </c>
      <c r="AF79" s="897">
        <f t="shared" si="84"/>
        <v>0</v>
      </c>
      <c r="AG79" s="897">
        <f t="shared" si="85"/>
        <v>0</v>
      </c>
      <c r="AH79" s="1113">
        <f t="shared" si="87"/>
        <v>0</v>
      </c>
      <c r="AI79" s="897">
        <f t="shared" si="88"/>
        <v>0</v>
      </c>
      <c r="AJ79" s="1110"/>
      <c r="AK79" s="1110"/>
      <c r="AL79" s="1110"/>
      <c r="AM79" s="1112"/>
      <c r="AN79" s="1110"/>
      <c r="AO79" s="1110"/>
      <c r="AP79" s="1110"/>
      <c r="AQ79" s="1110"/>
      <c r="AR79" s="1110"/>
      <c r="AS79" s="1110"/>
    </row>
    <row r="80" spans="1:60" x14ac:dyDescent="0.2">
      <c r="A80" s="338">
        <v>2011</v>
      </c>
      <c r="B80" s="351">
        <v>0</v>
      </c>
      <c r="C80" s="352">
        <v>0</v>
      </c>
      <c r="D80" s="352">
        <v>0</v>
      </c>
      <c r="E80" s="352">
        <v>0</v>
      </c>
      <c r="F80" s="352">
        <v>0</v>
      </c>
      <c r="G80" s="352">
        <v>0</v>
      </c>
      <c r="H80" s="352">
        <v>0</v>
      </c>
      <c r="I80" s="352">
        <v>0</v>
      </c>
      <c r="J80" s="352">
        <v>0</v>
      </c>
      <c r="K80" s="352">
        <v>0</v>
      </c>
      <c r="L80" s="364">
        <v>0</v>
      </c>
      <c r="M80" s="291">
        <f t="shared" si="79"/>
        <v>0</v>
      </c>
      <c r="N80" s="293">
        <f t="shared" si="80"/>
        <v>0</v>
      </c>
      <c r="O80" s="351">
        <v>0</v>
      </c>
      <c r="P80" s="352">
        <v>0</v>
      </c>
      <c r="Q80" s="352">
        <v>0</v>
      </c>
      <c r="R80" s="352">
        <v>0</v>
      </c>
      <c r="S80" s="352">
        <v>0</v>
      </c>
      <c r="T80" s="352">
        <v>0</v>
      </c>
      <c r="U80" s="352">
        <v>0</v>
      </c>
      <c r="V80" s="352">
        <v>0</v>
      </c>
      <c r="W80" s="352">
        <v>0</v>
      </c>
      <c r="X80" s="352">
        <v>0</v>
      </c>
      <c r="Y80" s="364">
        <v>0</v>
      </c>
      <c r="Z80" s="291">
        <f t="shared" si="81"/>
        <v>0</v>
      </c>
      <c r="AA80" s="293">
        <f t="shared" si="82"/>
        <v>0</v>
      </c>
      <c r="AB80" s="91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1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920">
        <f t="shared" si="86"/>
        <v>0</v>
      </c>
      <c r="AE80" s="897">
        <f t="shared" si="83"/>
        <v>0</v>
      </c>
      <c r="AF80" s="897">
        <f t="shared" si="84"/>
        <v>0</v>
      </c>
      <c r="AG80" s="897">
        <f t="shared" si="85"/>
        <v>0</v>
      </c>
      <c r="AH80" s="1113">
        <f t="shared" si="87"/>
        <v>0</v>
      </c>
      <c r="AI80" s="897">
        <f t="shared" si="88"/>
        <v>0</v>
      </c>
      <c r="AJ80" s="1110"/>
      <c r="AK80" s="1110"/>
      <c r="AL80" s="1110"/>
      <c r="AM80" s="1112"/>
      <c r="AN80" s="1110"/>
      <c r="AO80" s="1110"/>
      <c r="AP80" s="1110"/>
      <c r="AQ80" s="1110"/>
      <c r="AR80" s="1110"/>
      <c r="AS80" s="1110"/>
    </row>
    <row r="81" spans="1:45" x14ac:dyDescent="0.2">
      <c r="A81" s="339">
        <v>2012</v>
      </c>
      <c r="B81" s="353">
        <v>0</v>
      </c>
      <c r="C81" s="354">
        <v>0</v>
      </c>
      <c r="D81" s="354">
        <v>0</v>
      </c>
      <c r="E81" s="354">
        <v>0</v>
      </c>
      <c r="F81" s="354">
        <v>0</v>
      </c>
      <c r="G81" s="354">
        <v>0</v>
      </c>
      <c r="H81" s="354">
        <v>0</v>
      </c>
      <c r="I81" s="354">
        <v>0</v>
      </c>
      <c r="J81" s="354">
        <v>0</v>
      </c>
      <c r="K81" s="354">
        <v>0</v>
      </c>
      <c r="L81" s="365">
        <v>0</v>
      </c>
      <c r="M81" s="305">
        <f t="shared" si="79"/>
        <v>0</v>
      </c>
      <c r="N81" s="307">
        <f t="shared" si="80"/>
        <v>0</v>
      </c>
      <c r="O81" s="353">
        <v>0</v>
      </c>
      <c r="P81" s="354">
        <v>0</v>
      </c>
      <c r="Q81" s="354">
        <v>0</v>
      </c>
      <c r="R81" s="354">
        <v>0</v>
      </c>
      <c r="S81" s="354">
        <v>0</v>
      </c>
      <c r="T81" s="354">
        <v>0</v>
      </c>
      <c r="U81" s="354">
        <v>0</v>
      </c>
      <c r="V81" s="354">
        <v>0</v>
      </c>
      <c r="W81" s="354">
        <v>0</v>
      </c>
      <c r="X81" s="354">
        <v>0</v>
      </c>
      <c r="Y81" s="365">
        <v>0</v>
      </c>
      <c r="Z81" s="305">
        <f t="shared" si="81"/>
        <v>0</v>
      </c>
      <c r="AA81" s="307">
        <f t="shared" si="82"/>
        <v>0</v>
      </c>
      <c r="AB81" s="91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1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920">
        <f t="shared" si="86"/>
        <v>0</v>
      </c>
      <c r="AE81" s="897">
        <f t="shared" si="83"/>
        <v>0</v>
      </c>
      <c r="AF81" s="897">
        <f t="shared" si="84"/>
        <v>0</v>
      </c>
      <c r="AG81" s="897">
        <f t="shared" si="85"/>
        <v>0</v>
      </c>
      <c r="AH81" s="1113">
        <f t="shared" si="87"/>
        <v>0</v>
      </c>
      <c r="AI81" s="897">
        <f t="shared" si="88"/>
        <v>0</v>
      </c>
      <c r="AJ81" s="1110"/>
      <c r="AK81" s="1110"/>
      <c r="AL81" s="1110"/>
      <c r="AM81" s="1112"/>
      <c r="AN81" s="1110"/>
      <c r="AO81" s="1110"/>
      <c r="AP81" s="1110"/>
      <c r="AQ81" s="1110"/>
      <c r="AR81" s="1110"/>
      <c r="AS81" s="1110"/>
    </row>
    <row r="82" spans="1:45" x14ac:dyDescent="0.2">
      <c r="A82" s="339">
        <v>2013</v>
      </c>
      <c r="B82" s="353">
        <v>0</v>
      </c>
      <c r="C82" s="354">
        <v>0</v>
      </c>
      <c r="D82" s="354">
        <v>0</v>
      </c>
      <c r="E82" s="354">
        <v>0</v>
      </c>
      <c r="F82" s="354">
        <v>0</v>
      </c>
      <c r="G82" s="354">
        <v>0</v>
      </c>
      <c r="H82" s="354">
        <v>0</v>
      </c>
      <c r="I82" s="354">
        <v>0</v>
      </c>
      <c r="J82" s="354">
        <v>0</v>
      </c>
      <c r="K82" s="354">
        <v>0</v>
      </c>
      <c r="L82" s="365">
        <v>0</v>
      </c>
      <c r="M82" s="305">
        <f t="shared" si="79"/>
        <v>0</v>
      </c>
      <c r="N82" s="307">
        <f t="shared" si="80"/>
        <v>0</v>
      </c>
      <c r="O82" s="353">
        <v>0</v>
      </c>
      <c r="P82" s="354">
        <v>0</v>
      </c>
      <c r="Q82" s="354">
        <v>0</v>
      </c>
      <c r="R82" s="354">
        <v>0</v>
      </c>
      <c r="S82" s="354">
        <v>0</v>
      </c>
      <c r="T82" s="354">
        <v>0</v>
      </c>
      <c r="U82" s="354">
        <v>0</v>
      </c>
      <c r="V82" s="354">
        <v>0</v>
      </c>
      <c r="W82" s="354">
        <v>0</v>
      </c>
      <c r="X82" s="354">
        <v>0</v>
      </c>
      <c r="Y82" s="365">
        <v>0</v>
      </c>
      <c r="Z82" s="305">
        <f t="shared" si="81"/>
        <v>0</v>
      </c>
      <c r="AA82" s="307">
        <f t="shared" si="82"/>
        <v>0</v>
      </c>
      <c r="AB82" s="91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1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920">
        <f t="shared" si="86"/>
        <v>0</v>
      </c>
      <c r="AE82" s="897">
        <f t="shared" si="83"/>
        <v>0</v>
      </c>
      <c r="AF82" s="897">
        <f t="shared" si="84"/>
        <v>0</v>
      </c>
      <c r="AG82" s="897">
        <f t="shared" si="85"/>
        <v>0</v>
      </c>
      <c r="AH82" s="1113">
        <f t="shared" si="87"/>
        <v>0</v>
      </c>
      <c r="AI82" s="897">
        <f t="shared" si="88"/>
        <v>0</v>
      </c>
      <c r="AJ82" s="1110"/>
      <c r="AK82" s="1110"/>
      <c r="AL82" s="1110"/>
      <c r="AM82" s="1112"/>
      <c r="AN82" s="1110"/>
      <c r="AO82" s="1110"/>
      <c r="AP82" s="1110"/>
      <c r="AQ82" s="1110"/>
      <c r="AR82" s="1110"/>
      <c r="AS82" s="1110"/>
    </row>
    <row r="83" spans="1:45" x14ac:dyDescent="0.2">
      <c r="A83" s="339">
        <v>2014</v>
      </c>
      <c r="B83" s="353">
        <v>0</v>
      </c>
      <c r="C83" s="354">
        <v>0</v>
      </c>
      <c r="D83" s="354">
        <v>0</v>
      </c>
      <c r="E83" s="354">
        <v>0</v>
      </c>
      <c r="F83" s="354">
        <v>0</v>
      </c>
      <c r="G83" s="354">
        <v>0</v>
      </c>
      <c r="H83" s="354">
        <v>0</v>
      </c>
      <c r="I83" s="354">
        <v>0</v>
      </c>
      <c r="J83" s="354">
        <v>0</v>
      </c>
      <c r="K83" s="354">
        <v>0</v>
      </c>
      <c r="L83" s="365">
        <v>0</v>
      </c>
      <c r="M83" s="305">
        <f t="shared" si="79"/>
        <v>0</v>
      </c>
      <c r="N83" s="307">
        <f t="shared" si="80"/>
        <v>0</v>
      </c>
      <c r="O83" s="353">
        <v>0</v>
      </c>
      <c r="P83" s="354">
        <v>0</v>
      </c>
      <c r="Q83" s="354">
        <v>0</v>
      </c>
      <c r="R83" s="354">
        <v>0</v>
      </c>
      <c r="S83" s="354">
        <v>0</v>
      </c>
      <c r="T83" s="354">
        <v>0</v>
      </c>
      <c r="U83" s="354">
        <v>0</v>
      </c>
      <c r="V83" s="354">
        <v>0</v>
      </c>
      <c r="W83" s="354">
        <v>0</v>
      </c>
      <c r="X83" s="354">
        <v>0</v>
      </c>
      <c r="Y83" s="365">
        <v>0</v>
      </c>
      <c r="Z83" s="305">
        <f t="shared" si="81"/>
        <v>0</v>
      </c>
      <c r="AA83" s="307">
        <f t="shared" si="82"/>
        <v>0</v>
      </c>
      <c r="AB83" s="91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1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920">
        <f t="shared" si="86"/>
        <v>0</v>
      </c>
      <c r="AE83" s="897">
        <f t="shared" si="83"/>
        <v>0</v>
      </c>
      <c r="AF83" s="897">
        <f t="shared" si="84"/>
        <v>0</v>
      </c>
      <c r="AG83" s="897">
        <f t="shared" si="85"/>
        <v>0</v>
      </c>
      <c r="AH83" s="1113">
        <f t="shared" si="87"/>
        <v>0</v>
      </c>
      <c r="AI83" s="897">
        <f t="shared" si="88"/>
        <v>0</v>
      </c>
      <c r="AJ83" s="1110"/>
      <c r="AK83" s="1110"/>
      <c r="AL83" s="1110"/>
      <c r="AM83" s="1112"/>
      <c r="AN83" s="1110"/>
      <c r="AO83" s="1110"/>
      <c r="AP83" s="1110"/>
      <c r="AQ83" s="1110"/>
      <c r="AR83" s="1110"/>
      <c r="AS83" s="1110"/>
    </row>
    <row r="84" spans="1:45" ht="13.5" thickBot="1" x14ac:dyDescent="0.25">
      <c r="A84" s="337">
        <v>2015</v>
      </c>
      <c r="B84" s="355">
        <v>0</v>
      </c>
      <c r="C84" s="356">
        <v>0</v>
      </c>
      <c r="D84" s="356">
        <v>0</v>
      </c>
      <c r="E84" s="356">
        <v>0</v>
      </c>
      <c r="F84" s="356">
        <v>0</v>
      </c>
      <c r="G84" s="356">
        <v>0</v>
      </c>
      <c r="H84" s="356">
        <v>0</v>
      </c>
      <c r="I84" s="356">
        <v>0</v>
      </c>
      <c r="J84" s="356">
        <v>0</v>
      </c>
      <c r="K84" s="356">
        <v>0</v>
      </c>
      <c r="L84" s="366">
        <v>0</v>
      </c>
      <c r="M84" s="319">
        <f t="shared" si="79"/>
        <v>0</v>
      </c>
      <c r="N84" s="321">
        <f t="shared" si="80"/>
        <v>0</v>
      </c>
      <c r="O84" s="355">
        <v>0</v>
      </c>
      <c r="P84" s="356">
        <v>0</v>
      </c>
      <c r="Q84" s="356">
        <v>0</v>
      </c>
      <c r="R84" s="356">
        <v>0</v>
      </c>
      <c r="S84" s="356">
        <v>0</v>
      </c>
      <c r="T84" s="356">
        <v>0</v>
      </c>
      <c r="U84" s="356">
        <v>0</v>
      </c>
      <c r="V84" s="356">
        <v>0</v>
      </c>
      <c r="W84" s="356">
        <v>0</v>
      </c>
      <c r="X84" s="356">
        <v>0</v>
      </c>
      <c r="Y84" s="366">
        <v>0</v>
      </c>
      <c r="Z84" s="319">
        <f t="shared" si="81"/>
        <v>0</v>
      </c>
      <c r="AA84" s="321">
        <f t="shared" si="82"/>
        <v>0</v>
      </c>
      <c r="AB84" s="91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1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920">
        <f t="shared" si="86"/>
        <v>0</v>
      </c>
      <c r="AE84" s="897">
        <f t="shared" si="83"/>
        <v>0</v>
      </c>
      <c r="AF84" s="897">
        <f t="shared" si="84"/>
        <v>0</v>
      </c>
      <c r="AG84" s="897">
        <f t="shared" si="85"/>
        <v>0</v>
      </c>
      <c r="AH84" s="1113">
        <f t="shared" si="87"/>
        <v>0</v>
      </c>
      <c r="AI84" s="897">
        <f t="shared" si="88"/>
        <v>0</v>
      </c>
      <c r="AJ84" s="1110"/>
      <c r="AK84" s="1110"/>
      <c r="AL84" s="1110"/>
      <c r="AM84" s="1112"/>
      <c r="AN84" s="1110"/>
      <c r="AO84" s="1110"/>
      <c r="AP84" s="1110"/>
      <c r="AQ84" s="1110"/>
      <c r="AR84" s="1110"/>
      <c r="AS84" s="1110"/>
    </row>
    <row r="85" spans="1:45" x14ac:dyDescent="0.2">
      <c r="A85" s="338">
        <v>2016</v>
      </c>
      <c r="B85" s="351">
        <v>0</v>
      </c>
      <c r="C85" s="352">
        <v>0</v>
      </c>
      <c r="D85" s="352">
        <v>0</v>
      </c>
      <c r="E85" s="352">
        <v>0</v>
      </c>
      <c r="F85" s="352">
        <v>0</v>
      </c>
      <c r="G85" s="352">
        <v>0</v>
      </c>
      <c r="H85" s="352">
        <v>0</v>
      </c>
      <c r="I85" s="352">
        <v>0</v>
      </c>
      <c r="J85" s="352">
        <v>0</v>
      </c>
      <c r="K85" s="352">
        <v>0</v>
      </c>
      <c r="L85" s="364">
        <v>0</v>
      </c>
      <c r="M85" s="291">
        <f t="shared" si="79"/>
        <v>0</v>
      </c>
      <c r="N85" s="293">
        <f t="shared" si="80"/>
        <v>0</v>
      </c>
      <c r="O85" s="351">
        <v>0</v>
      </c>
      <c r="P85" s="352">
        <v>0</v>
      </c>
      <c r="Q85" s="352">
        <v>0</v>
      </c>
      <c r="R85" s="352">
        <v>0</v>
      </c>
      <c r="S85" s="352">
        <v>0</v>
      </c>
      <c r="T85" s="352">
        <v>0</v>
      </c>
      <c r="U85" s="352">
        <v>0</v>
      </c>
      <c r="V85" s="352">
        <v>0</v>
      </c>
      <c r="W85" s="352">
        <v>0</v>
      </c>
      <c r="X85" s="352">
        <v>0</v>
      </c>
      <c r="Y85" s="364">
        <v>0</v>
      </c>
      <c r="Z85" s="291">
        <f t="shared" si="81"/>
        <v>0</v>
      </c>
      <c r="AA85" s="293">
        <f t="shared" si="82"/>
        <v>0</v>
      </c>
      <c r="AB85" s="91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1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920">
        <f t="shared" si="86"/>
        <v>0</v>
      </c>
      <c r="AE85" s="897">
        <f t="shared" si="83"/>
        <v>0</v>
      </c>
      <c r="AF85" s="897">
        <f t="shared" si="84"/>
        <v>0</v>
      </c>
      <c r="AG85" s="897">
        <f t="shared" si="85"/>
        <v>0</v>
      </c>
      <c r="AH85" s="1113">
        <f t="shared" si="87"/>
        <v>0</v>
      </c>
      <c r="AI85" s="897">
        <f t="shared" si="88"/>
        <v>0</v>
      </c>
      <c r="AJ85" s="1110"/>
      <c r="AK85" s="1110"/>
      <c r="AL85" s="1110"/>
      <c r="AM85" s="1112"/>
      <c r="AN85" s="1110"/>
      <c r="AO85" s="1110"/>
      <c r="AP85" s="1110"/>
      <c r="AQ85" s="1110"/>
      <c r="AR85" s="1110"/>
      <c r="AS85" s="1110"/>
    </row>
    <row r="86" spans="1:45" x14ac:dyDescent="0.2">
      <c r="A86" s="339">
        <v>2017</v>
      </c>
      <c r="B86" s="353">
        <v>0</v>
      </c>
      <c r="C86" s="354">
        <v>0</v>
      </c>
      <c r="D86" s="354">
        <v>0</v>
      </c>
      <c r="E86" s="354">
        <v>0</v>
      </c>
      <c r="F86" s="354">
        <v>0</v>
      </c>
      <c r="G86" s="354">
        <v>0</v>
      </c>
      <c r="H86" s="354">
        <v>0</v>
      </c>
      <c r="I86" s="354">
        <v>0</v>
      </c>
      <c r="J86" s="354">
        <v>0</v>
      </c>
      <c r="K86" s="354">
        <v>0</v>
      </c>
      <c r="L86" s="365">
        <v>0</v>
      </c>
      <c r="M86" s="305">
        <f t="shared" si="79"/>
        <v>0</v>
      </c>
      <c r="N86" s="307">
        <f t="shared" si="80"/>
        <v>0</v>
      </c>
      <c r="O86" s="353">
        <v>0</v>
      </c>
      <c r="P86" s="354">
        <v>0</v>
      </c>
      <c r="Q86" s="354">
        <v>0</v>
      </c>
      <c r="R86" s="354">
        <v>0</v>
      </c>
      <c r="S86" s="354">
        <v>0</v>
      </c>
      <c r="T86" s="354">
        <v>0</v>
      </c>
      <c r="U86" s="354">
        <v>0</v>
      </c>
      <c r="V86" s="354">
        <v>0</v>
      </c>
      <c r="W86" s="354">
        <v>0</v>
      </c>
      <c r="X86" s="354">
        <v>0</v>
      </c>
      <c r="Y86" s="365">
        <v>0</v>
      </c>
      <c r="Z86" s="305">
        <f t="shared" si="81"/>
        <v>0</v>
      </c>
      <c r="AA86" s="307">
        <f t="shared" si="82"/>
        <v>0</v>
      </c>
      <c r="AB86" s="91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1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920">
        <f t="shared" si="86"/>
        <v>0</v>
      </c>
      <c r="AE86" s="897">
        <f t="shared" si="83"/>
        <v>0</v>
      </c>
      <c r="AF86" s="897">
        <f t="shared" si="84"/>
        <v>0</v>
      </c>
      <c r="AG86" s="897">
        <f t="shared" si="85"/>
        <v>0</v>
      </c>
      <c r="AH86" s="1113">
        <f t="shared" si="87"/>
        <v>0</v>
      </c>
      <c r="AI86" s="897">
        <f t="shared" si="88"/>
        <v>0</v>
      </c>
      <c r="AJ86" s="1110"/>
      <c r="AK86" s="1110"/>
      <c r="AL86" s="1110"/>
      <c r="AM86" s="1112"/>
      <c r="AN86" s="1110"/>
      <c r="AO86" s="1110"/>
      <c r="AP86" s="1110"/>
      <c r="AQ86" s="1110"/>
      <c r="AR86" s="1110"/>
      <c r="AS86" s="1110"/>
    </row>
    <row r="87" spans="1:45" x14ac:dyDescent="0.2">
      <c r="A87" s="339">
        <v>2018</v>
      </c>
      <c r="B87" s="353">
        <v>0</v>
      </c>
      <c r="C87" s="354">
        <v>0</v>
      </c>
      <c r="D87" s="354">
        <v>0</v>
      </c>
      <c r="E87" s="354">
        <v>0</v>
      </c>
      <c r="F87" s="354">
        <v>0</v>
      </c>
      <c r="G87" s="354">
        <v>0</v>
      </c>
      <c r="H87" s="354">
        <v>0</v>
      </c>
      <c r="I87" s="354">
        <v>0</v>
      </c>
      <c r="J87" s="354">
        <v>0</v>
      </c>
      <c r="K87" s="354">
        <v>0</v>
      </c>
      <c r="L87" s="365">
        <v>0</v>
      </c>
      <c r="M87" s="305">
        <f t="shared" si="79"/>
        <v>0</v>
      </c>
      <c r="N87" s="307">
        <f t="shared" si="80"/>
        <v>0</v>
      </c>
      <c r="O87" s="353">
        <v>0</v>
      </c>
      <c r="P87" s="354">
        <v>0</v>
      </c>
      <c r="Q87" s="354">
        <v>0</v>
      </c>
      <c r="R87" s="354">
        <v>0</v>
      </c>
      <c r="S87" s="354">
        <v>0</v>
      </c>
      <c r="T87" s="354">
        <v>0</v>
      </c>
      <c r="U87" s="354">
        <v>0</v>
      </c>
      <c r="V87" s="354">
        <v>0</v>
      </c>
      <c r="W87" s="354">
        <v>0</v>
      </c>
      <c r="X87" s="354">
        <v>0</v>
      </c>
      <c r="Y87" s="365">
        <v>0</v>
      </c>
      <c r="Z87" s="305">
        <f t="shared" si="81"/>
        <v>0</v>
      </c>
      <c r="AA87" s="307">
        <f t="shared" si="82"/>
        <v>0</v>
      </c>
      <c r="AB87" s="91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1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920">
        <f t="shared" si="86"/>
        <v>0</v>
      </c>
      <c r="AE87" s="897">
        <f t="shared" si="83"/>
        <v>0</v>
      </c>
      <c r="AF87" s="897">
        <f t="shared" si="84"/>
        <v>0</v>
      </c>
      <c r="AG87" s="897">
        <f t="shared" si="85"/>
        <v>0</v>
      </c>
      <c r="AH87" s="1113">
        <f t="shared" si="87"/>
        <v>0</v>
      </c>
      <c r="AI87" s="897">
        <f t="shared" si="88"/>
        <v>0</v>
      </c>
      <c r="AJ87" s="1110"/>
      <c r="AK87" s="1110"/>
      <c r="AL87" s="1110"/>
      <c r="AM87" s="1112"/>
      <c r="AN87" s="1110"/>
      <c r="AO87" s="1110"/>
      <c r="AP87" s="1110"/>
      <c r="AQ87" s="1110"/>
      <c r="AR87" s="1110"/>
      <c r="AS87" s="1110"/>
    </row>
    <row r="88" spans="1:45" x14ac:dyDescent="0.2">
      <c r="A88" s="339">
        <v>2019</v>
      </c>
      <c r="B88" s="353">
        <v>0</v>
      </c>
      <c r="C88" s="354">
        <v>0</v>
      </c>
      <c r="D88" s="354">
        <v>0</v>
      </c>
      <c r="E88" s="354">
        <v>0</v>
      </c>
      <c r="F88" s="354">
        <v>0</v>
      </c>
      <c r="G88" s="354">
        <v>0</v>
      </c>
      <c r="H88" s="354">
        <v>0</v>
      </c>
      <c r="I88" s="354">
        <v>0</v>
      </c>
      <c r="J88" s="354">
        <v>0</v>
      </c>
      <c r="K88" s="354">
        <v>0</v>
      </c>
      <c r="L88" s="365">
        <v>0</v>
      </c>
      <c r="M88" s="305">
        <f t="shared" si="79"/>
        <v>0</v>
      </c>
      <c r="N88" s="307">
        <f t="shared" si="80"/>
        <v>0</v>
      </c>
      <c r="O88" s="353">
        <v>0</v>
      </c>
      <c r="P88" s="354">
        <v>0</v>
      </c>
      <c r="Q88" s="354">
        <v>0</v>
      </c>
      <c r="R88" s="354">
        <v>0</v>
      </c>
      <c r="S88" s="354">
        <v>0</v>
      </c>
      <c r="T88" s="354">
        <v>0</v>
      </c>
      <c r="U88" s="354">
        <v>0</v>
      </c>
      <c r="V88" s="354">
        <v>0</v>
      </c>
      <c r="W88" s="354">
        <v>0</v>
      </c>
      <c r="X88" s="354">
        <v>0</v>
      </c>
      <c r="Y88" s="365">
        <v>0</v>
      </c>
      <c r="Z88" s="305">
        <f t="shared" si="81"/>
        <v>0</v>
      </c>
      <c r="AA88" s="307">
        <f t="shared" si="82"/>
        <v>0</v>
      </c>
      <c r="AB88" s="91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1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920">
        <f t="shared" si="86"/>
        <v>0</v>
      </c>
      <c r="AE88" s="897">
        <f t="shared" si="83"/>
        <v>0</v>
      </c>
      <c r="AF88" s="897">
        <f t="shared" si="84"/>
        <v>0</v>
      </c>
      <c r="AG88" s="897">
        <f t="shared" si="85"/>
        <v>0</v>
      </c>
      <c r="AH88" s="1113">
        <f t="shared" si="87"/>
        <v>0</v>
      </c>
      <c r="AI88" s="897">
        <f t="shared" si="88"/>
        <v>0</v>
      </c>
      <c r="AJ88" s="1110"/>
      <c r="AK88" s="1110"/>
      <c r="AL88" s="1110"/>
      <c r="AM88" s="1112"/>
      <c r="AN88" s="1110"/>
      <c r="AO88" s="1110"/>
      <c r="AP88" s="1110"/>
      <c r="AQ88" s="1110"/>
      <c r="AR88" s="1110"/>
      <c r="AS88" s="1110"/>
    </row>
    <row r="89" spans="1:45" ht="13.5" thickBot="1" x14ac:dyDescent="0.25">
      <c r="A89" s="337">
        <v>2020</v>
      </c>
      <c r="B89" s="355">
        <v>0</v>
      </c>
      <c r="C89" s="356">
        <v>0</v>
      </c>
      <c r="D89" s="356">
        <v>0</v>
      </c>
      <c r="E89" s="356">
        <v>0</v>
      </c>
      <c r="F89" s="356">
        <v>0</v>
      </c>
      <c r="G89" s="356">
        <v>0</v>
      </c>
      <c r="H89" s="356">
        <v>0</v>
      </c>
      <c r="I89" s="356">
        <v>0</v>
      </c>
      <c r="J89" s="356">
        <v>0</v>
      </c>
      <c r="K89" s="356">
        <v>0</v>
      </c>
      <c r="L89" s="366">
        <v>0</v>
      </c>
      <c r="M89" s="319">
        <f t="shared" si="79"/>
        <v>0</v>
      </c>
      <c r="N89" s="321">
        <f t="shared" si="80"/>
        <v>0</v>
      </c>
      <c r="O89" s="355">
        <v>0</v>
      </c>
      <c r="P89" s="356">
        <v>0</v>
      </c>
      <c r="Q89" s="356">
        <v>0</v>
      </c>
      <c r="R89" s="356">
        <v>0</v>
      </c>
      <c r="S89" s="356">
        <v>0</v>
      </c>
      <c r="T89" s="356">
        <v>0</v>
      </c>
      <c r="U89" s="356">
        <v>0</v>
      </c>
      <c r="V89" s="356">
        <v>0</v>
      </c>
      <c r="W89" s="356">
        <v>0</v>
      </c>
      <c r="X89" s="356">
        <v>0</v>
      </c>
      <c r="Y89" s="366">
        <v>0</v>
      </c>
      <c r="Z89" s="319">
        <f t="shared" si="81"/>
        <v>0</v>
      </c>
      <c r="AA89" s="321">
        <f t="shared" si="82"/>
        <v>0</v>
      </c>
      <c r="AB89" s="91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1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920">
        <f t="shared" si="86"/>
        <v>0</v>
      </c>
      <c r="AE89" s="897">
        <f t="shared" si="83"/>
        <v>0</v>
      </c>
      <c r="AF89" s="897">
        <f t="shared" si="84"/>
        <v>0</v>
      </c>
      <c r="AG89" s="897">
        <f t="shared" si="85"/>
        <v>0</v>
      </c>
      <c r="AH89" s="1113">
        <f t="shared" si="87"/>
        <v>0</v>
      </c>
      <c r="AI89" s="897">
        <f t="shared" si="88"/>
        <v>0</v>
      </c>
      <c r="AJ89" s="1110"/>
      <c r="AK89" s="1110"/>
      <c r="AL89" s="1110"/>
      <c r="AM89" s="1112"/>
      <c r="AN89" s="1110"/>
      <c r="AO89" s="1110"/>
      <c r="AP89" s="1110"/>
      <c r="AQ89" s="1110"/>
      <c r="AR89" s="1110"/>
      <c r="AS89" s="1110"/>
    </row>
    <row r="90" spans="1:45" x14ac:dyDescent="0.2">
      <c r="A90" s="338">
        <v>2021</v>
      </c>
      <c r="B90" s="351">
        <v>0</v>
      </c>
      <c r="C90" s="352">
        <v>0</v>
      </c>
      <c r="D90" s="352">
        <v>0</v>
      </c>
      <c r="E90" s="352">
        <v>0</v>
      </c>
      <c r="F90" s="352">
        <v>0</v>
      </c>
      <c r="G90" s="352">
        <v>0</v>
      </c>
      <c r="H90" s="352">
        <v>0</v>
      </c>
      <c r="I90" s="352">
        <v>0</v>
      </c>
      <c r="J90" s="352">
        <v>0</v>
      </c>
      <c r="K90" s="352">
        <v>0</v>
      </c>
      <c r="L90" s="364">
        <v>0</v>
      </c>
      <c r="M90" s="291">
        <f t="shared" si="79"/>
        <v>0</v>
      </c>
      <c r="N90" s="293">
        <f t="shared" si="80"/>
        <v>0</v>
      </c>
      <c r="O90" s="351">
        <v>0</v>
      </c>
      <c r="P90" s="352">
        <v>0</v>
      </c>
      <c r="Q90" s="352">
        <v>0</v>
      </c>
      <c r="R90" s="352">
        <v>0</v>
      </c>
      <c r="S90" s="352">
        <v>0</v>
      </c>
      <c r="T90" s="352">
        <v>0</v>
      </c>
      <c r="U90" s="352">
        <v>0</v>
      </c>
      <c r="V90" s="352">
        <v>0</v>
      </c>
      <c r="W90" s="352">
        <v>0</v>
      </c>
      <c r="X90" s="352">
        <v>0</v>
      </c>
      <c r="Y90" s="364">
        <v>0</v>
      </c>
      <c r="Z90" s="291">
        <f t="shared" si="81"/>
        <v>0</v>
      </c>
      <c r="AA90" s="293">
        <f t="shared" si="82"/>
        <v>0</v>
      </c>
      <c r="AB90" s="91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1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920">
        <f t="shared" si="86"/>
        <v>0</v>
      </c>
      <c r="AE90" s="897">
        <f t="shared" si="83"/>
        <v>0</v>
      </c>
      <c r="AF90" s="897">
        <f t="shared" si="84"/>
        <v>0</v>
      </c>
      <c r="AG90" s="897">
        <f t="shared" si="85"/>
        <v>0</v>
      </c>
      <c r="AH90" s="1113">
        <f t="shared" si="87"/>
        <v>0</v>
      </c>
      <c r="AI90" s="897">
        <f t="shared" si="88"/>
        <v>0</v>
      </c>
      <c r="AJ90" s="1110"/>
      <c r="AK90" s="1110"/>
      <c r="AL90" s="1110"/>
      <c r="AM90" s="1112"/>
      <c r="AN90" s="1110"/>
      <c r="AO90" s="1110"/>
      <c r="AP90" s="1110"/>
      <c r="AQ90" s="1110"/>
      <c r="AR90" s="1110"/>
      <c r="AS90" s="1110"/>
    </row>
    <row r="91" spans="1:45" x14ac:dyDescent="0.2">
      <c r="A91" s="339">
        <v>2022</v>
      </c>
      <c r="B91" s="353">
        <v>0</v>
      </c>
      <c r="C91" s="354">
        <v>0</v>
      </c>
      <c r="D91" s="354">
        <v>0</v>
      </c>
      <c r="E91" s="354">
        <v>0</v>
      </c>
      <c r="F91" s="354">
        <v>0</v>
      </c>
      <c r="G91" s="354">
        <v>0</v>
      </c>
      <c r="H91" s="354">
        <v>0</v>
      </c>
      <c r="I91" s="354">
        <v>0</v>
      </c>
      <c r="J91" s="354">
        <v>0</v>
      </c>
      <c r="K91" s="354">
        <v>0</v>
      </c>
      <c r="L91" s="365">
        <v>0</v>
      </c>
      <c r="M91" s="305">
        <f t="shared" si="79"/>
        <v>0</v>
      </c>
      <c r="N91" s="307">
        <f t="shared" si="80"/>
        <v>0</v>
      </c>
      <c r="O91" s="353">
        <v>0</v>
      </c>
      <c r="P91" s="354">
        <v>0</v>
      </c>
      <c r="Q91" s="354">
        <v>0</v>
      </c>
      <c r="R91" s="354">
        <v>0</v>
      </c>
      <c r="S91" s="354">
        <v>0</v>
      </c>
      <c r="T91" s="354">
        <v>0</v>
      </c>
      <c r="U91" s="354">
        <v>0</v>
      </c>
      <c r="V91" s="354">
        <v>0</v>
      </c>
      <c r="W91" s="354">
        <v>0</v>
      </c>
      <c r="X91" s="354">
        <v>0</v>
      </c>
      <c r="Y91" s="365">
        <v>0</v>
      </c>
      <c r="Z91" s="305">
        <f t="shared" si="81"/>
        <v>0</v>
      </c>
      <c r="AA91" s="307">
        <f t="shared" si="82"/>
        <v>0</v>
      </c>
      <c r="AB91" s="91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1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920">
        <f t="shared" si="86"/>
        <v>0</v>
      </c>
      <c r="AE91" s="897">
        <f>SUMPRODUCT($B$74:$L$74,B91:L91)</f>
        <v>0</v>
      </c>
      <c r="AF91" s="897">
        <f>SUMPRODUCT($O$74:$Y$74,O91:Y91)</f>
        <v>0</v>
      </c>
      <c r="AG91" s="897">
        <f>SUM(AE91:AF91)</f>
        <v>0</v>
      </c>
      <c r="AH91" s="1113">
        <f t="shared" si="87"/>
        <v>0</v>
      </c>
      <c r="AI91" s="897">
        <f t="shared" si="88"/>
        <v>0</v>
      </c>
      <c r="AJ91" s="1110"/>
      <c r="AK91" s="1110"/>
      <c r="AL91" s="1110"/>
      <c r="AM91" s="1112"/>
      <c r="AN91" s="1110"/>
      <c r="AO91" s="1110"/>
      <c r="AP91" s="1110"/>
      <c r="AQ91" s="1110"/>
      <c r="AR91" s="1110"/>
      <c r="AS91" s="1110"/>
    </row>
    <row r="92" spans="1:45" x14ac:dyDescent="0.2">
      <c r="A92" s="339">
        <v>2023</v>
      </c>
      <c r="B92" s="353">
        <v>0</v>
      </c>
      <c r="C92" s="354">
        <v>0</v>
      </c>
      <c r="D92" s="354">
        <v>0</v>
      </c>
      <c r="E92" s="354">
        <v>0</v>
      </c>
      <c r="F92" s="354">
        <v>0</v>
      </c>
      <c r="G92" s="354">
        <v>0</v>
      </c>
      <c r="H92" s="354">
        <v>0</v>
      </c>
      <c r="I92" s="354">
        <v>0</v>
      </c>
      <c r="J92" s="354">
        <v>0</v>
      </c>
      <c r="K92" s="354">
        <v>0</v>
      </c>
      <c r="L92" s="365">
        <v>0</v>
      </c>
      <c r="M92" s="305">
        <f t="shared" si="79"/>
        <v>0</v>
      </c>
      <c r="N92" s="307">
        <f t="shared" si="80"/>
        <v>0</v>
      </c>
      <c r="O92" s="353">
        <v>0</v>
      </c>
      <c r="P92" s="354">
        <v>0</v>
      </c>
      <c r="Q92" s="354">
        <v>0</v>
      </c>
      <c r="R92" s="354">
        <v>0</v>
      </c>
      <c r="S92" s="354">
        <v>0</v>
      </c>
      <c r="T92" s="354">
        <v>0</v>
      </c>
      <c r="U92" s="354">
        <v>0</v>
      </c>
      <c r="V92" s="354">
        <v>0</v>
      </c>
      <c r="W92" s="354">
        <v>0</v>
      </c>
      <c r="X92" s="354">
        <v>0</v>
      </c>
      <c r="Y92" s="365">
        <v>0</v>
      </c>
      <c r="Z92" s="305">
        <f t="shared" si="81"/>
        <v>0</v>
      </c>
      <c r="AA92" s="307">
        <f t="shared" si="82"/>
        <v>0</v>
      </c>
      <c r="AB92" s="91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1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920">
        <f t="shared" si="86"/>
        <v>0</v>
      </c>
      <c r="AE92" s="897">
        <f t="shared" ref="AE92:AE119" si="89">SUMPRODUCT($B$74:$L$74,B92:L92)</f>
        <v>0</v>
      </c>
      <c r="AF92" s="897">
        <f t="shared" ref="AF92:AF119" si="90">SUMPRODUCT($O$74:$Y$74,O92:Y92)</f>
        <v>0</v>
      </c>
      <c r="AG92" s="897">
        <f t="shared" ref="AG92:AG119" si="91">SUM(AE92:AF92)</f>
        <v>0</v>
      </c>
      <c r="AH92" s="1113">
        <f t="shared" si="87"/>
        <v>0</v>
      </c>
      <c r="AI92" s="897">
        <f t="shared" si="88"/>
        <v>0</v>
      </c>
      <c r="AJ92" s="1110"/>
      <c r="AK92" s="1110"/>
      <c r="AL92" s="1110"/>
      <c r="AM92" s="1112"/>
      <c r="AN92" s="1110"/>
      <c r="AO92" s="1110"/>
      <c r="AP92" s="1110"/>
      <c r="AQ92" s="1110"/>
      <c r="AR92" s="1110"/>
      <c r="AS92" s="1110"/>
    </row>
    <row r="93" spans="1:45" x14ac:dyDescent="0.2">
      <c r="A93" s="339">
        <v>2024</v>
      </c>
      <c r="B93" s="353">
        <v>0</v>
      </c>
      <c r="C93" s="354">
        <v>0</v>
      </c>
      <c r="D93" s="354">
        <v>0</v>
      </c>
      <c r="E93" s="354">
        <v>0</v>
      </c>
      <c r="F93" s="354">
        <v>0</v>
      </c>
      <c r="G93" s="354">
        <v>0</v>
      </c>
      <c r="H93" s="354">
        <v>0</v>
      </c>
      <c r="I93" s="354">
        <v>0</v>
      </c>
      <c r="J93" s="354">
        <v>0</v>
      </c>
      <c r="K93" s="354">
        <v>0</v>
      </c>
      <c r="L93" s="365">
        <v>0</v>
      </c>
      <c r="M93" s="305">
        <f t="shared" si="79"/>
        <v>0</v>
      </c>
      <c r="N93" s="307">
        <f t="shared" si="80"/>
        <v>0</v>
      </c>
      <c r="O93" s="353">
        <v>0</v>
      </c>
      <c r="P93" s="354">
        <v>0</v>
      </c>
      <c r="Q93" s="354">
        <v>0</v>
      </c>
      <c r="R93" s="354">
        <v>0</v>
      </c>
      <c r="S93" s="354">
        <v>0</v>
      </c>
      <c r="T93" s="354">
        <v>0</v>
      </c>
      <c r="U93" s="354">
        <v>0</v>
      </c>
      <c r="V93" s="354">
        <v>0</v>
      </c>
      <c r="W93" s="354">
        <v>0</v>
      </c>
      <c r="X93" s="354">
        <v>0</v>
      </c>
      <c r="Y93" s="365">
        <v>0</v>
      </c>
      <c r="Z93" s="305">
        <f t="shared" si="81"/>
        <v>0</v>
      </c>
      <c r="AA93" s="307">
        <f t="shared" si="82"/>
        <v>0</v>
      </c>
      <c r="AB93" s="91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1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920">
        <f t="shared" si="86"/>
        <v>0</v>
      </c>
      <c r="AE93" s="897">
        <f t="shared" si="89"/>
        <v>0</v>
      </c>
      <c r="AF93" s="897">
        <f t="shared" si="90"/>
        <v>0</v>
      </c>
      <c r="AG93" s="897">
        <f t="shared" si="91"/>
        <v>0</v>
      </c>
      <c r="AH93" s="1113">
        <f t="shared" si="87"/>
        <v>0</v>
      </c>
      <c r="AI93" s="897">
        <f t="shared" si="88"/>
        <v>0</v>
      </c>
      <c r="AJ93" s="1110"/>
      <c r="AK93" s="1110"/>
      <c r="AL93" s="1110"/>
      <c r="AM93" s="1112"/>
      <c r="AN93" s="1110"/>
      <c r="AO93" s="1110"/>
      <c r="AP93" s="1110"/>
      <c r="AQ93" s="1110"/>
      <c r="AR93" s="1110"/>
      <c r="AS93" s="1110"/>
    </row>
    <row r="94" spans="1:45" ht="13.5" thickBot="1" x14ac:dyDescent="0.25">
      <c r="A94" s="337">
        <v>2025</v>
      </c>
      <c r="B94" s="355">
        <v>0</v>
      </c>
      <c r="C94" s="356">
        <v>0</v>
      </c>
      <c r="D94" s="356">
        <v>0</v>
      </c>
      <c r="E94" s="356">
        <v>0</v>
      </c>
      <c r="F94" s="356">
        <v>0</v>
      </c>
      <c r="G94" s="356">
        <v>0</v>
      </c>
      <c r="H94" s="356">
        <v>0</v>
      </c>
      <c r="I94" s="356">
        <v>0</v>
      </c>
      <c r="J94" s="356">
        <v>0</v>
      </c>
      <c r="K94" s="356">
        <v>0</v>
      </c>
      <c r="L94" s="366">
        <v>0</v>
      </c>
      <c r="M94" s="319">
        <f t="shared" si="79"/>
        <v>0</v>
      </c>
      <c r="N94" s="321">
        <f t="shared" si="80"/>
        <v>0</v>
      </c>
      <c r="O94" s="355">
        <v>0</v>
      </c>
      <c r="P94" s="356">
        <v>0</v>
      </c>
      <c r="Q94" s="356">
        <v>0</v>
      </c>
      <c r="R94" s="356">
        <v>0</v>
      </c>
      <c r="S94" s="356">
        <v>0</v>
      </c>
      <c r="T94" s="356">
        <v>0</v>
      </c>
      <c r="U94" s="356">
        <v>0</v>
      </c>
      <c r="V94" s="356">
        <v>0</v>
      </c>
      <c r="W94" s="356">
        <v>0</v>
      </c>
      <c r="X94" s="356">
        <v>0</v>
      </c>
      <c r="Y94" s="366">
        <v>0</v>
      </c>
      <c r="Z94" s="319">
        <f t="shared" si="81"/>
        <v>0</v>
      </c>
      <c r="AA94" s="321">
        <f t="shared" si="82"/>
        <v>0</v>
      </c>
      <c r="AB94" s="91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1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920">
        <f t="shared" si="86"/>
        <v>0</v>
      </c>
      <c r="AE94" s="897">
        <f t="shared" si="89"/>
        <v>0</v>
      </c>
      <c r="AF94" s="897">
        <f t="shared" si="90"/>
        <v>0</v>
      </c>
      <c r="AG94" s="897">
        <f t="shared" si="91"/>
        <v>0</v>
      </c>
      <c r="AH94" s="1113">
        <f t="shared" si="87"/>
        <v>0</v>
      </c>
      <c r="AI94" s="897">
        <f t="shared" si="88"/>
        <v>0</v>
      </c>
      <c r="AJ94" s="1110"/>
      <c r="AK94" s="1110"/>
      <c r="AL94" s="1110"/>
      <c r="AM94" s="1112"/>
      <c r="AN94" s="1110"/>
      <c r="AO94" s="1110"/>
      <c r="AP94" s="1110"/>
      <c r="AQ94" s="1110"/>
      <c r="AR94" s="1110"/>
      <c r="AS94" s="1110"/>
    </row>
    <row r="95" spans="1:45" x14ac:dyDescent="0.2">
      <c r="A95" s="338">
        <v>2026</v>
      </c>
      <c r="B95" s="351">
        <v>0</v>
      </c>
      <c r="C95" s="352">
        <v>0</v>
      </c>
      <c r="D95" s="352">
        <v>0</v>
      </c>
      <c r="E95" s="352">
        <v>0</v>
      </c>
      <c r="F95" s="352">
        <v>0</v>
      </c>
      <c r="G95" s="352">
        <v>0</v>
      </c>
      <c r="H95" s="352">
        <v>0</v>
      </c>
      <c r="I95" s="352">
        <v>0</v>
      </c>
      <c r="J95" s="352">
        <v>0</v>
      </c>
      <c r="K95" s="352">
        <v>0</v>
      </c>
      <c r="L95" s="364">
        <v>0</v>
      </c>
      <c r="M95" s="291">
        <f t="shared" si="79"/>
        <v>0</v>
      </c>
      <c r="N95" s="293">
        <f t="shared" si="80"/>
        <v>0</v>
      </c>
      <c r="O95" s="351">
        <v>0</v>
      </c>
      <c r="P95" s="352">
        <v>0</v>
      </c>
      <c r="Q95" s="352">
        <v>0</v>
      </c>
      <c r="R95" s="352">
        <v>0</v>
      </c>
      <c r="S95" s="352">
        <v>0</v>
      </c>
      <c r="T95" s="352">
        <v>0</v>
      </c>
      <c r="U95" s="352">
        <v>0</v>
      </c>
      <c r="V95" s="352">
        <v>0</v>
      </c>
      <c r="W95" s="352">
        <v>0</v>
      </c>
      <c r="X95" s="352">
        <v>0</v>
      </c>
      <c r="Y95" s="364">
        <v>0</v>
      </c>
      <c r="Z95" s="291">
        <f t="shared" si="81"/>
        <v>0</v>
      </c>
      <c r="AA95" s="293">
        <f t="shared" si="82"/>
        <v>0</v>
      </c>
      <c r="AB95" s="91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1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920">
        <f t="shared" si="86"/>
        <v>0</v>
      </c>
      <c r="AE95" s="897">
        <f t="shared" si="89"/>
        <v>0</v>
      </c>
      <c r="AF95" s="897">
        <f t="shared" si="90"/>
        <v>0</v>
      </c>
      <c r="AG95" s="897">
        <f t="shared" si="91"/>
        <v>0</v>
      </c>
      <c r="AH95" s="1113">
        <f t="shared" si="87"/>
        <v>0</v>
      </c>
      <c r="AI95" s="897">
        <f t="shared" si="88"/>
        <v>0</v>
      </c>
      <c r="AJ95" s="1110"/>
      <c r="AK95" s="1110"/>
      <c r="AL95" s="1110"/>
      <c r="AM95" s="1112"/>
      <c r="AN95" s="1110"/>
      <c r="AO95" s="1110"/>
      <c r="AP95" s="1110"/>
      <c r="AQ95" s="1110"/>
      <c r="AR95" s="1110"/>
      <c r="AS95" s="1110"/>
    </row>
    <row r="96" spans="1:45" x14ac:dyDescent="0.2">
      <c r="A96" s="339">
        <v>2027</v>
      </c>
      <c r="B96" s="353">
        <v>0</v>
      </c>
      <c r="C96" s="354">
        <v>0</v>
      </c>
      <c r="D96" s="354">
        <v>0</v>
      </c>
      <c r="E96" s="354">
        <v>0</v>
      </c>
      <c r="F96" s="354">
        <v>0</v>
      </c>
      <c r="G96" s="354">
        <v>0</v>
      </c>
      <c r="H96" s="354">
        <v>0</v>
      </c>
      <c r="I96" s="354">
        <v>0</v>
      </c>
      <c r="J96" s="354">
        <v>0</v>
      </c>
      <c r="K96" s="354">
        <v>0</v>
      </c>
      <c r="L96" s="365">
        <v>0</v>
      </c>
      <c r="M96" s="305">
        <f t="shared" si="79"/>
        <v>0</v>
      </c>
      <c r="N96" s="307">
        <f t="shared" si="80"/>
        <v>0</v>
      </c>
      <c r="O96" s="353">
        <v>0</v>
      </c>
      <c r="P96" s="354">
        <v>0</v>
      </c>
      <c r="Q96" s="354">
        <v>0</v>
      </c>
      <c r="R96" s="354">
        <v>0</v>
      </c>
      <c r="S96" s="354">
        <v>0</v>
      </c>
      <c r="T96" s="354">
        <v>0</v>
      </c>
      <c r="U96" s="354">
        <v>0</v>
      </c>
      <c r="V96" s="354">
        <v>0</v>
      </c>
      <c r="W96" s="354">
        <v>0</v>
      </c>
      <c r="X96" s="354">
        <v>0</v>
      </c>
      <c r="Y96" s="365">
        <v>0</v>
      </c>
      <c r="Z96" s="305">
        <f t="shared" si="81"/>
        <v>0</v>
      </c>
      <c r="AA96" s="307">
        <f t="shared" si="82"/>
        <v>0</v>
      </c>
      <c r="AB96" s="91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1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920">
        <f t="shared" si="86"/>
        <v>0</v>
      </c>
      <c r="AE96" s="897">
        <f t="shared" si="89"/>
        <v>0</v>
      </c>
      <c r="AF96" s="897">
        <f t="shared" si="90"/>
        <v>0</v>
      </c>
      <c r="AG96" s="897">
        <f t="shared" si="91"/>
        <v>0</v>
      </c>
      <c r="AH96" s="1113">
        <f t="shared" si="87"/>
        <v>0</v>
      </c>
      <c r="AI96" s="897">
        <f t="shared" si="88"/>
        <v>0</v>
      </c>
      <c r="AJ96" s="1110"/>
      <c r="AK96" s="1110"/>
      <c r="AL96" s="1110"/>
      <c r="AM96" s="1112"/>
      <c r="AN96" s="1110"/>
      <c r="AO96" s="1110"/>
      <c r="AP96" s="1110"/>
      <c r="AQ96" s="1110"/>
      <c r="AR96" s="1110"/>
      <c r="AS96" s="1110"/>
    </row>
    <row r="97" spans="1:45" x14ac:dyDescent="0.2">
      <c r="A97" s="339">
        <v>2028</v>
      </c>
      <c r="B97" s="353">
        <v>0</v>
      </c>
      <c r="C97" s="354">
        <v>0</v>
      </c>
      <c r="D97" s="354">
        <v>0</v>
      </c>
      <c r="E97" s="354">
        <v>0</v>
      </c>
      <c r="F97" s="354">
        <v>0</v>
      </c>
      <c r="G97" s="354">
        <v>0</v>
      </c>
      <c r="H97" s="354">
        <v>0</v>
      </c>
      <c r="I97" s="354">
        <v>0</v>
      </c>
      <c r="J97" s="354">
        <v>0</v>
      </c>
      <c r="K97" s="354">
        <v>0</v>
      </c>
      <c r="L97" s="365">
        <v>0</v>
      </c>
      <c r="M97" s="305">
        <f t="shared" si="79"/>
        <v>0</v>
      </c>
      <c r="N97" s="307">
        <f t="shared" si="80"/>
        <v>0</v>
      </c>
      <c r="O97" s="353">
        <v>0</v>
      </c>
      <c r="P97" s="354">
        <v>0</v>
      </c>
      <c r="Q97" s="354">
        <v>0</v>
      </c>
      <c r="R97" s="354">
        <v>0</v>
      </c>
      <c r="S97" s="354">
        <v>0</v>
      </c>
      <c r="T97" s="354">
        <v>0</v>
      </c>
      <c r="U97" s="354">
        <v>0</v>
      </c>
      <c r="V97" s="354">
        <v>0</v>
      </c>
      <c r="W97" s="354">
        <v>0</v>
      </c>
      <c r="X97" s="354">
        <v>0</v>
      </c>
      <c r="Y97" s="365">
        <v>0</v>
      </c>
      <c r="Z97" s="305">
        <f t="shared" si="81"/>
        <v>0</v>
      </c>
      <c r="AA97" s="307">
        <f t="shared" si="82"/>
        <v>0</v>
      </c>
      <c r="AB97" s="91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1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920">
        <f t="shared" si="86"/>
        <v>0</v>
      </c>
      <c r="AE97" s="897">
        <f t="shared" si="89"/>
        <v>0</v>
      </c>
      <c r="AF97" s="897">
        <f t="shared" si="90"/>
        <v>0</v>
      </c>
      <c r="AG97" s="897">
        <f t="shared" si="91"/>
        <v>0</v>
      </c>
      <c r="AH97" s="1113">
        <f t="shared" si="87"/>
        <v>0</v>
      </c>
      <c r="AI97" s="897">
        <f t="shared" si="88"/>
        <v>0</v>
      </c>
      <c r="AJ97" s="1110"/>
      <c r="AK97" s="1110"/>
      <c r="AL97" s="1110"/>
      <c r="AM97" s="1112"/>
      <c r="AN97" s="1110"/>
      <c r="AO97" s="1110"/>
      <c r="AP97" s="1110"/>
      <c r="AQ97" s="1110"/>
      <c r="AR97" s="1110"/>
      <c r="AS97" s="1110"/>
    </row>
    <row r="98" spans="1:45" x14ac:dyDescent="0.2">
      <c r="A98" s="339">
        <v>2029</v>
      </c>
      <c r="B98" s="353">
        <v>0</v>
      </c>
      <c r="C98" s="354">
        <v>0</v>
      </c>
      <c r="D98" s="354">
        <v>0</v>
      </c>
      <c r="E98" s="354">
        <v>0</v>
      </c>
      <c r="F98" s="354">
        <v>0</v>
      </c>
      <c r="G98" s="354">
        <v>0</v>
      </c>
      <c r="H98" s="354">
        <v>0</v>
      </c>
      <c r="I98" s="354">
        <v>0</v>
      </c>
      <c r="J98" s="354">
        <v>0</v>
      </c>
      <c r="K98" s="354">
        <v>0</v>
      </c>
      <c r="L98" s="365">
        <v>0</v>
      </c>
      <c r="M98" s="305">
        <f t="shared" si="79"/>
        <v>0</v>
      </c>
      <c r="N98" s="307">
        <f t="shared" si="80"/>
        <v>0</v>
      </c>
      <c r="O98" s="353">
        <v>0</v>
      </c>
      <c r="P98" s="354">
        <v>0</v>
      </c>
      <c r="Q98" s="354">
        <v>0</v>
      </c>
      <c r="R98" s="354">
        <v>0</v>
      </c>
      <c r="S98" s="354">
        <v>0</v>
      </c>
      <c r="T98" s="354">
        <v>0</v>
      </c>
      <c r="U98" s="354">
        <v>0</v>
      </c>
      <c r="V98" s="354">
        <v>0</v>
      </c>
      <c r="W98" s="354">
        <v>0</v>
      </c>
      <c r="X98" s="354">
        <v>0</v>
      </c>
      <c r="Y98" s="365">
        <v>0</v>
      </c>
      <c r="Z98" s="305">
        <f t="shared" si="81"/>
        <v>0</v>
      </c>
      <c r="AA98" s="307">
        <f t="shared" si="82"/>
        <v>0</v>
      </c>
      <c r="AB98" s="91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1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920">
        <f t="shared" si="86"/>
        <v>0</v>
      </c>
      <c r="AE98" s="897">
        <f t="shared" si="89"/>
        <v>0</v>
      </c>
      <c r="AF98" s="897">
        <f t="shared" si="90"/>
        <v>0</v>
      </c>
      <c r="AG98" s="897">
        <f t="shared" si="91"/>
        <v>0</v>
      </c>
      <c r="AH98" s="1113">
        <f t="shared" si="87"/>
        <v>0</v>
      </c>
      <c r="AI98" s="897">
        <f t="shared" si="88"/>
        <v>0</v>
      </c>
      <c r="AJ98" s="1110"/>
      <c r="AK98" s="1110"/>
      <c r="AL98" s="1110"/>
      <c r="AM98" s="1112"/>
      <c r="AN98" s="1110"/>
      <c r="AO98" s="1110"/>
      <c r="AP98" s="1110"/>
      <c r="AQ98" s="1110"/>
      <c r="AR98" s="1110"/>
      <c r="AS98" s="1110"/>
    </row>
    <row r="99" spans="1:45" ht="13.5" thickBot="1" x14ac:dyDescent="0.25">
      <c r="A99" s="337">
        <v>2030</v>
      </c>
      <c r="B99" s="355">
        <v>0</v>
      </c>
      <c r="C99" s="356">
        <v>0</v>
      </c>
      <c r="D99" s="356">
        <v>0</v>
      </c>
      <c r="E99" s="356">
        <v>0</v>
      </c>
      <c r="F99" s="356">
        <v>0</v>
      </c>
      <c r="G99" s="356">
        <v>0</v>
      </c>
      <c r="H99" s="356">
        <v>0</v>
      </c>
      <c r="I99" s="356">
        <v>0</v>
      </c>
      <c r="J99" s="356">
        <v>0</v>
      </c>
      <c r="K99" s="356">
        <v>0</v>
      </c>
      <c r="L99" s="366">
        <v>0</v>
      </c>
      <c r="M99" s="319">
        <f t="shared" si="79"/>
        <v>0</v>
      </c>
      <c r="N99" s="321">
        <f t="shared" si="80"/>
        <v>0</v>
      </c>
      <c r="O99" s="355">
        <v>0</v>
      </c>
      <c r="P99" s="356">
        <v>0</v>
      </c>
      <c r="Q99" s="356">
        <v>0</v>
      </c>
      <c r="R99" s="356">
        <v>0</v>
      </c>
      <c r="S99" s="356">
        <v>0</v>
      </c>
      <c r="T99" s="356">
        <v>0</v>
      </c>
      <c r="U99" s="356">
        <v>0</v>
      </c>
      <c r="V99" s="356">
        <v>0</v>
      </c>
      <c r="W99" s="356">
        <v>0</v>
      </c>
      <c r="X99" s="356">
        <v>0</v>
      </c>
      <c r="Y99" s="366">
        <v>0</v>
      </c>
      <c r="Z99" s="319">
        <f t="shared" si="81"/>
        <v>0</v>
      </c>
      <c r="AA99" s="321">
        <f t="shared" si="82"/>
        <v>0</v>
      </c>
      <c r="AB99" s="91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1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920">
        <f t="shared" si="86"/>
        <v>0</v>
      </c>
      <c r="AE99" s="897">
        <f t="shared" si="89"/>
        <v>0</v>
      </c>
      <c r="AF99" s="897">
        <f t="shared" si="90"/>
        <v>0</v>
      </c>
      <c r="AG99" s="897">
        <f t="shared" si="91"/>
        <v>0</v>
      </c>
      <c r="AH99" s="1113">
        <f t="shared" si="87"/>
        <v>0</v>
      </c>
      <c r="AI99" s="897">
        <f t="shared" si="88"/>
        <v>0</v>
      </c>
      <c r="AJ99" s="1110"/>
      <c r="AK99" s="1110"/>
      <c r="AL99" s="1110"/>
      <c r="AM99" s="1112"/>
      <c r="AN99" s="1110"/>
      <c r="AO99" s="1110"/>
      <c r="AP99" s="1110"/>
      <c r="AQ99" s="1110"/>
      <c r="AR99" s="1110"/>
      <c r="AS99" s="1110"/>
    </row>
    <row r="100" spans="1:45" x14ac:dyDescent="0.2">
      <c r="A100" s="338">
        <v>2031</v>
      </c>
      <c r="B100" s="351">
        <v>0</v>
      </c>
      <c r="C100" s="352">
        <v>0</v>
      </c>
      <c r="D100" s="352">
        <v>0</v>
      </c>
      <c r="E100" s="352">
        <v>0</v>
      </c>
      <c r="F100" s="352">
        <v>0</v>
      </c>
      <c r="G100" s="352">
        <v>0</v>
      </c>
      <c r="H100" s="352">
        <v>0</v>
      </c>
      <c r="I100" s="352">
        <v>0</v>
      </c>
      <c r="J100" s="352">
        <v>0</v>
      </c>
      <c r="K100" s="352">
        <v>0</v>
      </c>
      <c r="L100" s="364">
        <v>0</v>
      </c>
      <c r="M100" s="291">
        <f t="shared" si="79"/>
        <v>0</v>
      </c>
      <c r="N100" s="293">
        <f t="shared" si="80"/>
        <v>0</v>
      </c>
      <c r="O100" s="351">
        <v>0</v>
      </c>
      <c r="P100" s="352">
        <v>0</v>
      </c>
      <c r="Q100" s="352">
        <v>0</v>
      </c>
      <c r="R100" s="352">
        <v>0</v>
      </c>
      <c r="S100" s="352">
        <v>0</v>
      </c>
      <c r="T100" s="352">
        <v>0</v>
      </c>
      <c r="U100" s="352">
        <v>0</v>
      </c>
      <c r="V100" s="352">
        <v>0</v>
      </c>
      <c r="W100" s="352">
        <v>0</v>
      </c>
      <c r="X100" s="352">
        <v>0</v>
      </c>
      <c r="Y100" s="364">
        <v>0</v>
      </c>
      <c r="Z100" s="291">
        <f t="shared" si="81"/>
        <v>0</v>
      </c>
      <c r="AA100" s="293">
        <f t="shared" si="82"/>
        <v>0</v>
      </c>
      <c r="AB100" s="91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1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920">
        <f t="shared" si="86"/>
        <v>0</v>
      </c>
      <c r="AE100" s="897">
        <f t="shared" si="89"/>
        <v>0</v>
      </c>
      <c r="AF100" s="897">
        <f t="shared" si="90"/>
        <v>0</v>
      </c>
      <c r="AG100" s="897">
        <f t="shared" si="91"/>
        <v>0</v>
      </c>
      <c r="AH100" s="1113">
        <f t="shared" si="87"/>
        <v>0</v>
      </c>
      <c r="AI100" s="897">
        <f t="shared" si="88"/>
        <v>0</v>
      </c>
      <c r="AJ100" s="1110"/>
      <c r="AK100" s="1110"/>
      <c r="AL100" s="1110"/>
      <c r="AM100" s="1112"/>
      <c r="AN100" s="1110"/>
      <c r="AO100" s="1110"/>
      <c r="AP100" s="1110"/>
      <c r="AQ100" s="1110"/>
      <c r="AR100" s="1110"/>
      <c r="AS100" s="1110"/>
    </row>
    <row r="101" spans="1:45" x14ac:dyDescent="0.2">
      <c r="A101" s="339">
        <v>2032</v>
      </c>
      <c r="B101" s="353">
        <v>0</v>
      </c>
      <c r="C101" s="354">
        <v>0</v>
      </c>
      <c r="D101" s="354">
        <v>0</v>
      </c>
      <c r="E101" s="354">
        <v>0</v>
      </c>
      <c r="F101" s="354">
        <v>0</v>
      </c>
      <c r="G101" s="354">
        <v>0</v>
      </c>
      <c r="H101" s="354">
        <v>0</v>
      </c>
      <c r="I101" s="354">
        <v>0</v>
      </c>
      <c r="J101" s="354">
        <v>0</v>
      </c>
      <c r="K101" s="354">
        <v>0</v>
      </c>
      <c r="L101" s="365">
        <v>0</v>
      </c>
      <c r="M101" s="305">
        <f t="shared" si="79"/>
        <v>0</v>
      </c>
      <c r="N101" s="307">
        <f t="shared" si="80"/>
        <v>0</v>
      </c>
      <c r="O101" s="353">
        <v>0</v>
      </c>
      <c r="P101" s="354">
        <v>0</v>
      </c>
      <c r="Q101" s="354">
        <v>0</v>
      </c>
      <c r="R101" s="354">
        <v>0</v>
      </c>
      <c r="S101" s="354">
        <v>0</v>
      </c>
      <c r="T101" s="354">
        <v>0</v>
      </c>
      <c r="U101" s="354">
        <v>0</v>
      </c>
      <c r="V101" s="354">
        <v>0</v>
      </c>
      <c r="W101" s="354">
        <v>0</v>
      </c>
      <c r="X101" s="354">
        <v>0</v>
      </c>
      <c r="Y101" s="365">
        <v>0</v>
      </c>
      <c r="Z101" s="305">
        <f t="shared" si="81"/>
        <v>0</v>
      </c>
      <c r="AA101" s="307">
        <f t="shared" si="82"/>
        <v>0</v>
      </c>
      <c r="AB101" s="91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1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920">
        <f t="shared" si="86"/>
        <v>0</v>
      </c>
      <c r="AE101" s="897">
        <f t="shared" si="89"/>
        <v>0</v>
      </c>
      <c r="AF101" s="897">
        <f t="shared" si="90"/>
        <v>0</v>
      </c>
      <c r="AG101" s="897">
        <f t="shared" si="91"/>
        <v>0</v>
      </c>
      <c r="AH101" s="1113">
        <f t="shared" si="87"/>
        <v>0</v>
      </c>
      <c r="AI101" s="897">
        <f t="shared" si="88"/>
        <v>0</v>
      </c>
      <c r="AJ101" s="1110"/>
      <c r="AK101" s="1110"/>
      <c r="AL101" s="1110"/>
      <c r="AM101" s="1112"/>
      <c r="AN101" s="1110"/>
      <c r="AO101" s="1110"/>
      <c r="AP101" s="1110"/>
      <c r="AQ101" s="1110"/>
      <c r="AR101" s="1110"/>
      <c r="AS101" s="1110"/>
    </row>
    <row r="102" spans="1:45" x14ac:dyDescent="0.2">
      <c r="A102" s="339">
        <v>2033</v>
      </c>
      <c r="B102" s="353">
        <v>0</v>
      </c>
      <c r="C102" s="354">
        <v>0</v>
      </c>
      <c r="D102" s="354">
        <v>0</v>
      </c>
      <c r="E102" s="354">
        <v>0</v>
      </c>
      <c r="F102" s="354">
        <v>0</v>
      </c>
      <c r="G102" s="354">
        <v>0</v>
      </c>
      <c r="H102" s="354">
        <v>0</v>
      </c>
      <c r="I102" s="354">
        <v>0</v>
      </c>
      <c r="J102" s="354">
        <v>0</v>
      </c>
      <c r="K102" s="354">
        <v>0</v>
      </c>
      <c r="L102" s="365">
        <v>0</v>
      </c>
      <c r="M102" s="305">
        <f t="shared" si="79"/>
        <v>0</v>
      </c>
      <c r="N102" s="307">
        <f t="shared" si="80"/>
        <v>0</v>
      </c>
      <c r="O102" s="353">
        <v>0</v>
      </c>
      <c r="P102" s="354">
        <v>0</v>
      </c>
      <c r="Q102" s="354">
        <v>0</v>
      </c>
      <c r="R102" s="354">
        <v>0</v>
      </c>
      <c r="S102" s="354">
        <v>0</v>
      </c>
      <c r="T102" s="354">
        <v>0</v>
      </c>
      <c r="U102" s="354">
        <v>0</v>
      </c>
      <c r="V102" s="354">
        <v>0</v>
      </c>
      <c r="W102" s="354">
        <v>0</v>
      </c>
      <c r="X102" s="354">
        <v>0</v>
      </c>
      <c r="Y102" s="365">
        <v>0</v>
      </c>
      <c r="Z102" s="305">
        <f t="shared" si="81"/>
        <v>0</v>
      </c>
      <c r="AA102" s="307">
        <f t="shared" si="82"/>
        <v>0</v>
      </c>
      <c r="AB102" s="91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1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920">
        <f t="shared" si="86"/>
        <v>0</v>
      </c>
      <c r="AE102" s="897">
        <f t="shared" si="89"/>
        <v>0</v>
      </c>
      <c r="AF102" s="897">
        <f t="shared" si="90"/>
        <v>0</v>
      </c>
      <c r="AG102" s="897">
        <f t="shared" si="91"/>
        <v>0</v>
      </c>
      <c r="AH102" s="1113">
        <f t="shared" si="87"/>
        <v>0</v>
      </c>
      <c r="AI102" s="897">
        <f t="shared" si="88"/>
        <v>0</v>
      </c>
      <c r="AJ102" s="1110"/>
      <c r="AK102" s="1110"/>
      <c r="AL102" s="1110"/>
      <c r="AM102" s="1112"/>
      <c r="AN102" s="1110"/>
      <c r="AO102" s="1110"/>
      <c r="AP102" s="1110"/>
      <c r="AQ102" s="1110"/>
      <c r="AR102" s="1110"/>
      <c r="AS102" s="1110"/>
    </row>
    <row r="103" spans="1:45" x14ac:dyDescent="0.2">
      <c r="A103" s="339">
        <v>2034</v>
      </c>
      <c r="B103" s="353">
        <v>0</v>
      </c>
      <c r="C103" s="354">
        <v>0</v>
      </c>
      <c r="D103" s="354">
        <v>0</v>
      </c>
      <c r="E103" s="354">
        <v>0</v>
      </c>
      <c r="F103" s="354">
        <v>0</v>
      </c>
      <c r="G103" s="354">
        <v>0</v>
      </c>
      <c r="H103" s="354">
        <v>0</v>
      </c>
      <c r="I103" s="354">
        <v>0</v>
      </c>
      <c r="J103" s="354">
        <v>0</v>
      </c>
      <c r="K103" s="354">
        <v>0</v>
      </c>
      <c r="L103" s="365">
        <v>0</v>
      </c>
      <c r="M103" s="305">
        <f t="shared" si="79"/>
        <v>0</v>
      </c>
      <c r="N103" s="307">
        <f t="shared" si="80"/>
        <v>0</v>
      </c>
      <c r="O103" s="353">
        <v>0</v>
      </c>
      <c r="P103" s="354">
        <v>0</v>
      </c>
      <c r="Q103" s="354">
        <v>0</v>
      </c>
      <c r="R103" s="354">
        <v>0</v>
      </c>
      <c r="S103" s="354">
        <v>0</v>
      </c>
      <c r="T103" s="354">
        <v>0</v>
      </c>
      <c r="U103" s="354">
        <v>0</v>
      </c>
      <c r="V103" s="354">
        <v>0</v>
      </c>
      <c r="W103" s="354">
        <v>0</v>
      </c>
      <c r="X103" s="354">
        <v>0</v>
      </c>
      <c r="Y103" s="365">
        <v>0</v>
      </c>
      <c r="Z103" s="305">
        <f t="shared" si="81"/>
        <v>0</v>
      </c>
      <c r="AA103" s="307">
        <f t="shared" si="82"/>
        <v>0</v>
      </c>
      <c r="AB103" s="91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1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920">
        <f t="shared" si="86"/>
        <v>0</v>
      </c>
      <c r="AE103" s="897">
        <f t="shared" si="89"/>
        <v>0</v>
      </c>
      <c r="AF103" s="897">
        <f t="shared" si="90"/>
        <v>0</v>
      </c>
      <c r="AG103" s="897">
        <f t="shared" si="91"/>
        <v>0</v>
      </c>
      <c r="AH103" s="1113">
        <f t="shared" si="87"/>
        <v>0</v>
      </c>
      <c r="AI103" s="897">
        <f t="shared" si="88"/>
        <v>0</v>
      </c>
      <c r="AJ103" s="1110"/>
      <c r="AK103" s="1110"/>
      <c r="AL103" s="1110"/>
      <c r="AM103" s="1112"/>
      <c r="AN103" s="1110"/>
      <c r="AO103" s="1110"/>
      <c r="AP103" s="1110"/>
      <c r="AQ103" s="1110"/>
      <c r="AR103" s="1110"/>
      <c r="AS103" s="1110"/>
    </row>
    <row r="104" spans="1:45" ht="13.5" thickBot="1" x14ac:dyDescent="0.25">
      <c r="A104" s="337">
        <v>2035</v>
      </c>
      <c r="B104" s="355">
        <v>0</v>
      </c>
      <c r="C104" s="356">
        <v>0</v>
      </c>
      <c r="D104" s="356">
        <v>0</v>
      </c>
      <c r="E104" s="356">
        <v>0</v>
      </c>
      <c r="F104" s="356">
        <v>0</v>
      </c>
      <c r="G104" s="356">
        <v>0</v>
      </c>
      <c r="H104" s="356">
        <v>0</v>
      </c>
      <c r="I104" s="356">
        <v>0</v>
      </c>
      <c r="J104" s="356">
        <v>0</v>
      </c>
      <c r="K104" s="356">
        <v>0</v>
      </c>
      <c r="L104" s="366">
        <v>0</v>
      </c>
      <c r="M104" s="319">
        <f t="shared" si="79"/>
        <v>0</v>
      </c>
      <c r="N104" s="321">
        <f t="shared" si="80"/>
        <v>0</v>
      </c>
      <c r="O104" s="355">
        <v>0</v>
      </c>
      <c r="P104" s="356">
        <v>0</v>
      </c>
      <c r="Q104" s="356">
        <v>0</v>
      </c>
      <c r="R104" s="356">
        <v>0</v>
      </c>
      <c r="S104" s="356">
        <v>0</v>
      </c>
      <c r="T104" s="356">
        <v>0</v>
      </c>
      <c r="U104" s="356">
        <v>0</v>
      </c>
      <c r="V104" s="356">
        <v>0</v>
      </c>
      <c r="W104" s="356">
        <v>0</v>
      </c>
      <c r="X104" s="356">
        <v>0</v>
      </c>
      <c r="Y104" s="366">
        <v>0</v>
      </c>
      <c r="Z104" s="319">
        <f t="shared" si="81"/>
        <v>0</v>
      </c>
      <c r="AA104" s="321">
        <f t="shared" si="82"/>
        <v>0</v>
      </c>
      <c r="AB104" s="91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1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920">
        <f t="shared" si="86"/>
        <v>0</v>
      </c>
      <c r="AE104" s="897">
        <f t="shared" si="89"/>
        <v>0</v>
      </c>
      <c r="AF104" s="897">
        <f t="shared" si="90"/>
        <v>0</v>
      </c>
      <c r="AG104" s="897">
        <f t="shared" si="91"/>
        <v>0</v>
      </c>
      <c r="AH104" s="1113">
        <f t="shared" si="87"/>
        <v>0</v>
      </c>
      <c r="AI104" s="897">
        <f t="shared" si="88"/>
        <v>0</v>
      </c>
      <c r="AJ104" s="1110"/>
      <c r="AK104" s="1110"/>
      <c r="AL104" s="1110"/>
      <c r="AM104" s="1112"/>
      <c r="AN104" s="1110"/>
      <c r="AO104" s="1110"/>
      <c r="AP104" s="1110"/>
      <c r="AQ104" s="1110"/>
      <c r="AR104" s="1110"/>
      <c r="AS104" s="1110"/>
    </row>
    <row r="105" spans="1:45" x14ac:dyDescent="0.2">
      <c r="A105" s="338">
        <v>2036</v>
      </c>
      <c r="B105" s="351">
        <v>0</v>
      </c>
      <c r="C105" s="352">
        <v>0</v>
      </c>
      <c r="D105" s="352">
        <v>0</v>
      </c>
      <c r="E105" s="352">
        <v>0</v>
      </c>
      <c r="F105" s="352">
        <v>0</v>
      </c>
      <c r="G105" s="352">
        <v>0</v>
      </c>
      <c r="H105" s="352">
        <v>0</v>
      </c>
      <c r="I105" s="352">
        <v>0</v>
      </c>
      <c r="J105" s="352">
        <v>0</v>
      </c>
      <c r="K105" s="352">
        <v>0</v>
      </c>
      <c r="L105" s="364">
        <v>0</v>
      </c>
      <c r="M105" s="291">
        <f t="shared" si="79"/>
        <v>0</v>
      </c>
      <c r="N105" s="293">
        <f t="shared" si="80"/>
        <v>0</v>
      </c>
      <c r="O105" s="351">
        <v>0</v>
      </c>
      <c r="P105" s="352">
        <v>0</v>
      </c>
      <c r="Q105" s="352">
        <v>0</v>
      </c>
      <c r="R105" s="352">
        <v>0</v>
      </c>
      <c r="S105" s="352">
        <v>0</v>
      </c>
      <c r="T105" s="352">
        <v>0</v>
      </c>
      <c r="U105" s="352">
        <v>0</v>
      </c>
      <c r="V105" s="352">
        <v>0</v>
      </c>
      <c r="W105" s="352">
        <v>0</v>
      </c>
      <c r="X105" s="352">
        <v>0</v>
      </c>
      <c r="Y105" s="364">
        <v>0</v>
      </c>
      <c r="Z105" s="291">
        <f t="shared" si="81"/>
        <v>0</v>
      </c>
      <c r="AA105" s="293">
        <f t="shared" si="82"/>
        <v>0</v>
      </c>
      <c r="AB105" s="91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1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920">
        <f t="shared" si="86"/>
        <v>0</v>
      </c>
      <c r="AE105" s="897">
        <f t="shared" si="89"/>
        <v>0</v>
      </c>
      <c r="AF105" s="897">
        <f t="shared" si="90"/>
        <v>0</v>
      </c>
      <c r="AG105" s="897">
        <f t="shared" si="91"/>
        <v>0</v>
      </c>
      <c r="AH105" s="1113">
        <f t="shared" si="87"/>
        <v>0</v>
      </c>
      <c r="AI105" s="897">
        <f t="shared" si="88"/>
        <v>0</v>
      </c>
      <c r="AJ105" s="1110"/>
      <c r="AK105" s="1110"/>
      <c r="AL105" s="1110"/>
      <c r="AM105" s="1112"/>
      <c r="AN105" s="1110"/>
      <c r="AO105" s="1110"/>
      <c r="AP105" s="1110"/>
      <c r="AQ105" s="1110"/>
      <c r="AR105" s="1110"/>
      <c r="AS105" s="1110"/>
    </row>
    <row r="106" spans="1:45" x14ac:dyDescent="0.2">
      <c r="A106" s="339">
        <v>2037</v>
      </c>
      <c r="B106" s="353">
        <v>0</v>
      </c>
      <c r="C106" s="354">
        <v>0</v>
      </c>
      <c r="D106" s="354">
        <v>0</v>
      </c>
      <c r="E106" s="354">
        <v>0</v>
      </c>
      <c r="F106" s="354">
        <v>0</v>
      </c>
      <c r="G106" s="354">
        <v>0</v>
      </c>
      <c r="H106" s="354">
        <v>0</v>
      </c>
      <c r="I106" s="354">
        <v>0</v>
      </c>
      <c r="J106" s="354">
        <v>0</v>
      </c>
      <c r="K106" s="354">
        <v>0</v>
      </c>
      <c r="L106" s="365">
        <v>0</v>
      </c>
      <c r="M106" s="305">
        <f t="shared" si="79"/>
        <v>0</v>
      </c>
      <c r="N106" s="307">
        <f t="shared" si="80"/>
        <v>0</v>
      </c>
      <c r="O106" s="353">
        <v>0</v>
      </c>
      <c r="P106" s="354">
        <v>0</v>
      </c>
      <c r="Q106" s="354">
        <v>0</v>
      </c>
      <c r="R106" s="354">
        <v>0</v>
      </c>
      <c r="S106" s="354">
        <v>0</v>
      </c>
      <c r="T106" s="354">
        <v>0</v>
      </c>
      <c r="U106" s="354">
        <v>0</v>
      </c>
      <c r="V106" s="354">
        <v>0</v>
      </c>
      <c r="W106" s="354">
        <v>0</v>
      </c>
      <c r="X106" s="354">
        <v>0</v>
      </c>
      <c r="Y106" s="365">
        <v>0</v>
      </c>
      <c r="Z106" s="305">
        <f t="shared" si="81"/>
        <v>0</v>
      </c>
      <c r="AA106" s="307">
        <f t="shared" si="82"/>
        <v>0</v>
      </c>
      <c r="AB106" s="91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1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920">
        <f t="shared" si="86"/>
        <v>0</v>
      </c>
      <c r="AE106" s="897">
        <f t="shared" si="89"/>
        <v>0</v>
      </c>
      <c r="AF106" s="897">
        <f t="shared" si="90"/>
        <v>0</v>
      </c>
      <c r="AG106" s="897">
        <f t="shared" si="91"/>
        <v>0</v>
      </c>
      <c r="AH106" s="1113">
        <f t="shared" si="87"/>
        <v>0</v>
      </c>
      <c r="AI106" s="897">
        <f t="shared" si="88"/>
        <v>0</v>
      </c>
      <c r="AJ106" s="1110"/>
      <c r="AK106" s="1110"/>
      <c r="AL106" s="1110"/>
      <c r="AM106" s="1112"/>
      <c r="AN106" s="1110"/>
      <c r="AO106" s="1110"/>
      <c r="AP106" s="1110"/>
      <c r="AQ106" s="1110"/>
      <c r="AR106" s="1110"/>
      <c r="AS106" s="1110"/>
    </row>
    <row r="107" spans="1:45" x14ac:dyDescent="0.2">
      <c r="A107" s="339">
        <v>2038</v>
      </c>
      <c r="B107" s="353">
        <v>0</v>
      </c>
      <c r="C107" s="354">
        <v>0</v>
      </c>
      <c r="D107" s="354">
        <v>0</v>
      </c>
      <c r="E107" s="354">
        <v>0</v>
      </c>
      <c r="F107" s="354">
        <v>0</v>
      </c>
      <c r="G107" s="354">
        <v>0</v>
      </c>
      <c r="H107" s="354">
        <v>0</v>
      </c>
      <c r="I107" s="354">
        <v>0</v>
      </c>
      <c r="J107" s="354">
        <v>0</v>
      </c>
      <c r="K107" s="354">
        <v>0</v>
      </c>
      <c r="L107" s="365">
        <v>0</v>
      </c>
      <c r="M107" s="305">
        <f t="shared" si="79"/>
        <v>0</v>
      </c>
      <c r="N107" s="307">
        <f t="shared" si="80"/>
        <v>0</v>
      </c>
      <c r="O107" s="353">
        <v>0</v>
      </c>
      <c r="P107" s="354">
        <v>0</v>
      </c>
      <c r="Q107" s="354">
        <v>0</v>
      </c>
      <c r="R107" s="354">
        <v>0</v>
      </c>
      <c r="S107" s="354">
        <v>0</v>
      </c>
      <c r="T107" s="354">
        <v>0</v>
      </c>
      <c r="U107" s="354">
        <v>0</v>
      </c>
      <c r="V107" s="354">
        <v>0</v>
      </c>
      <c r="W107" s="354">
        <v>0</v>
      </c>
      <c r="X107" s="354">
        <v>0</v>
      </c>
      <c r="Y107" s="365">
        <v>0</v>
      </c>
      <c r="Z107" s="305">
        <f t="shared" si="81"/>
        <v>0</v>
      </c>
      <c r="AA107" s="307">
        <f t="shared" si="82"/>
        <v>0</v>
      </c>
      <c r="AB107" s="91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1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920">
        <f t="shared" si="86"/>
        <v>0</v>
      </c>
      <c r="AE107" s="897">
        <f t="shared" si="89"/>
        <v>0</v>
      </c>
      <c r="AF107" s="897">
        <f t="shared" si="90"/>
        <v>0</v>
      </c>
      <c r="AG107" s="897">
        <f t="shared" si="91"/>
        <v>0</v>
      </c>
      <c r="AH107" s="1113">
        <f t="shared" si="87"/>
        <v>0</v>
      </c>
      <c r="AI107" s="897">
        <f t="shared" si="88"/>
        <v>0</v>
      </c>
      <c r="AJ107" s="1110"/>
      <c r="AK107" s="1110"/>
      <c r="AL107" s="1110"/>
      <c r="AM107" s="1112"/>
      <c r="AN107" s="1110"/>
      <c r="AO107" s="1110"/>
      <c r="AP107" s="1110"/>
      <c r="AQ107" s="1110"/>
      <c r="AR107" s="1110"/>
      <c r="AS107" s="1110"/>
    </row>
    <row r="108" spans="1:45" x14ac:dyDescent="0.2">
      <c r="A108" s="339">
        <v>2039</v>
      </c>
      <c r="B108" s="353">
        <v>0</v>
      </c>
      <c r="C108" s="354">
        <v>0</v>
      </c>
      <c r="D108" s="354">
        <v>0</v>
      </c>
      <c r="E108" s="354">
        <v>0</v>
      </c>
      <c r="F108" s="354">
        <v>0</v>
      </c>
      <c r="G108" s="354">
        <v>0</v>
      </c>
      <c r="H108" s="354">
        <v>0</v>
      </c>
      <c r="I108" s="354">
        <v>0</v>
      </c>
      <c r="J108" s="354">
        <v>0</v>
      </c>
      <c r="K108" s="354">
        <v>0</v>
      </c>
      <c r="L108" s="365">
        <v>0</v>
      </c>
      <c r="M108" s="305">
        <f t="shared" si="79"/>
        <v>0</v>
      </c>
      <c r="N108" s="307">
        <f t="shared" si="80"/>
        <v>0</v>
      </c>
      <c r="O108" s="353">
        <v>0</v>
      </c>
      <c r="P108" s="354">
        <v>0</v>
      </c>
      <c r="Q108" s="354">
        <v>0</v>
      </c>
      <c r="R108" s="354">
        <v>0</v>
      </c>
      <c r="S108" s="354">
        <v>0</v>
      </c>
      <c r="T108" s="354">
        <v>0</v>
      </c>
      <c r="U108" s="354">
        <v>0</v>
      </c>
      <c r="V108" s="354">
        <v>0</v>
      </c>
      <c r="W108" s="354">
        <v>0</v>
      </c>
      <c r="X108" s="354">
        <v>0</v>
      </c>
      <c r="Y108" s="365">
        <v>0</v>
      </c>
      <c r="Z108" s="305">
        <f t="shared" si="81"/>
        <v>0</v>
      </c>
      <c r="AA108" s="307">
        <f t="shared" si="82"/>
        <v>0</v>
      </c>
      <c r="AB108" s="91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1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920">
        <f t="shared" si="86"/>
        <v>0</v>
      </c>
      <c r="AE108" s="897">
        <f t="shared" si="89"/>
        <v>0</v>
      </c>
      <c r="AF108" s="897">
        <f t="shared" si="90"/>
        <v>0</v>
      </c>
      <c r="AG108" s="897">
        <f t="shared" si="91"/>
        <v>0</v>
      </c>
      <c r="AH108" s="1113">
        <f t="shared" si="87"/>
        <v>0</v>
      </c>
      <c r="AI108" s="897">
        <f t="shared" si="88"/>
        <v>0</v>
      </c>
      <c r="AJ108" s="1110"/>
      <c r="AK108" s="1110"/>
      <c r="AL108" s="1110"/>
      <c r="AM108" s="1112"/>
      <c r="AN108" s="1110"/>
      <c r="AO108" s="1110"/>
      <c r="AP108" s="1110"/>
      <c r="AQ108" s="1110"/>
      <c r="AR108" s="1110"/>
      <c r="AS108" s="1110"/>
    </row>
    <row r="109" spans="1:45" ht="13.5" thickBot="1" x14ac:dyDescent="0.25">
      <c r="A109" s="337">
        <v>2040</v>
      </c>
      <c r="B109" s="355">
        <v>0</v>
      </c>
      <c r="C109" s="356">
        <v>0</v>
      </c>
      <c r="D109" s="356">
        <v>0</v>
      </c>
      <c r="E109" s="356">
        <v>0</v>
      </c>
      <c r="F109" s="356">
        <v>0</v>
      </c>
      <c r="G109" s="356">
        <v>0</v>
      </c>
      <c r="H109" s="356">
        <v>0</v>
      </c>
      <c r="I109" s="356">
        <v>0</v>
      </c>
      <c r="J109" s="356">
        <v>0</v>
      </c>
      <c r="K109" s="356">
        <v>0</v>
      </c>
      <c r="L109" s="366">
        <v>0</v>
      </c>
      <c r="M109" s="319">
        <f t="shared" si="79"/>
        <v>0</v>
      </c>
      <c r="N109" s="321">
        <f t="shared" si="80"/>
        <v>0</v>
      </c>
      <c r="O109" s="355">
        <v>0</v>
      </c>
      <c r="P109" s="356">
        <v>0</v>
      </c>
      <c r="Q109" s="356">
        <v>0</v>
      </c>
      <c r="R109" s="356">
        <v>0</v>
      </c>
      <c r="S109" s="356">
        <v>0</v>
      </c>
      <c r="T109" s="356">
        <v>0</v>
      </c>
      <c r="U109" s="356">
        <v>0</v>
      </c>
      <c r="V109" s="356">
        <v>0</v>
      </c>
      <c r="W109" s="356">
        <v>0</v>
      </c>
      <c r="X109" s="356">
        <v>0</v>
      </c>
      <c r="Y109" s="366">
        <v>0</v>
      </c>
      <c r="Z109" s="319">
        <f t="shared" si="81"/>
        <v>0</v>
      </c>
      <c r="AA109" s="321">
        <f t="shared" si="82"/>
        <v>0</v>
      </c>
      <c r="AB109" s="91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1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920">
        <f t="shared" si="86"/>
        <v>0</v>
      </c>
      <c r="AE109" s="897">
        <f t="shared" si="89"/>
        <v>0</v>
      </c>
      <c r="AF109" s="897">
        <f t="shared" si="90"/>
        <v>0</v>
      </c>
      <c r="AG109" s="897">
        <f t="shared" si="91"/>
        <v>0</v>
      </c>
      <c r="AH109" s="1113">
        <f t="shared" si="87"/>
        <v>0</v>
      </c>
      <c r="AI109" s="897">
        <f t="shared" si="88"/>
        <v>0</v>
      </c>
      <c r="AJ109" s="1110"/>
      <c r="AK109" s="1110"/>
      <c r="AL109" s="1110"/>
      <c r="AM109" s="1112"/>
      <c r="AN109" s="1110"/>
      <c r="AO109" s="1110"/>
      <c r="AP109" s="1110"/>
      <c r="AQ109" s="1110"/>
      <c r="AR109" s="1110"/>
      <c r="AS109" s="1110"/>
    </row>
    <row r="110" spans="1:45" x14ac:dyDescent="0.2">
      <c r="A110" s="338">
        <v>2041</v>
      </c>
      <c r="B110" s="351">
        <v>0</v>
      </c>
      <c r="C110" s="352">
        <v>0</v>
      </c>
      <c r="D110" s="352">
        <v>0</v>
      </c>
      <c r="E110" s="352">
        <v>0</v>
      </c>
      <c r="F110" s="352">
        <v>0</v>
      </c>
      <c r="G110" s="352">
        <v>0</v>
      </c>
      <c r="H110" s="352">
        <v>0</v>
      </c>
      <c r="I110" s="352">
        <v>0</v>
      </c>
      <c r="J110" s="352">
        <v>0</v>
      </c>
      <c r="K110" s="352">
        <v>0</v>
      </c>
      <c r="L110" s="364">
        <v>0</v>
      </c>
      <c r="M110" s="291">
        <f t="shared" si="79"/>
        <v>0</v>
      </c>
      <c r="N110" s="293">
        <f t="shared" si="80"/>
        <v>0</v>
      </c>
      <c r="O110" s="351">
        <v>0</v>
      </c>
      <c r="P110" s="352">
        <v>0</v>
      </c>
      <c r="Q110" s="352">
        <v>0</v>
      </c>
      <c r="R110" s="352">
        <v>0</v>
      </c>
      <c r="S110" s="352">
        <v>0</v>
      </c>
      <c r="T110" s="352">
        <v>0</v>
      </c>
      <c r="U110" s="352">
        <v>0</v>
      </c>
      <c r="V110" s="352">
        <v>0</v>
      </c>
      <c r="W110" s="352">
        <v>0</v>
      </c>
      <c r="X110" s="352">
        <v>0</v>
      </c>
      <c r="Y110" s="364">
        <v>0</v>
      </c>
      <c r="Z110" s="291">
        <f t="shared" si="81"/>
        <v>0</v>
      </c>
      <c r="AA110" s="293">
        <f t="shared" si="82"/>
        <v>0</v>
      </c>
      <c r="AB110" s="91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1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920">
        <f t="shared" si="86"/>
        <v>0</v>
      </c>
      <c r="AE110" s="897">
        <f t="shared" si="89"/>
        <v>0</v>
      </c>
      <c r="AF110" s="897">
        <f t="shared" si="90"/>
        <v>0</v>
      </c>
      <c r="AG110" s="897">
        <f t="shared" si="91"/>
        <v>0</v>
      </c>
      <c r="AH110" s="1113">
        <f t="shared" si="87"/>
        <v>0</v>
      </c>
      <c r="AI110" s="897">
        <f t="shared" si="88"/>
        <v>0</v>
      </c>
      <c r="AJ110" s="1110"/>
      <c r="AK110" s="1110"/>
      <c r="AL110" s="1110"/>
      <c r="AM110" s="1112"/>
      <c r="AN110" s="1110"/>
      <c r="AO110" s="1110"/>
      <c r="AP110" s="1110"/>
      <c r="AQ110" s="1110"/>
      <c r="AR110" s="1110"/>
      <c r="AS110" s="1110"/>
    </row>
    <row r="111" spans="1:45" x14ac:dyDescent="0.2">
      <c r="A111" s="339">
        <v>2042</v>
      </c>
      <c r="B111" s="353">
        <v>0</v>
      </c>
      <c r="C111" s="354">
        <v>0</v>
      </c>
      <c r="D111" s="354">
        <v>0</v>
      </c>
      <c r="E111" s="354">
        <v>0</v>
      </c>
      <c r="F111" s="354">
        <v>0</v>
      </c>
      <c r="G111" s="354">
        <v>0</v>
      </c>
      <c r="H111" s="354">
        <v>0</v>
      </c>
      <c r="I111" s="354">
        <v>0</v>
      </c>
      <c r="J111" s="354">
        <v>0</v>
      </c>
      <c r="K111" s="354">
        <v>0</v>
      </c>
      <c r="L111" s="365">
        <v>0</v>
      </c>
      <c r="M111" s="305">
        <f t="shared" si="79"/>
        <v>0</v>
      </c>
      <c r="N111" s="307">
        <f t="shared" si="80"/>
        <v>0</v>
      </c>
      <c r="O111" s="353">
        <v>0</v>
      </c>
      <c r="P111" s="354">
        <v>0</v>
      </c>
      <c r="Q111" s="354">
        <v>0</v>
      </c>
      <c r="R111" s="354">
        <v>0</v>
      </c>
      <c r="S111" s="354">
        <v>0</v>
      </c>
      <c r="T111" s="354">
        <v>0</v>
      </c>
      <c r="U111" s="354">
        <v>0</v>
      </c>
      <c r="V111" s="354">
        <v>0</v>
      </c>
      <c r="W111" s="354">
        <v>0</v>
      </c>
      <c r="X111" s="354">
        <v>0</v>
      </c>
      <c r="Y111" s="365">
        <v>0</v>
      </c>
      <c r="Z111" s="305">
        <f t="shared" si="81"/>
        <v>0</v>
      </c>
      <c r="AA111" s="307">
        <f t="shared" si="82"/>
        <v>0</v>
      </c>
      <c r="AB111" s="91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1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920">
        <f t="shared" si="86"/>
        <v>0</v>
      </c>
      <c r="AE111" s="897">
        <f t="shared" si="89"/>
        <v>0</v>
      </c>
      <c r="AF111" s="897">
        <f t="shared" si="90"/>
        <v>0</v>
      </c>
      <c r="AG111" s="897">
        <f t="shared" si="91"/>
        <v>0</v>
      </c>
      <c r="AH111" s="1113">
        <f t="shared" si="87"/>
        <v>0</v>
      </c>
      <c r="AI111" s="897">
        <f t="shared" si="88"/>
        <v>0</v>
      </c>
      <c r="AJ111" s="1110"/>
      <c r="AK111" s="1110"/>
      <c r="AL111" s="1110"/>
      <c r="AM111" s="1112"/>
      <c r="AN111" s="1110"/>
      <c r="AO111" s="1110"/>
      <c r="AP111" s="1110"/>
      <c r="AQ111" s="1110"/>
      <c r="AR111" s="1110"/>
      <c r="AS111" s="1110"/>
    </row>
    <row r="112" spans="1:45" x14ac:dyDescent="0.2">
      <c r="A112" s="339">
        <v>2043</v>
      </c>
      <c r="B112" s="353">
        <v>0</v>
      </c>
      <c r="C112" s="354">
        <v>0</v>
      </c>
      <c r="D112" s="354">
        <v>0</v>
      </c>
      <c r="E112" s="354">
        <v>0</v>
      </c>
      <c r="F112" s="354">
        <v>0</v>
      </c>
      <c r="G112" s="354">
        <v>0</v>
      </c>
      <c r="H112" s="354">
        <v>0</v>
      </c>
      <c r="I112" s="354">
        <v>0</v>
      </c>
      <c r="J112" s="354">
        <v>0</v>
      </c>
      <c r="K112" s="354">
        <v>0</v>
      </c>
      <c r="L112" s="365">
        <v>0</v>
      </c>
      <c r="M112" s="305">
        <f t="shared" si="79"/>
        <v>0</v>
      </c>
      <c r="N112" s="307">
        <f t="shared" si="80"/>
        <v>0</v>
      </c>
      <c r="O112" s="353">
        <v>0</v>
      </c>
      <c r="P112" s="354">
        <v>0</v>
      </c>
      <c r="Q112" s="354">
        <v>0</v>
      </c>
      <c r="R112" s="354">
        <v>0</v>
      </c>
      <c r="S112" s="354">
        <v>0</v>
      </c>
      <c r="T112" s="354">
        <v>0</v>
      </c>
      <c r="U112" s="354">
        <v>0</v>
      </c>
      <c r="V112" s="354">
        <v>0</v>
      </c>
      <c r="W112" s="354">
        <v>0</v>
      </c>
      <c r="X112" s="354">
        <v>0</v>
      </c>
      <c r="Y112" s="365">
        <v>0</v>
      </c>
      <c r="Z112" s="305">
        <f t="shared" si="81"/>
        <v>0</v>
      </c>
      <c r="AA112" s="307">
        <f t="shared" si="82"/>
        <v>0</v>
      </c>
      <c r="AB112" s="91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1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920">
        <f t="shared" si="86"/>
        <v>0</v>
      </c>
      <c r="AE112" s="897">
        <f t="shared" si="89"/>
        <v>0</v>
      </c>
      <c r="AF112" s="897">
        <f t="shared" si="90"/>
        <v>0</v>
      </c>
      <c r="AG112" s="897">
        <f t="shared" si="91"/>
        <v>0</v>
      </c>
      <c r="AH112" s="1113">
        <f t="shared" si="87"/>
        <v>0</v>
      </c>
      <c r="AI112" s="897">
        <f t="shared" si="88"/>
        <v>0</v>
      </c>
      <c r="AJ112" s="1110"/>
      <c r="AK112" s="1110"/>
      <c r="AL112" s="1110"/>
      <c r="AM112" s="1112"/>
      <c r="AN112" s="1110"/>
      <c r="AO112" s="1110"/>
      <c r="AP112" s="1110"/>
      <c r="AQ112" s="1110"/>
      <c r="AR112" s="1110"/>
      <c r="AS112" s="1110"/>
    </row>
    <row r="113" spans="1:45" x14ac:dyDescent="0.2">
      <c r="A113" s="339">
        <v>2044</v>
      </c>
      <c r="B113" s="353">
        <v>0</v>
      </c>
      <c r="C113" s="354">
        <v>0</v>
      </c>
      <c r="D113" s="354">
        <v>0</v>
      </c>
      <c r="E113" s="354">
        <v>0</v>
      </c>
      <c r="F113" s="354">
        <v>0</v>
      </c>
      <c r="G113" s="354">
        <v>0</v>
      </c>
      <c r="H113" s="354">
        <v>0</v>
      </c>
      <c r="I113" s="354">
        <v>0</v>
      </c>
      <c r="J113" s="354">
        <v>0</v>
      </c>
      <c r="K113" s="354">
        <v>0</v>
      </c>
      <c r="L113" s="365">
        <v>0</v>
      </c>
      <c r="M113" s="305">
        <f t="shared" si="79"/>
        <v>0</v>
      </c>
      <c r="N113" s="307">
        <f t="shared" si="80"/>
        <v>0</v>
      </c>
      <c r="O113" s="353">
        <v>0</v>
      </c>
      <c r="P113" s="354">
        <v>0</v>
      </c>
      <c r="Q113" s="354">
        <v>0</v>
      </c>
      <c r="R113" s="354">
        <v>0</v>
      </c>
      <c r="S113" s="354">
        <v>0</v>
      </c>
      <c r="T113" s="354">
        <v>0</v>
      </c>
      <c r="U113" s="354">
        <v>0</v>
      </c>
      <c r="V113" s="354">
        <v>0</v>
      </c>
      <c r="W113" s="354">
        <v>0</v>
      </c>
      <c r="X113" s="354">
        <v>0</v>
      </c>
      <c r="Y113" s="365">
        <v>0</v>
      </c>
      <c r="Z113" s="305">
        <f t="shared" si="81"/>
        <v>0</v>
      </c>
      <c r="AA113" s="307">
        <f t="shared" si="82"/>
        <v>0</v>
      </c>
      <c r="AB113" s="91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1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920">
        <f t="shared" si="86"/>
        <v>0</v>
      </c>
      <c r="AE113" s="897">
        <f t="shared" si="89"/>
        <v>0</v>
      </c>
      <c r="AF113" s="897">
        <f t="shared" si="90"/>
        <v>0</v>
      </c>
      <c r="AG113" s="897">
        <f t="shared" si="91"/>
        <v>0</v>
      </c>
      <c r="AH113" s="1113">
        <f t="shared" si="87"/>
        <v>0</v>
      </c>
      <c r="AI113" s="897">
        <f t="shared" si="88"/>
        <v>0</v>
      </c>
      <c r="AJ113" s="1110"/>
      <c r="AK113" s="1110"/>
      <c r="AL113" s="1110"/>
      <c r="AM113" s="1112"/>
      <c r="AN113" s="1110"/>
      <c r="AO113" s="1110"/>
      <c r="AP113" s="1110"/>
      <c r="AQ113" s="1110"/>
      <c r="AR113" s="1110"/>
      <c r="AS113" s="1110"/>
    </row>
    <row r="114" spans="1:45" ht="13.5" thickBot="1" x14ac:dyDescent="0.25">
      <c r="A114" s="337">
        <v>2045</v>
      </c>
      <c r="B114" s="355">
        <v>0</v>
      </c>
      <c r="C114" s="356">
        <v>0</v>
      </c>
      <c r="D114" s="356">
        <v>0</v>
      </c>
      <c r="E114" s="356">
        <v>0</v>
      </c>
      <c r="F114" s="356">
        <v>0</v>
      </c>
      <c r="G114" s="356">
        <v>0</v>
      </c>
      <c r="H114" s="356">
        <v>0</v>
      </c>
      <c r="I114" s="356">
        <v>0</v>
      </c>
      <c r="J114" s="356">
        <v>0</v>
      </c>
      <c r="K114" s="356">
        <v>0</v>
      </c>
      <c r="L114" s="366">
        <v>0</v>
      </c>
      <c r="M114" s="319">
        <f t="shared" si="79"/>
        <v>0</v>
      </c>
      <c r="N114" s="321">
        <f t="shared" si="80"/>
        <v>0</v>
      </c>
      <c r="O114" s="355">
        <v>0</v>
      </c>
      <c r="P114" s="356">
        <v>0</v>
      </c>
      <c r="Q114" s="356">
        <v>0</v>
      </c>
      <c r="R114" s="356">
        <v>0</v>
      </c>
      <c r="S114" s="356">
        <v>0</v>
      </c>
      <c r="T114" s="356">
        <v>0</v>
      </c>
      <c r="U114" s="356">
        <v>0</v>
      </c>
      <c r="V114" s="356">
        <v>0</v>
      </c>
      <c r="W114" s="356">
        <v>0</v>
      </c>
      <c r="X114" s="356">
        <v>0</v>
      </c>
      <c r="Y114" s="366">
        <v>0</v>
      </c>
      <c r="Z114" s="319">
        <f t="shared" si="81"/>
        <v>0</v>
      </c>
      <c r="AA114" s="321">
        <f t="shared" si="82"/>
        <v>0</v>
      </c>
      <c r="AB114" s="91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1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920">
        <f t="shared" si="86"/>
        <v>0</v>
      </c>
      <c r="AE114" s="897">
        <f t="shared" si="89"/>
        <v>0</v>
      </c>
      <c r="AF114" s="897">
        <f t="shared" si="90"/>
        <v>0</v>
      </c>
      <c r="AG114" s="897">
        <f t="shared" si="91"/>
        <v>0</v>
      </c>
      <c r="AH114" s="1113">
        <f t="shared" si="87"/>
        <v>0</v>
      </c>
      <c r="AI114" s="897">
        <f t="shared" si="88"/>
        <v>0</v>
      </c>
      <c r="AJ114" s="1110"/>
      <c r="AK114" s="1110"/>
      <c r="AL114" s="1110"/>
      <c r="AM114" s="1112"/>
      <c r="AN114" s="1110"/>
      <c r="AO114" s="1110"/>
      <c r="AP114" s="1110"/>
      <c r="AQ114" s="1110"/>
      <c r="AR114" s="1110"/>
      <c r="AS114" s="1110"/>
    </row>
    <row r="115" spans="1:45" x14ac:dyDescent="0.2">
      <c r="A115" s="338">
        <v>2046</v>
      </c>
      <c r="B115" s="351">
        <v>0</v>
      </c>
      <c r="C115" s="352">
        <v>0</v>
      </c>
      <c r="D115" s="352">
        <v>0</v>
      </c>
      <c r="E115" s="352">
        <v>0</v>
      </c>
      <c r="F115" s="352">
        <v>0</v>
      </c>
      <c r="G115" s="352">
        <v>0</v>
      </c>
      <c r="H115" s="352">
        <v>0</v>
      </c>
      <c r="I115" s="352">
        <v>0</v>
      </c>
      <c r="J115" s="352">
        <v>0</v>
      </c>
      <c r="K115" s="352">
        <v>0</v>
      </c>
      <c r="L115" s="364">
        <v>0</v>
      </c>
      <c r="M115" s="291">
        <f t="shared" si="79"/>
        <v>0</v>
      </c>
      <c r="N115" s="293">
        <f t="shared" si="80"/>
        <v>0</v>
      </c>
      <c r="O115" s="351">
        <v>0</v>
      </c>
      <c r="P115" s="352">
        <v>0</v>
      </c>
      <c r="Q115" s="352">
        <v>0</v>
      </c>
      <c r="R115" s="352">
        <v>0</v>
      </c>
      <c r="S115" s="352">
        <v>0</v>
      </c>
      <c r="T115" s="352">
        <v>0</v>
      </c>
      <c r="U115" s="352">
        <v>0</v>
      </c>
      <c r="V115" s="352">
        <v>0</v>
      </c>
      <c r="W115" s="352">
        <v>0</v>
      </c>
      <c r="X115" s="352">
        <v>0</v>
      </c>
      <c r="Y115" s="364">
        <v>0</v>
      </c>
      <c r="Z115" s="291">
        <f t="shared" si="81"/>
        <v>0</v>
      </c>
      <c r="AA115" s="293">
        <f t="shared" si="82"/>
        <v>0</v>
      </c>
      <c r="AB115" s="91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1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920">
        <f t="shared" si="86"/>
        <v>0</v>
      </c>
      <c r="AE115" s="897">
        <f t="shared" si="89"/>
        <v>0</v>
      </c>
      <c r="AF115" s="897">
        <f t="shared" si="90"/>
        <v>0</v>
      </c>
      <c r="AG115" s="897">
        <f t="shared" si="91"/>
        <v>0</v>
      </c>
      <c r="AH115" s="1113">
        <f t="shared" si="87"/>
        <v>0</v>
      </c>
      <c r="AI115" s="897">
        <f t="shared" si="88"/>
        <v>0</v>
      </c>
      <c r="AJ115" s="1110"/>
      <c r="AK115" s="1110"/>
      <c r="AL115" s="1110"/>
      <c r="AM115" s="1112"/>
      <c r="AN115" s="1110"/>
      <c r="AO115" s="1110"/>
      <c r="AP115" s="1110"/>
      <c r="AQ115" s="1110"/>
      <c r="AR115" s="1110"/>
      <c r="AS115" s="1110"/>
    </row>
    <row r="116" spans="1:45" x14ac:dyDescent="0.2">
      <c r="A116" s="339">
        <v>2047</v>
      </c>
      <c r="B116" s="353">
        <v>0</v>
      </c>
      <c r="C116" s="354">
        <v>0</v>
      </c>
      <c r="D116" s="354">
        <v>0</v>
      </c>
      <c r="E116" s="354">
        <v>0</v>
      </c>
      <c r="F116" s="354">
        <v>0</v>
      </c>
      <c r="G116" s="354">
        <v>0</v>
      </c>
      <c r="H116" s="354">
        <v>0</v>
      </c>
      <c r="I116" s="354">
        <v>0</v>
      </c>
      <c r="J116" s="354">
        <v>0</v>
      </c>
      <c r="K116" s="354">
        <v>0</v>
      </c>
      <c r="L116" s="365">
        <v>0</v>
      </c>
      <c r="M116" s="305">
        <f t="shared" si="79"/>
        <v>0</v>
      </c>
      <c r="N116" s="307">
        <f t="shared" si="80"/>
        <v>0</v>
      </c>
      <c r="O116" s="353">
        <v>0</v>
      </c>
      <c r="P116" s="354">
        <v>0</v>
      </c>
      <c r="Q116" s="354">
        <v>0</v>
      </c>
      <c r="R116" s="354">
        <v>0</v>
      </c>
      <c r="S116" s="354">
        <v>0</v>
      </c>
      <c r="T116" s="354">
        <v>0</v>
      </c>
      <c r="U116" s="354">
        <v>0</v>
      </c>
      <c r="V116" s="354">
        <v>0</v>
      </c>
      <c r="W116" s="354">
        <v>0</v>
      </c>
      <c r="X116" s="354">
        <v>0</v>
      </c>
      <c r="Y116" s="365">
        <v>0</v>
      </c>
      <c r="Z116" s="305">
        <f t="shared" si="81"/>
        <v>0</v>
      </c>
      <c r="AA116" s="307">
        <f t="shared" si="82"/>
        <v>0</v>
      </c>
      <c r="AB116" s="91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1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920">
        <f t="shared" si="86"/>
        <v>0</v>
      </c>
      <c r="AE116" s="897">
        <f t="shared" si="89"/>
        <v>0</v>
      </c>
      <c r="AF116" s="897">
        <f t="shared" si="90"/>
        <v>0</v>
      </c>
      <c r="AG116" s="897">
        <f t="shared" si="91"/>
        <v>0</v>
      </c>
      <c r="AH116" s="1113">
        <f t="shared" si="87"/>
        <v>0</v>
      </c>
      <c r="AI116" s="897">
        <f t="shared" si="88"/>
        <v>0</v>
      </c>
      <c r="AJ116" s="1110"/>
      <c r="AK116" s="1110"/>
      <c r="AL116" s="1110"/>
      <c r="AM116" s="1112"/>
      <c r="AN116" s="1110"/>
      <c r="AO116" s="1110"/>
      <c r="AP116" s="1110"/>
      <c r="AQ116" s="1110"/>
      <c r="AR116" s="1110"/>
      <c r="AS116" s="1110"/>
    </row>
    <row r="117" spans="1:45" x14ac:dyDescent="0.2">
      <c r="A117" s="339">
        <v>2048</v>
      </c>
      <c r="B117" s="353">
        <v>0</v>
      </c>
      <c r="C117" s="354">
        <v>0</v>
      </c>
      <c r="D117" s="354">
        <v>0</v>
      </c>
      <c r="E117" s="354">
        <v>0</v>
      </c>
      <c r="F117" s="354">
        <v>0</v>
      </c>
      <c r="G117" s="354">
        <v>0</v>
      </c>
      <c r="H117" s="354">
        <v>0</v>
      </c>
      <c r="I117" s="354">
        <v>0</v>
      </c>
      <c r="J117" s="354">
        <v>0</v>
      </c>
      <c r="K117" s="354">
        <v>0</v>
      </c>
      <c r="L117" s="365">
        <v>0</v>
      </c>
      <c r="M117" s="305">
        <f t="shared" si="79"/>
        <v>0</v>
      </c>
      <c r="N117" s="307">
        <f t="shared" si="80"/>
        <v>0</v>
      </c>
      <c r="O117" s="353">
        <v>0</v>
      </c>
      <c r="P117" s="354">
        <v>0</v>
      </c>
      <c r="Q117" s="354">
        <v>0</v>
      </c>
      <c r="R117" s="354">
        <v>0</v>
      </c>
      <c r="S117" s="354">
        <v>0</v>
      </c>
      <c r="T117" s="354">
        <v>0</v>
      </c>
      <c r="U117" s="354">
        <v>0</v>
      </c>
      <c r="V117" s="354">
        <v>0</v>
      </c>
      <c r="W117" s="354">
        <v>0</v>
      </c>
      <c r="X117" s="354">
        <v>0</v>
      </c>
      <c r="Y117" s="365">
        <v>0</v>
      </c>
      <c r="Z117" s="305">
        <f t="shared" si="81"/>
        <v>0</v>
      </c>
      <c r="AA117" s="307">
        <f t="shared" si="82"/>
        <v>0</v>
      </c>
      <c r="AB117" s="91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1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920">
        <f t="shared" si="86"/>
        <v>0</v>
      </c>
      <c r="AE117" s="897">
        <f t="shared" si="89"/>
        <v>0</v>
      </c>
      <c r="AF117" s="897">
        <f t="shared" si="90"/>
        <v>0</v>
      </c>
      <c r="AG117" s="897">
        <f t="shared" si="91"/>
        <v>0</v>
      </c>
      <c r="AH117" s="1113">
        <f t="shared" si="87"/>
        <v>0</v>
      </c>
      <c r="AI117" s="897">
        <f t="shared" si="88"/>
        <v>0</v>
      </c>
      <c r="AJ117" s="1110"/>
      <c r="AK117" s="1110"/>
      <c r="AL117" s="1110"/>
      <c r="AM117" s="1112"/>
      <c r="AN117" s="1110"/>
      <c r="AO117" s="1110"/>
      <c r="AP117" s="1110"/>
      <c r="AQ117" s="1110"/>
      <c r="AR117" s="1110"/>
      <c r="AS117" s="1110"/>
    </row>
    <row r="118" spans="1:45" x14ac:dyDescent="0.2">
      <c r="A118" s="339">
        <v>2049</v>
      </c>
      <c r="B118" s="353">
        <v>0</v>
      </c>
      <c r="C118" s="354">
        <v>0</v>
      </c>
      <c r="D118" s="354">
        <v>0</v>
      </c>
      <c r="E118" s="354">
        <v>0</v>
      </c>
      <c r="F118" s="354">
        <v>0</v>
      </c>
      <c r="G118" s="354">
        <v>0</v>
      </c>
      <c r="H118" s="354">
        <v>0</v>
      </c>
      <c r="I118" s="354">
        <v>0</v>
      </c>
      <c r="J118" s="354">
        <v>0</v>
      </c>
      <c r="K118" s="354">
        <v>0</v>
      </c>
      <c r="L118" s="365">
        <v>0</v>
      </c>
      <c r="M118" s="305">
        <f t="shared" si="79"/>
        <v>0</v>
      </c>
      <c r="N118" s="307">
        <f t="shared" si="80"/>
        <v>0</v>
      </c>
      <c r="O118" s="353">
        <v>0</v>
      </c>
      <c r="P118" s="354">
        <v>0</v>
      </c>
      <c r="Q118" s="354">
        <v>0</v>
      </c>
      <c r="R118" s="354">
        <v>0</v>
      </c>
      <c r="S118" s="354">
        <v>0</v>
      </c>
      <c r="T118" s="354">
        <v>0</v>
      </c>
      <c r="U118" s="354">
        <v>0</v>
      </c>
      <c r="V118" s="354">
        <v>0</v>
      </c>
      <c r="W118" s="354">
        <v>0</v>
      </c>
      <c r="X118" s="354">
        <v>0</v>
      </c>
      <c r="Y118" s="365">
        <v>0</v>
      </c>
      <c r="Z118" s="305">
        <f t="shared" si="81"/>
        <v>0</v>
      </c>
      <c r="AA118" s="307">
        <f t="shared" si="82"/>
        <v>0</v>
      </c>
      <c r="AB118" s="91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1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920">
        <f t="shared" si="86"/>
        <v>0</v>
      </c>
      <c r="AE118" s="897">
        <f t="shared" si="89"/>
        <v>0</v>
      </c>
      <c r="AF118" s="897">
        <f t="shared" si="90"/>
        <v>0</v>
      </c>
      <c r="AG118" s="897">
        <f t="shared" si="91"/>
        <v>0</v>
      </c>
      <c r="AH118" s="1113">
        <f t="shared" si="87"/>
        <v>0</v>
      </c>
      <c r="AI118" s="897">
        <f t="shared" si="88"/>
        <v>0</v>
      </c>
      <c r="AJ118" s="1110"/>
      <c r="AK118" s="1110"/>
      <c r="AL118" s="1110"/>
      <c r="AM118" s="1112"/>
      <c r="AN118" s="1110"/>
      <c r="AO118" s="1110"/>
      <c r="AP118" s="1110"/>
      <c r="AQ118" s="1110"/>
      <c r="AR118" s="1110"/>
      <c r="AS118" s="1110"/>
    </row>
    <row r="119" spans="1:45" ht="13.5" thickBot="1" x14ac:dyDescent="0.25">
      <c r="A119" s="337">
        <v>2050</v>
      </c>
      <c r="B119" s="355">
        <v>0</v>
      </c>
      <c r="C119" s="356">
        <v>0</v>
      </c>
      <c r="D119" s="356">
        <v>0</v>
      </c>
      <c r="E119" s="356">
        <v>0</v>
      </c>
      <c r="F119" s="356">
        <v>0</v>
      </c>
      <c r="G119" s="356">
        <v>0</v>
      </c>
      <c r="H119" s="356">
        <v>0</v>
      </c>
      <c r="I119" s="356">
        <v>0</v>
      </c>
      <c r="J119" s="356">
        <v>0</v>
      </c>
      <c r="K119" s="356">
        <v>0</v>
      </c>
      <c r="L119" s="366">
        <v>0</v>
      </c>
      <c r="M119" s="319">
        <f t="shared" si="79"/>
        <v>0</v>
      </c>
      <c r="N119" s="321">
        <f t="shared" si="80"/>
        <v>0</v>
      </c>
      <c r="O119" s="355">
        <v>0</v>
      </c>
      <c r="P119" s="356">
        <v>0</v>
      </c>
      <c r="Q119" s="356">
        <v>0</v>
      </c>
      <c r="R119" s="356">
        <v>0</v>
      </c>
      <c r="S119" s="356">
        <v>0</v>
      </c>
      <c r="T119" s="356">
        <v>0</v>
      </c>
      <c r="U119" s="356">
        <v>0</v>
      </c>
      <c r="V119" s="356">
        <v>0</v>
      </c>
      <c r="W119" s="356">
        <v>0</v>
      </c>
      <c r="X119" s="356">
        <v>0</v>
      </c>
      <c r="Y119" s="366">
        <v>0</v>
      </c>
      <c r="Z119" s="319">
        <f t="shared" si="81"/>
        <v>0</v>
      </c>
      <c r="AA119" s="321">
        <f t="shared" si="82"/>
        <v>0</v>
      </c>
      <c r="AB119" s="921">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22">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923">
        <f t="shared" si="86"/>
        <v>0</v>
      </c>
      <c r="AE119" s="897">
        <f t="shared" si="89"/>
        <v>0</v>
      </c>
      <c r="AF119" s="897">
        <f t="shared" si="90"/>
        <v>0</v>
      </c>
      <c r="AG119" s="897">
        <f t="shared" si="91"/>
        <v>0</v>
      </c>
      <c r="AH119" s="1113">
        <f t="shared" si="87"/>
        <v>0</v>
      </c>
      <c r="AI119" s="897">
        <f t="shared" si="88"/>
        <v>0</v>
      </c>
      <c r="AJ119" s="1110"/>
      <c r="AK119" s="1110"/>
      <c r="AL119" s="1110"/>
      <c r="AM119" s="1112"/>
      <c r="AN119" s="1110"/>
      <c r="AO119" s="1110"/>
      <c r="AP119" s="1110"/>
      <c r="AQ119" s="1110"/>
      <c r="AR119" s="1110"/>
      <c r="AS119" s="1110"/>
    </row>
    <row r="120" spans="1:45" x14ac:dyDescent="0.2">
      <c r="B120" s="236" t="str">
        <f>"Output generated: "&amp; TEXT($P$4,"m/dd/yyyy hh:mm")</f>
        <v>Output generated: 11/04/2020 14:43</v>
      </c>
      <c r="U120" s="236" t="str">
        <f>"Output generated: "&amp; TEXT($P$5,"m/dd/yyyy hh:mm")</f>
        <v>Output generated: 11/04/2020 14:43</v>
      </c>
      <c r="AE120" s="897"/>
      <c r="AF120" s="897"/>
      <c r="AG120" s="897"/>
      <c r="AH120" s="897"/>
      <c r="AI120" s="897"/>
    </row>
    <row r="121" spans="1:45" ht="13.5" thickBot="1" x14ac:dyDescent="0.25">
      <c r="AE121" s="897"/>
      <c r="AF121" s="897"/>
      <c r="AG121" s="897"/>
      <c r="AH121" s="897"/>
      <c r="AI121" s="897"/>
    </row>
    <row r="122" spans="1:45" ht="15" x14ac:dyDescent="0.25">
      <c r="A122" s="342"/>
      <c r="B122" s="1643" t="s">
        <v>271</v>
      </c>
      <c r="C122" s="1644"/>
      <c r="D122" s="1644"/>
      <c r="E122" s="1644"/>
      <c r="F122" s="1644"/>
      <c r="G122" s="1644"/>
      <c r="H122" s="1644"/>
      <c r="I122" s="1644"/>
      <c r="J122" s="1644"/>
      <c r="K122" s="1644"/>
      <c r="L122" s="1644"/>
      <c r="M122" s="1644"/>
      <c r="N122" s="1645"/>
      <c r="O122" s="1643" t="s">
        <v>272</v>
      </c>
      <c r="P122" s="1644"/>
      <c r="Q122" s="1644"/>
      <c r="R122" s="1644"/>
      <c r="S122" s="1644"/>
      <c r="T122" s="1644"/>
      <c r="U122" s="1644"/>
      <c r="V122" s="1644"/>
      <c r="W122" s="1644"/>
      <c r="X122" s="1644"/>
      <c r="Y122" s="1644"/>
      <c r="Z122" s="1644"/>
      <c r="AA122" s="1645"/>
      <c r="AE122" s="897"/>
      <c r="AF122" s="897"/>
      <c r="AG122" s="897"/>
      <c r="AH122" s="897"/>
      <c r="AI122" s="897"/>
      <c r="AJ122" s="236"/>
      <c r="AK122" s="236"/>
      <c r="AL122" s="236"/>
      <c r="AM122" s="236"/>
    </row>
    <row r="123" spans="1:45" x14ac:dyDescent="0.2">
      <c r="A123" s="333"/>
      <c r="B123" s="1641" t="s">
        <v>125</v>
      </c>
      <c r="C123" s="1642"/>
      <c r="D123" s="1642"/>
      <c r="E123" s="1642"/>
      <c r="F123" s="1642"/>
      <c r="G123" s="1642"/>
      <c r="H123" s="1642"/>
      <c r="I123" s="1642"/>
      <c r="J123" s="1642"/>
      <c r="K123" s="1642"/>
      <c r="L123" s="1658"/>
      <c r="M123" s="367"/>
      <c r="N123" s="334"/>
      <c r="O123" s="1641" t="s">
        <v>125</v>
      </c>
      <c r="P123" s="1642"/>
      <c r="Q123" s="1642"/>
      <c r="R123" s="1642"/>
      <c r="S123" s="1642"/>
      <c r="T123" s="1642"/>
      <c r="U123" s="1642"/>
      <c r="V123" s="1642"/>
      <c r="W123" s="1642"/>
      <c r="X123" s="1642"/>
      <c r="Y123" s="1658"/>
      <c r="Z123" s="367"/>
      <c r="AA123" s="334"/>
      <c r="AE123" s="897"/>
      <c r="AF123" s="897"/>
      <c r="AG123" s="897"/>
      <c r="AH123" s="897"/>
      <c r="AI123" s="897"/>
      <c r="AJ123" s="236"/>
      <c r="AK123" s="236"/>
      <c r="AL123" s="236"/>
      <c r="AM123" s="236"/>
    </row>
    <row r="124" spans="1:45" ht="13.5" thickBot="1" x14ac:dyDescent="0.25">
      <c r="A124" s="340"/>
      <c r="B124" s="347" t="s">
        <v>31</v>
      </c>
      <c r="C124" s="348" t="s">
        <v>32</v>
      </c>
      <c r="D124" s="348" t="s">
        <v>33</v>
      </c>
      <c r="E124" s="348" t="s">
        <v>34</v>
      </c>
      <c r="F124" s="348" t="s">
        <v>35</v>
      </c>
      <c r="G124" s="348" t="s">
        <v>36</v>
      </c>
      <c r="H124" s="348" t="s">
        <v>37</v>
      </c>
      <c r="I124" s="348" t="s">
        <v>38</v>
      </c>
      <c r="J124" s="348" t="s">
        <v>39</v>
      </c>
      <c r="K124" s="348" t="s">
        <v>40</v>
      </c>
      <c r="L124" s="362" t="s">
        <v>41</v>
      </c>
      <c r="M124" s="368" t="s">
        <v>126</v>
      </c>
      <c r="N124" s="341" t="s">
        <v>127</v>
      </c>
      <c r="O124" s="347" t="s">
        <v>31</v>
      </c>
      <c r="P124" s="348" t="s">
        <v>32</v>
      </c>
      <c r="Q124" s="348" t="s">
        <v>33</v>
      </c>
      <c r="R124" s="348" t="s">
        <v>34</v>
      </c>
      <c r="S124" s="348" t="s">
        <v>35</v>
      </c>
      <c r="T124" s="348" t="s">
        <v>36</v>
      </c>
      <c r="U124" s="348" t="s">
        <v>37</v>
      </c>
      <c r="V124" s="348" t="s">
        <v>38</v>
      </c>
      <c r="W124" s="348" t="s">
        <v>39</v>
      </c>
      <c r="X124" s="348" t="s">
        <v>40</v>
      </c>
      <c r="Y124" s="362" t="s">
        <v>41</v>
      </c>
      <c r="Z124" s="368" t="s">
        <v>126</v>
      </c>
      <c r="AA124" s="341" t="s">
        <v>127</v>
      </c>
      <c r="AC124" s="869" t="s">
        <v>211</v>
      </c>
      <c r="AD124" s="243" t="b">
        <f>INDEX(TECH_OPT_FUEL2_Cls1,MATCH(RIGHT(O122),TECH_OPT_ROWS_Cls1,0))&lt;&gt;"N/A"</f>
        <v>0</v>
      </c>
      <c r="AE124" s="897"/>
      <c r="AF124" s="897"/>
      <c r="AG124" s="897"/>
      <c r="AH124" s="897"/>
      <c r="AI124" s="897"/>
      <c r="AJ124" s="236"/>
      <c r="AK124" s="236"/>
      <c r="AL124" s="236"/>
      <c r="AM124" s="236"/>
    </row>
    <row r="125" spans="1:45" ht="14.25" thickTop="1" thickBot="1" x14ac:dyDescent="0.25">
      <c r="A125" s="357" t="s">
        <v>128</v>
      </c>
      <c r="B125" s="349">
        <f t="array" ref="B125:L125">TRANSPOSE(Cls1CentTruckShr)</f>
        <v>0.19351049492932548</v>
      </c>
      <c r="C125" s="350">
        <v>0.2501505093300298</v>
      </c>
      <c r="D125" s="350">
        <v>4.1900540200962323E-3</v>
      </c>
      <c r="E125" s="350">
        <v>0</v>
      </c>
      <c r="F125" s="350">
        <v>0</v>
      </c>
      <c r="G125" s="350">
        <v>0</v>
      </c>
      <c r="H125" s="350">
        <v>0</v>
      </c>
      <c r="I125" s="350">
        <v>0</v>
      </c>
      <c r="J125" s="350">
        <v>0</v>
      </c>
      <c r="K125" s="350">
        <v>0</v>
      </c>
      <c r="L125" s="363">
        <v>0</v>
      </c>
      <c r="M125" s="369"/>
      <c r="N125" s="345"/>
      <c r="O125" s="349">
        <f t="array" ref="O125:Y125">TRANSPOSE(Cls1NCentTruckShr)</f>
        <v>0.30789040692318376</v>
      </c>
      <c r="P125" s="350">
        <v>0.21073814200859928</v>
      </c>
      <c r="Q125" s="350">
        <v>3.3520392788765403E-2</v>
      </c>
      <c r="R125" s="350">
        <v>0</v>
      </c>
      <c r="S125" s="350">
        <v>0</v>
      </c>
      <c r="T125" s="350">
        <v>0</v>
      </c>
      <c r="U125" s="350">
        <v>0</v>
      </c>
      <c r="V125" s="350">
        <v>0</v>
      </c>
      <c r="W125" s="350">
        <v>0</v>
      </c>
      <c r="X125" s="350">
        <v>0</v>
      </c>
      <c r="Y125" s="363">
        <v>0</v>
      </c>
      <c r="Z125" s="370"/>
      <c r="AA125" s="361">
        <f>SUM(O125:Y125)</f>
        <v>0.5521489417205484</v>
      </c>
      <c r="AB125" s="896"/>
      <c r="AC125" s="869" t="s">
        <v>212</v>
      </c>
      <c r="AD125" s="243">
        <f>MATCH(RIGHT(O122),TECH_OPT_ROWS_Cls1,0)</f>
        <v>3</v>
      </c>
      <c r="AE125" s="897"/>
      <c r="AF125" s="897"/>
      <c r="AG125" s="897"/>
      <c r="AH125" s="897"/>
      <c r="AI125" s="897"/>
      <c r="AJ125" s="236"/>
      <c r="AK125" s="236"/>
      <c r="AL125" s="236"/>
      <c r="AM125" s="236"/>
    </row>
    <row r="126" spans="1:45" x14ac:dyDescent="0.2">
      <c r="A126" s="340" t="s">
        <v>129</v>
      </c>
      <c r="B126" s="898">
        <f t="array" ref="B126:L126">TRANSPOSE(Cls1CentVMTShr)</f>
        <v>9.273212178681503E-2</v>
      </c>
      <c r="C126" s="899">
        <v>0.32242235704181188</v>
      </c>
      <c r="D126" s="899">
        <v>9.1542250355295205E-3</v>
      </c>
      <c r="E126" s="899">
        <v>0</v>
      </c>
      <c r="F126" s="899">
        <v>0</v>
      </c>
      <c r="G126" s="899">
        <v>0</v>
      </c>
      <c r="H126" s="899">
        <v>0</v>
      </c>
      <c r="I126" s="899">
        <v>0</v>
      </c>
      <c r="J126" s="899">
        <v>0</v>
      </c>
      <c r="K126" s="899">
        <v>0</v>
      </c>
      <c r="L126" s="900">
        <v>0</v>
      </c>
      <c r="M126" s="373"/>
      <c r="N126" s="343"/>
      <c r="O126" s="898">
        <f t="array" ref="O126:Y126">TRANSPOSE(Cls1NCentVMTShr)</f>
        <v>0.16874553744672482</v>
      </c>
      <c r="P126" s="899">
        <v>0.32500949786451999</v>
      </c>
      <c r="Q126" s="899">
        <v>8.1936260824598706E-2</v>
      </c>
      <c r="R126" s="899">
        <v>0</v>
      </c>
      <c r="S126" s="899">
        <v>0</v>
      </c>
      <c r="T126" s="899">
        <v>0</v>
      </c>
      <c r="U126" s="899">
        <v>0</v>
      </c>
      <c r="V126" s="899">
        <v>0</v>
      </c>
      <c r="W126" s="899">
        <v>0</v>
      </c>
      <c r="X126" s="899">
        <v>0</v>
      </c>
      <c r="Y126" s="900">
        <v>0</v>
      </c>
      <c r="Z126" s="371">
        <f>SUM(O126:Y126)</f>
        <v>0.57569129613584358</v>
      </c>
      <c r="AA126" s="343"/>
      <c r="AB126" s="1630" t="str">
        <f>"% of miles on f2 for Tech "&amp; RIGHT(O122)&amp;" adopters"</f>
        <v>% of miles on f2 for Tech B adopters</v>
      </c>
      <c r="AC126" s="1631"/>
      <c r="AD126" s="1632"/>
      <c r="AE126" s="897" t="s">
        <v>250</v>
      </c>
      <c r="AF126" s="897"/>
      <c r="AG126" s="897"/>
      <c r="AH126" s="1113" t="s">
        <v>253</v>
      </c>
      <c r="AI126" s="897"/>
      <c r="AJ126" s="236"/>
      <c r="AK126" s="236"/>
      <c r="AL126" s="236"/>
      <c r="AM126" s="236"/>
    </row>
    <row r="127" spans="1:45" ht="13.5" thickBot="1" x14ac:dyDescent="0.25">
      <c r="A127" s="902" t="s">
        <v>210</v>
      </c>
      <c r="B127" s="893">
        <f t="array" ref="B127:L127">TRANSPOSE(Cls1CentVMT/OPDAYS_Cls1)</f>
        <v>37.00142799703638</v>
      </c>
      <c r="C127" s="894">
        <v>99.521421131036902</v>
      </c>
      <c r="D127" s="894">
        <v>168.69211144921252</v>
      </c>
      <c r="E127" s="894">
        <v>280</v>
      </c>
      <c r="F127" s="894">
        <v>360</v>
      </c>
      <c r="G127" s="894">
        <v>440</v>
      </c>
      <c r="H127" s="894">
        <v>520</v>
      </c>
      <c r="I127" s="894">
        <v>600</v>
      </c>
      <c r="J127" s="894">
        <v>680</v>
      </c>
      <c r="K127" s="894">
        <v>760</v>
      </c>
      <c r="L127" s="895">
        <v>800</v>
      </c>
      <c r="M127" s="891"/>
      <c r="N127" s="892"/>
      <c r="O127" s="893">
        <f t="array" ref="O127:Y127">TRANSPOSE(Cls1NCentVMT/OPDAYS_Cls1)</f>
        <v>42.318371896217066</v>
      </c>
      <c r="P127" s="894">
        <v>119.08188972092167</v>
      </c>
      <c r="Q127" s="894">
        <v>188.73821956526081</v>
      </c>
      <c r="R127" s="894">
        <v>280</v>
      </c>
      <c r="S127" s="894">
        <v>360</v>
      </c>
      <c r="T127" s="894">
        <v>440</v>
      </c>
      <c r="U127" s="894">
        <v>520</v>
      </c>
      <c r="V127" s="894">
        <v>600</v>
      </c>
      <c r="W127" s="894">
        <v>680</v>
      </c>
      <c r="X127" s="894">
        <v>760</v>
      </c>
      <c r="Y127" s="895">
        <v>800</v>
      </c>
      <c r="Z127" s="903"/>
      <c r="AA127" s="892"/>
      <c r="AB127" s="915" t="s">
        <v>174</v>
      </c>
      <c r="AC127" s="916" t="s">
        <v>15</v>
      </c>
      <c r="AD127" s="917" t="s">
        <v>20</v>
      </c>
      <c r="AE127" s="897" t="s">
        <v>174</v>
      </c>
      <c r="AF127" s="897" t="s">
        <v>15</v>
      </c>
      <c r="AG127" s="897" t="s">
        <v>20</v>
      </c>
      <c r="AH127" s="1113" t="s">
        <v>174</v>
      </c>
      <c r="AI127" s="897" t="s">
        <v>15</v>
      </c>
      <c r="AJ127" s="236"/>
      <c r="AK127" s="236"/>
      <c r="AL127" s="236"/>
      <c r="AM127" s="236"/>
    </row>
    <row r="128" spans="1:45" ht="13.5" thickTop="1" x14ac:dyDescent="0.2">
      <c r="A128" s="901">
        <v>2007</v>
      </c>
      <c r="B128" s="351">
        <v>0</v>
      </c>
      <c r="C128" s="352">
        <v>0</v>
      </c>
      <c r="D128" s="352">
        <v>0</v>
      </c>
      <c r="E128" s="352">
        <v>0</v>
      </c>
      <c r="F128" s="352">
        <v>0</v>
      </c>
      <c r="G128" s="352">
        <v>0</v>
      </c>
      <c r="H128" s="352">
        <v>0</v>
      </c>
      <c r="I128" s="352">
        <v>0</v>
      </c>
      <c r="J128" s="352">
        <v>0</v>
      </c>
      <c r="K128" s="352">
        <v>0</v>
      </c>
      <c r="L128" s="364">
        <v>0</v>
      </c>
      <c r="M128" s="291">
        <f t="shared" ref="M128:M171" si="92">SUMPRODUCT($B$126:$L$126,$B128:$L128)</f>
        <v>0</v>
      </c>
      <c r="N128" s="292">
        <f t="shared" ref="N128:N171" si="93">SUMPRODUCT($B$125:$L$125,$B128:$L128)</f>
        <v>0</v>
      </c>
      <c r="O128" s="351">
        <v>0</v>
      </c>
      <c r="P128" s="352">
        <v>0</v>
      </c>
      <c r="Q128" s="352">
        <v>0</v>
      </c>
      <c r="R128" s="352">
        <v>0</v>
      </c>
      <c r="S128" s="352">
        <v>0</v>
      </c>
      <c r="T128" s="352">
        <v>0</v>
      </c>
      <c r="U128" s="352">
        <v>0</v>
      </c>
      <c r="V128" s="352">
        <v>0</v>
      </c>
      <c r="W128" s="352">
        <v>0</v>
      </c>
      <c r="X128" s="352">
        <v>0</v>
      </c>
      <c r="Y128" s="364">
        <v>0</v>
      </c>
      <c r="Z128" s="291">
        <f t="shared" ref="Z128:Z171" si="94">SUMPRODUCT($O$126:$Y$126,O128:Y128)</f>
        <v>0</v>
      </c>
      <c r="AA128" s="293">
        <f t="shared" ref="AA128:AA171" si="95">SUMPRODUCT($O$125:$Y$125,$O128:$Y128)</f>
        <v>0</v>
      </c>
      <c r="AB128" s="91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1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174">
        <f>AB128*AH128+AC128*AI128</f>
        <v>0</v>
      </c>
      <c r="AE128" s="897">
        <f t="shared" ref="AE128:AE142" si="96">SUMPRODUCT($B$74:$L$74,B128:L128)</f>
        <v>0</v>
      </c>
      <c r="AF128" s="897">
        <f t="shared" ref="AF128:AF142" si="97">SUMPRODUCT($O$74:$Y$74,O128:Y128)</f>
        <v>0</v>
      </c>
      <c r="AG128" s="897">
        <f t="shared" ref="AG128:AG142" si="98">SUM(AE128:AF128)</f>
        <v>0</v>
      </c>
      <c r="AH128" s="1113">
        <f>IF(AG128&gt;0,AE128/AG128,0)</f>
        <v>0</v>
      </c>
      <c r="AI128" s="897">
        <f>IF(AG128&gt;0,AF128/AG128,0)</f>
        <v>0</v>
      </c>
      <c r="AJ128" s="236"/>
      <c r="AK128" s="236"/>
      <c r="AL128" s="236"/>
      <c r="AM128" s="236"/>
    </row>
    <row r="129" spans="1:39" x14ac:dyDescent="0.2">
      <c r="A129" s="336">
        <v>2008</v>
      </c>
      <c r="B129" s="353">
        <v>0</v>
      </c>
      <c r="C129" s="354">
        <v>0</v>
      </c>
      <c r="D129" s="354">
        <v>0</v>
      </c>
      <c r="E129" s="354">
        <v>0</v>
      </c>
      <c r="F129" s="354">
        <v>0</v>
      </c>
      <c r="G129" s="354">
        <v>0</v>
      </c>
      <c r="H129" s="354">
        <v>0</v>
      </c>
      <c r="I129" s="354">
        <v>0</v>
      </c>
      <c r="J129" s="354">
        <v>0</v>
      </c>
      <c r="K129" s="354">
        <v>0</v>
      </c>
      <c r="L129" s="365">
        <v>0</v>
      </c>
      <c r="M129" s="305">
        <f t="shared" si="92"/>
        <v>0</v>
      </c>
      <c r="N129" s="307">
        <f t="shared" si="93"/>
        <v>0</v>
      </c>
      <c r="O129" s="353">
        <v>0</v>
      </c>
      <c r="P129" s="354">
        <v>0</v>
      </c>
      <c r="Q129" s="354">
        <v>0</v>
      </c>
      <c r="R129" s="354">
        <v>0</v>
      </c>
      <c r="S129" s="354">
        <v>0</v>
      </c>
      <c r="T129" s="354">
        <v>0</v>
      </c>
      <c r="U129" s="354">
        <v>0</v>
      </c>
      <c r="V129" s="354">
        <v>0</v>
      </c>
      <c r="W129" s="354">
        <v>0</v>
      </c>
      <c r="X129" s="354">
        <v>0</v>
      </c>
      <c r="Y129" s="365">
        <v>0</v>
      </c>
      <c r="Z129" s="305">
        <f t="shared" si="94"/>
        <v>0</v>
      </c>
      <c r="AA129" s="307">
        <f t="shared" si="95"/>
        <v>0</v>
      </c>
      <c r="AB129" s="91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1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920">
        <f t="shared" ref="AD129:AD171" si="99">AB129*AH129+AC129*AI129</f>
        <v>0</v>
      </c>
      <c r="AE129" s="897">
        <f t="shared" si="96"/>
        <v>0</v>
      </c>
      <c r="AF129" s="897">
        <f t="shared" si="97"/>
        <v>0</v>
      </c>
      <c r="AG129" s="897">
        <f t="shared" si="98"/>
        <v>0</v>
      </c>
      <c r="AH129" s="1113">
        <f t="shared" ref="AH129:AH171" si="100">IF(AG129&gt;0,AE129/AG129,0)</f>
        <v>0</v>
      </c>
      <c r="AI129" s="897">
        <f t="shared" ref="AI129:AI171" si="101">IF(AG129&gt;0,AF129/AG129,0)</f>
        <v>0</v>
      </c>
      <c r="AJ129" s="236"/>
      <c r="AK129" s="236"/>
      <c r="AL129" s="236"/>
      <c r="AM129" s="236"/>
    </row>
    <row r="130" spans="1:39" x14ac:dyDescent="0.2">
      <c r="A130" s="336">
        <v>2009</v>
      </c>
      <c r="B130" s="353">
        <v>0</v>
      </c>
      <c r="C130" s="354">
        <v>0</v>
      </c>
      <c r="D130" s="354">
        <v>0</v>
      </c>
      <c r="E130" s="354">
        <v>0</v>
      </c>
      <c r="F130" s="354">
        <v>0</v>
      </c>
      <c r="G130" s="354">
        <v>0</v>
      </c>
      <c r="H130" s="354">
        <v>0</v>
      </c>
      <c r="I130" s="354">
        <v>0</v>
      </c>
      <c r="J130" s="354">
        <v>0</v>
      </c>
      <c r="K130" s="354">
        <v>0</v>
      </c>
      <c r="L130" s="365">
        <v>0</v>
      </c>
      <c r="M130" s="305">
        <f t="shared" si="92"/>
        <v>0</v>
      </c>
      <c r="N130" s="307">
        <f t="shared" si="93"/>
        <v>0</v>
      </c>
      <c r="O130" s="353">
        <v>0</v>
      </c>
      <c r="P130" s="354">
        <v>0</v>
      </c>
      <c r="Q130" s="354">
        <v>0</v>
      </c>
      <c r="R130" s="354">
        <v>0</v>
      </c>
      <c r="S130" s="354">
        <v>0</v>
      </c>
      <c r="T130" s="354">
        <v>0</v>
      </c>
      <c r="U130" s="354">
        <v>0</v>
      </c>
      <c r="V130" s="354">
        <v>0</v>
      </c>
      <c r="W130" s="354">
        <v>0</v>
      </c>
      <c r="X130" s="354">
        <v>0</v>
      </c>
      <c r="Y130" s="365">
        <v>0</v>
      </c>
      <c r="Z130" s="305">
        <f t="shared" si="94"/>
        <v>0</v>
      </c>
      <c r="AA130" s="307">
        <f t="shared" si="95"/>
        <v>0</v>
      </c>
      <c r="AB130" s="91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1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920">
        <f t="shared" si="99"/>
        <v>0</v>
      </c>
      <c r="AE130" s="897">
        <f t="shared" si="96"/>
        <v>0</v>
      </c>
      <c r="AF130" s="897">
        <f t="shared" si="97"/>
        <v>0</v>
      </c>
      <c r="AG130" s="897">
        <f t="shared" si="98"/>
        <v>0</v>
      </c>
      <c r="AH130" s="1113">
        <f t="shared" si="100"/>
        <v>0</v>
      </c>
      <c r="AI130" s="897">
        <f t="shared" si="101"/>
        <v>0</v>
      </c>
      <c r="AJ130" s="236"/>
      <c r="AK130" s="236"/>
      <c r="AL130" s="236"/>
      <c r="AM130" s="236"/>
    </row>
    <row r="131" spans="1:39" ht="13.5" thickBot="1" x14ac:dyDescent="0.25">
      <c r="A131" s="337">
        <v>2010</v>
      </c>
      <c r="B131" s="355">
        <v>0</v>
      </c>
      <c r="C131" s="356">
        <v>0</v>
      </c>
      <c r="D131" s="356">
        <v>0</v>
      </c>
      <c r="E131" s="356">
        <v>0</v>
      </c>
      <c r="F131" s="356">
        <v>0</v>
      </c>
      <c r="G131" s="356">
        <v>0</v>
      </c>
      <c r="H131" s="356">
        <v>0</v>
      </c>
      <c r="I131" s="356">
        <v>0</v>
      </c>
      <c r="J131" s="356">
        <v>0</v>
      </c>
      <c r="K131" s="356">
        <v>0</v>
      </c>
      <c r="L131" s="366">
        <v>0</v>
      </c>
      <c r="M131" s="319">
        <f t="shared" si="92"/>
        <v>0</v>
      </c>
      <c r="N131" s="321">
        <f t="shared" si="93"/>
        <v>0</v>
      </c>
      <c r="O131" s="355">
        <v>0</v>
      </c>
      <c r="P131" s="356">
        <v>0</v>
      </c>
      <c r="Q131" s="356">
        <v>0</v>
      </c>
      <c r="R131" s="356">
        <v>0</v>
      </c>
      <c r="S131" s="356">
        <v>0</v>
      </c>
      <c r="T131" s="356">
        <v>0</v>
      </c>
      <c r="U131" s="356">
        <v>0</v>
      </c>
      <c r="V131" s="356">
        <v>0</v>
      </c>
      <c r="W131" s="356">
        <v>0</v>
      </c>
      <c r="X131" s="356">
        <v>0</v>
      </c>
      <c r="Y131" s="366">
        <v>0</v>
      </c>
      <c r="Z131" s="319">
        <f t="shared" si="94"/>
        <v>0</v>
      </c>
      <c r="AA131" s="321">
        <f t="shared" si="95"/>
        <v>0</v>
      </c>
      <c r="AB131" s="91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1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920">
        <f t="shared" si="99"/>
        <v>0</v>
      </c>
      <c r="AE131" s="897">
        <f t="shared" si="96"/>
        <v>0</v>
      </c>
      <c r="AF131" s="897">
        <f t="shared" si="97"/>
        <v>0</v>
      </c>
      <c r="AG131" s="897">
        <f t="shared" si="98"/>
        <v>0</v>
      </c>
      <c r="AH131" s="1113">
        <f t="shared" si="100"/>
        <v>0</v>
      </c>
      <c r="AI131" s="897">
        <f t="shared" si="101"/>
        <v>0</v>
      </c>
      <c r="AJ131" s="236"/>
      <c r="AK131" s="236"/>
      <c r="AL131" s="236"/>
      <c r="AM131" s="236"/>
    </row>
    <row r="132" spans="1:39" x14ac:dyDescent="0.2">
      <c r="A132" s="338">
        <v>2011</v>
      </c>
      <c r="B132" s="351">
        <v>0</v>
      </c>
      <c r="C132" s="352">
        <v>0</v>
      </c>
      <c r="D132" s="352">
        <v>0</v>
      </c>
      <c r="E132" s="352">
        <v>0</v>
      </c>
      <c r="F132" s="352">
        <v>0</v>
      </c>
      <c r="G132" s="352">
        <v>0</v>
      </c>
      <c r="H132" s="352">
        <v>0</v>
      </c>
      <c r="I132" s="352">
        <v>0</v>
      </c>
      <c r="J132" s="352">
        <v>0</v>
      </c>
      <c r="K132" s="352">
        <v>0</v>
      </c>
      <c r="L132" s="364">
        <v>0</v>
      </c>
      <c r="M132" s="291">
        <f t="shared" si="92"/>
        <v>0</v>
      </c>
      <c r="N132" s="293">
        <f t="shared" si="93"/>
        <v>0</v>
      </c>
      <c r="O132" s="351">
        <v>0</v>
      </c>
      <c r="P132" s="352">
        <v>0</v>
      </c>
      <c r="Q132" s="352">
        <v>0</v>
      </c>
      <c r="R132" s="352">
        <v>0</v>
      </c>
      <c r="S132" s="352">
        <v>0</v>
      </c>
      <c r="T132" s="352">
        <v>0</v>
      </c>
      <c r="U132" s="352">
        <v>0</v>
      </c>
      <c r="V132" s="352">
        <v>0</v>
      </c>
      <c r="W132" s="352">
        <v>0</v>
      </c>
      <c r="X132" s="352">
        <v>0</v>
      </c>
      <c r="Y132" s="364">
        <v>0</v>
      </c>
      <c r="Z132" s="291">
        <f t="shared" si="94"/>
        <v>0</v>
      </c>
      <c r="AA132" s="293">
        <f t="shared" si="95"/>
        <v>0</v>
      </c>
      <c r="AB132" s="91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1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920">
        <f t="shared" si="99"/>
        <v>0</v>
      </c>
      <c r="AE132" s="897">
        <f t="shared" si="96"/>
        <v>0</v>
      </c>
      <c r="AF132" s="897">
        <f t="shared" si="97"/>
        <v>0</v>
      </c>
      <c r="AG132" s="897">
        <f t="shared" si="98"/>
        <v>0</v>
      </c>
      <c r="AH132" s="1113">
        <f t="shared" si="100"/>
        <v>0</v>
      </c>
      <c r="AI132" s="897">
        <f t="shared" si="101"/>
        <v>0</v>
      </c>
      <c r="AJ132" s="236"/>
      <c r="AK132" s="236"/>
      <c r="AL132" s="236"/>
      <c r="AM132" s="236"/>
    </row>
    <row r="133" spans="1:39" x14ac:dyDescent="0.2">
      <c r="A133" s="339">
        <v>2012</v>
      </c>
      <c r="B133" s="353">
        <v>0</v>
      </c>
      <c r="C133" s="354">
        <v>0</v>
      </c>
      <c r="D133" s="354">
        <v>0</v>
      </c>
      <c r="E133" s="354">
        <v>0</v>
      </c>
      <c r="F133" s="354">
        <v>0</v>
      </c>
      <c r="G133" s="354">
        <v>0</v>
      </c>
      <c r="H133" s="354">
        <v>0</v>
      </c>
      <c r="I133" s="354">
        <v>0</v>
      </c>
      <c r="J133" s="354">
        <v>0</v>
      </c>
      <c r="K133" s="354">
        <v>0</v>
      </c>
      <c r="L133" s="365">
        <v>0</v>
      </c>
      <c r="M133" s="305">
        <f t="shared" si="92"/>
        <v>0</v>
      </c>
      <c r="N133" s="307">
        <f t="shared" si="93"/>
        <v>0</v>
      </c>
      <c r="O133" s="353">
        <v>0</v>
      </c>
      <c r="P133" s="354">
        <v>0</v>
      </c>
      <c r="Q133" s="354">
        <v>0</v>
      </c>
      <c r="R133" s="354">
        <v>0</v>
      </c>
      <c r="S133" s="354">
        <v>0</v>
      </c>
      <c r="T133" s="354">
        <v>0</v>
      </c>
      <c r="U133" s="354">
        <v>0</v>
      </c>
      <c r="V133" s="354">
        <v>0</v>
      </c>
      <c r="W133" s="354">
        <v>0</v>
      </c>
      <c r="X133" s="354">
        <v>0</v>
      </c>
      <c r="Y133" s="365">
        <v>0</v>
      </c>
      <c r="Z133" s="305">
        <f t="shared" si="94"/>
        <v>0</v>
      </c>
      <c r="AA133" s="307">
        <f t="shared" si="95"/>
        <v>0</v>
      </c>
      <c r="AB133" s="91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1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920">
        <f t="shared" si="99"/>
        <v>0</v>
      </c>
      <c r="AE133" s="897">
        <f t="shared" si="96"/>
        <v>0</v>
      </c>
      <c r="AF133" s="897">
        <f t="shared" si="97"/>
        <v>0</v>
      </c>
      <c r="AG133" s="897">
        <f t="shared" si="98"/>
        <v>0</v>
      </c>
      <c r="AH133" s="1113">
        <f t="shared" si="100"/>
        <v>0</v>
      </c>
      <c r="AI133" s="897">
        <f t="shared" si="101"/>
        <v>0</v>
      </c>
      <c r="AJ133" s="236"/>
      <c r="AK133" s="236"/>
      <c r="AL133" s="236"/>
      <c r="AM133" s="236"/>
    </row>
    <row r="134" spans="1:39" x14ac:dyDescent="0.2">
      <c r="A134" s="339">
        <v>2013</v>
      </c>
      <c r="B134" s="353">
        <v>0</v>
      </c>
      <c r="C134" s="354">
        <v>0</v>
      </c>
      <c r="D134" s="354">
        <v>0</v>
      </c>
      <c r="E134" s="354">
        <v>0</v>
      </c>
      <c r="F134" s="354">
        <v>0</v>
      </c>
      <c r="G134" s="354">
        <v>0</v>
      </c>
      <c r="H134" s="354">
        <v>0</v>
      </c>
      <c r="I134" s="354">
        <v>0</v>
      </c>
      <c r="J134" s="354">
        <v>0</v>
      </c>
      <c r="K134" s="354">
        <v>0</v>
      </c>
      <c r="L134" s="365">
        <v>0</v>
      </c>
      <c r="M134" s="305">
        <f t="shared" si="92"/>
        <v>0</v>
      </c>
      <c r="N134" s="307">
        <f t="shared" si="93"/>
        <v>0</v>
      </c>
      <c r="O134" s="353">
        <v>0</v>
      </c>
      <c r="P134" s="354">
        <v>0</v>
      </c>
      <c r="Q134" s="354">
        <v>0</v>
      </c>
      <c r="R134" s="354">
        <v>0</v>
      </c>
      <c r="S134" s="354">
        <v>0</v>
      </c>
      <c r="T134" s="354">
        <v>0</v>
      </c>
      <c r="U134" s="354">
        <v>0</v>
      </c>
      <c r="V134" s="354">
        <v>0</v>
      </c>
      <c r="W134" s="354">
        <v>0</v>
      </c>
      <c r="X134" s="354">
        <v>0</v>
      </c>
      <c r="Y134" s="365">
        <v>0</v>
      </c>
      <c r="Z134" s="305">
        <f t="shared" si="94"/>
        <v>0</v>
      </c>
      <c r="AA134" s="307">
        <f t="shared" si="95"/>
        <v>0</v>
      </c>
      <c r="AB134" s="91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1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920">
        <f t="shared" si="99"/>
        <v>0</v>
      </c>
      <c r="AE134" s="897">
        <f t="shared" si="96"/>
        <v>0</v>
      </c>
      <c r="AF134" s="897">
        <f t="shared" si="97"/>
        <v>0</v>
      </c>
      <c r="AG134" s="897">
        <f t="shared" si="98"/>
        <v>0</v>
      </c>
      <c r="AH134" s="1113">
        <f t="shared" si="100"/>
        <v>0</v>
      </c>
      <c r="AI134" s="897">
        <f t="shared" si="101"/>
        <v>0</v>
      </c>
      <c r="AJ134" s="236"/>
      <c r="AK134" s="236"/>
      <c r="AL134" s="236"/>
      <c r="AM134" s="236"/>
    </row>
    <row r="135" spans="1:39" x14ac:dyDescent="0.2">
      <c r="A135" s="339">
        <v>2014</v>
      </c>
      <c r="B135" s="353">
        <v>0</v>
      </c>
      <c r="C135" s="354">
        <v>0</v>
      </c>
      <c r="D135" s="354">
        <v>0</v>
      </c>
      <c r="E135" s="354">
        <v>0</v>
      </c>
      <c r="F135" s="354">
        <v>0</v>
      </c>
      <c r="G135" s="354">
        <v>0</v>
      </c>
      <c r="H135" s="354">
        <v>0</v>
      </c>
      <c r="I135" s="354">
        <v>0</v>
      </c>
      <c r="J135" s="354">
        <v>0</v>
      </c>
      <c r="K135" s="354">
        <v>0</v>
      </c>
      <c r="L135" s="365">
        <v>0</v>
      </c>
      <c r="M135" s="305">
        <f t="shared" si="92"/>
        <v>0</v>
      </c>
      <c r="N135" s="307">
        <f t="shared" si="93"/>
        <v>0</v>
      </c>
      <c r="O135" s="353">
        <v>0</v>
      </c>
      <c r="P135" s="354">
        <v>0</v>
      </c>
      <c r="Q135" s="354">
        <v>0</v>
      </c>
      <c r="R135" s="354">
        <v>0</v>
      </c>
      <c r="S135" s="354">
        <v>0</v>
      </c>
      <c r="T135" s="354">
        <v>0</v>
      </c>
      <c r="U135" s="354">
        <v>0</v>
      </c>
      <c r="V135" s="354">
        <v>0</v>
      </c>
      <c r="W135" s="354">
        <v>0</v>
      </c>
      <c r="X135" s="354">
        <v>0</v>
      </c>
      <c r="Y135" s="365">
        <v>0</v>
      </c>
      <c r="Z135" s="305">
        <f t="shared" si="94"/>
        <v>0</v>
      </c>
      <c r="AA135" s="307">
        <f t="shared" si="95"/>
        <v>0</v>
      </c>
      <c r="AB135" s="91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1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920">
        <f t="shared" si="99"/>
        <v>0</v>
      </c>
      <c r="AE135" s="897">
        <f t="shared" si="96"/>
        <v>0</v>
      </c>
      <c r="AF135" s="897">
        <f t="shared" si="97"/>
        <v>0</v>
      </c>
      <c r="AG135" s="897">
        <f t="shared" si="98"/>
        <v>0</v>
      </c>
      <c r="AH135" s="1113">
        <f t="shared" si="100"/>
        <v>0</v>
      </c>
      <c r="AI135" s="897">
        <f t="shared" si="101"/>
        <v>0</v>
      </c>
      <c r="AJ135" s="236"/>
      <c r="AK135" s="236"/>
      <c r="AL135" s="236"/>
      <c r="AM135" s="236"/>
    </row>
    <row r="136" spans="1:39" ht="13.5" thickBot="1" x14ac:dyDescent="0.25">
      <c r="A136" s="337">
        <v>2015</v>
      </c>
      <c r="B136" s="355">
        <v>0</v>
      </c>
      <c r="C136" s="356">
        <v>0</v>
      </c>
      <c r="D136" s="356">
        <v>0</v>
      </c>
      <c r="E136" s="356">
        <v>0</v>
      </c>
      <c r="F136" s="356">
        <v>0</v>
      </c>
      <c r="G136" s="356">
        <v>0</v>
      </c>
      <c r="H136" s="356">
        <v>0</v>
      </c>
      <c r="I136" s="356">
        <v>0</v>
      </c>
      <c r="J136" s="356">
        <v>0</v>
      </c>
      <c r="K136" s="356">
        <v>0</v>
      </c>
      <c r="L136" s="366">
        <v>0</v>
      </c>
      <c r="M136" s="319">
        <f t="shared" si="92"/>
        <v>0</v>
      </c>
      <c r="N136" s="321">
        <f t="shared" si="93"/>
        <v>0</v>
      </c>
      <c r="O136" s="355">
        <v>0</v>
      </c>
      <c r="P136" s="356">
        <v>0</v>
      </c>
      <c r="Q136" s="356">
        <v>0</v>
      </c>
      <c r="R136" s="356">
        <v>0</v>
      </c>
      <c r="S136" s="356">
        <v>0</v>
      </c>
      <c r="T136" s="356">
        <v>0</v>
      </c>
      <c r="U136" s="356">
        <v>0</v>
      </c>
      <c r="V136" s="356">
        <v>0</v>
      </c>
      <c r="W136" s="356">
        <v>0</v>
      </c>
      <c r="X136" s="356">
        <v>0</v>
      </c>
      <c r="Y136" s="366">
        <v>0</v>
      </c>
      <c r="Z136" s="319">
        <f t="shared" si="94"/>
        <v>0</v>
      </c>
      <c r="AA136" s="321">
        <f t="shared" si="95"/>
        <v>0</v>
      </c>
      <c r="AB136" s="91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1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920">
        <f t="shared" si="99"/>
        <v>0</v>
      </c>
      <c r="AE136" s="897">
        <f t="shared" si="96"/>
        <v>0</v>
      </c>
      <c r="AF136" s="897">
        <f t="shared" si="97"/>
        <v>0</v>
      </c>
      <c r="AG136" s="897">
        <f t="shared" si="98"/>
        <v>0</v>
      </c>
      <c r="AH136" s="1113">
        <f t="shared" si="100"/>
        <v>0</v>
      </c>
      <c r="AI136" s="897">
        <f t="shared" si="101"/>
        <v>0</v>
      </c>
      <c r="AJ136" s="236"/>
      <c r="AK136" s="236"/>
      <c r="AL136" s="236"/>
      <c r="AM136" s="236"/>
    </row>
    <row r="137" spans="1:39" x14ac:dyDescent="0.2">
      <c r="A137" s="338">
        <v>2016</v>
      </c>
      <c r="B137" s="351">
        <v>0</v>
      </c>
      <c r="C137" s="352">
        <v>0</v>
      </c>
      <c r="D137" s="352">
        <v>0</v>
      </c>
      <c r="E137" s="352">
        <v>0</v>
      </c>
      <c r="F137" s="352">
        <v>0</v>
      </c>
      <c r="G137" s="352">
        <v>0</v>
      </c>
      <c r="H137" s="352">
        <v>0</v>
      </c>
      <c r="I137" s="352">
        <v>0</v>
      </c>
      <c r="J137" s="352">
        <v>0</v>
      </c>
      <c r="K137" s="352">
        <v>0</v>
      </c>
      <c r="L137" s="364">
        <v>0</v>
      </c>
      <c r="M137" s="291">
        <f t="shared" si="92"/>
        <v>0</v>
      </c>
      <c r="N137" s="293">
        <f t="shared" si="93"/>
        <v>0</v>
      </c>
      <c r="O137" s="351">
        <v>0</v>
      </c>
      <c r="P137" s="352">
        <v>0</v>
      </c>
      <c r="Q137" s="352">
        <v>0</v>
      </c>
      <c r="R137" s="352">
        <v>0</v>
      </c>
      <c r="S137" s="352">
        <v>0</v>
      </c>
      <c r="T137" s="352">
        <v>0</v>
      </c>
      <c r="U137" s="352">
        <v>0</v>
      </c>
      <c r="V137" s="352">
        <v>0</v>
      </c>
      <c r="W137" s="352">
        <v>0</v>
      </c>
      <c r="X137" s="352">
        <v>0</v>
      </c>
      <c r="Y137" s="364">
        <v>0</v>
      </c>
      <c r="Z137" s="291">
        <f t="shared" si="94"/>
        <v>0</v>
      </c>
      <c r="AA137" s="293">
        <f t="shared" si="95"/>
        <v>0</v>
      </c>
      <c r="AB137" s="91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1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920">
        <f t="shared" si="99"/>
        <v>0</v>
      </c>
      <c r="AE137" s="897">
        <f t="shared" si="96"/>
        <v>0</v>
      </c>
      <c r="AF137" s="897">
        <f t="shared" si="97"/>
        <v>0</v>
      </c>
      <c r="AG137" s="897">
        <f t="shared" si="98"/>
        <v>0</v>
      </c>
      <c r="AH137" s="1113">
        <f t="shared" si="100"/>
        <v>0</v>
      </c>
      <c r="AI137" s="897">
        <f t="shared" si="101"/>
        <v>0</v>
      </c>
      <c r="AJ137" s="236"/>
      <c r="AK137" s="236"/>
      <c r="AL137" s="236"/>
      <c r="AM137" s="236"/>
    </row>
    <row r="138" spans="1:39" x14ac:dyDescent="0.2">
      <c r="A138" s="339">
        <v>2017</v>
      </c>
      <c r="B138" s="353">
        <v>0</v>
      </c>
      <c r="C138" s="354">
        <v>0</v>
      </c>
      <c r="D138" s="354">
        <v>0</v>
      </c>
      <c r="E138" s="354">
        <v>0</v>
      </c>
      <c r="F138" s="354">
        <v>0</v>
      </c>
      <c r="G138" s="354">
        <v>0</v>
      </c>
      <c r="H138" s="354">
        <v>0</v>
      </c>
      <c r="I138" s="354">
        <v>0</v>
      </c>
      <c r="J138" s="354">
        <v>0</v>
      </c>
      <c r="K138" s="354">
        <v>0</v>
      </c>
      <c r="L138" s="365">
        <v>0</v>
      </c>
      <c r="M138" s="305">
        <f t="shared" si="92"/>
        <v>0</v>
      </c>
      <c r="N138" s="307">
        <f t="shared" si="93"/>
        <v>0</v>
      </c>
      <c r="O138" s="353">
        <v>0</v>
      </c>
      <c r="P138" s="354">
        <v>0</v>
      </c>
      <c r="Q138" s="354">
        <v>0</v>
      </c>
      <c r="R138" s="354">
        <v>0</v>
      </c>
      <c r="S138" s="354">
        <v>0</v>
      </c>
      <c r="T138" s="354">
        <v>0</v>
      </c>
      <c r="U138" s="354">
        <v>0</v>
      </c>
      <c r="V138" s="354">
        <v>0</v>
      </c>
      <c r="W138" s="354">
        <v>0</v>
      </c>
      <c r="X138" s="354">
        <v>0</v>
      </c>
      <c r="Y138" s="365">
        <v>0</v>
      </c>
      <c r="Z138" s="305">
        <f t="shared" si="94"/>
        <v>0</v>
      </c>
      <c r="AA138" s="307">
        <f t="shared" si="95"/>
        <v>0</v>
      </c>
      <c r="AB138" s="91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1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920">
        <f t="shared" si="99"/>
        <v>0</v>
      </c>
      <c r="AE138" s="897">
        <f t="shared" si="96"/>
        <v>0</v>
      </c>
      <c r="AF138" s="897">
        <f t="shared" si="97"/>
        <v>0</v>
      </c>
      <c r="AG138" s="897">
        <f t="shared" si="98"/>
        <v>0</v>
      </c>
      <c r="AH138" s="1113">
        <f t="shared" si="100"/>
        <v>0</v>
      </c>
      <c r="AI138" s="897">
        <f t="shared" si="101"/>
        <v>0</v>
      </c>
      <c r="AJ138" s="236"/>
      <c r="AK138" s="236"/>
      <c r="AL138" s="236"/>
      <c r="AM138" s="236"/>
    </row>
    <row r="139" spans="1:39" x14ac:dyDescent="0.2">
      <c r="A139" s="339">
        <v>2018</v>
      </c>
      <c r="B139" s="353">
        <v>0</v>
      </c>
      <c r="C139" s="354">
        <v>0</v>
      </c>
      <c r="D139" s="354">
        <v>0</v>
      </c>
      <c r="E139" s="354">
        <v>0</v>
      </c>
      <c r="F139" s="354">
        <v>0</v>
      </c>
      <c r="G139" s="354">
        <v>0</v>
      </c>
      <c r="H139" s="354">
        <v>0</v>
      </c>
      <c r="I139" s="354">
        <v>0</v>
      </c>
      <c r="J139" s="354">
        <v>0</v>
      </c>
      <c r="K139" s="354">
        <v>0</v>
      </c>
      <c r="L139" s="365">
        <v>0</v>
      </c>
      <c r="M139" s="305">
        <f t="shared" si="92"/>
        <v>0</v>
      </c>
      <c r="N139" s="307">
        <f t="shared" si="93"/>
        <v>0</v>
      </c>
      <c r="O139" s="353">
        <v>0</v>
      </c>
      <c r="P139" s="354">
        <v>0</v>
      </c>
      <c r="Q139" s="354">
        <v>0</v>
      </c>
      <c r="R139" s="354">
        <v>0</v>
      </c>
      <c r="S139" s="354">
        <v>0</v>
      </c>
      <c r="T139" s="354">
        <v>0</v>
      </c>
      <c r="U139" s="354">
        <v>0</v>
      </c>
      <c r="V139" s="354">
        <v>0</v>
      </c>
      <c r="W139" s="354">
        <v>0</v>
      </c>
      <c r="X139" s="354">
        <v>0</v>
      </c>
      <c r="Y139" s="365">
        <v>0</v>
      </c>
      <c r="Z139" s="305">
        <f t="shared" si="94"/>
        <v>0</v>
      </c>
      <c r="AA139" s="307">
        <f t="shared" si="95"/>
        <v>0</v>
      </c>
      <c r="AB139" s="91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1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920">
        <f t="shared" si="99"/>
        <v>0</v>
      </c>
      <c r="AE139" s="897">
        <f t="shared" si="96"/>
        <v>0</v>
      </c>
      <c r="AF139" s="897">
        <f t="shared" si="97"/>
        <v>0</v>
      </c>
      <c r="AG139" s="897">
        <f t="shared" si="98"/>
        <v>0</v>
      </c>
      <c r="AH139" s="1113">
        <f t="shared" si="100"/>
        <v>0</v>
      </c>
      <c r="AI139" s="897">
        <f t="shared" si="101"/>
        <v>0</v>
      </c>
      <c r="AJ139" s="236"/>
      <c r="AK139" s="236"/>
      <c r="AL139" s="236"/>
      <c r="AM139" s="236"/>
    </row>
    <row r="140" spans="1:39" x14ac:dyDescent="0.2">
      <c r="A140" s="339">
        <v>2019</v>
      </c>
      <c r="B140" s="353">
        <v>0</v>
      </c>
      <c r="C140" s="354">
        <v>0</v>
      </c>
      <c r="D140" s="354">
        <v>0</v>
      </c>
      <c r="E140" s="354">
        <v>0</v>
      </c>
      <c r="F140" s="354">
        <v>0</v>
      </c>
      <c r="G140" s="354">
        <v>0</v>
      </c>
      <c r="H140" s="354">
        <v>0</v>
      </c>
      <c r="I140" s="354">
        <v>0</v>
      </c>
      <c r="J140" s="354">
        <v>0</v>
      </c>
      <c r="K140" s="354">
        <v>0</v>
      </c>
      <c r="L140" s="365">
        <v>0</v>
      </c>
      <c r="M140" s="305">
        <f t="shared" si="92"/>
        <v>0</v>
      </c>
      <c r="N140" s="307">
        <f t="shared" si="93"/>
        <v>0</v>
      </c>
      <c r="O140" s="353">
        <v>0</v>
      </c>
      <c r="P140" s="354">
        <v>0</v>
      </c>
      <c r="Q140" s="354">
        <v>0</v>
      </c>
      <c r="R140" s="354">
        <v>0</v>
      </c>
      <c r="S140" s="354">
        <v>0</v>
      </c>
      <c r="T140" s="354">
        <v>0</v>
      </c>
      <c r="U140" s="354">
        <v>0</v>
      </c>
      <c r="V140" s="354">
        <v>0</v>
      </c>
      <c r="W140" s="354">
        <v>0</v>
      </c>
      <c r="X140" s="354">
        <v>0</v>
      </c>
      <c r="Y140" s="365">
        <v>0</v>
      </c>
      <c r="Z140" s="305">
        <f t="shared" si="94"/>
        <v>0</v>
      </c>
      <c r="AA140" s="307">
        <f t="shared" si="95"/>
        <v>0</v>
      </c>
      <c r="AB140" s="91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1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920">
        <f t="shared" si="99"/>
        <v>0</v>
      </c>
      <c r="AE140" s="897">
        <f t="shared" si="96"/>
        <v>0</v>
      </c>
      <c r="AF140" s="897">
        <f t="shared" si="97"/>
        <v>0</v>
      </c>
      <c r="AG140" s="897">
        <f t="shared" si="98"/>
        <v>0</v>
      </c>
      <c r="AH140" s="1113">
        <f t="shared" si="100"/>
        <v>0</v>
      </c>
      <c r="AI140" s="897">
        <f t="shared" si="101"/>
        <v>0</v>
      </c>
      <c r="AJ140" s="236"/>
      <c r="AK140" s="236"/>
      <c r="AL140" s="236"/>
      <c r="AM140" s="236"/>
    </row>
    <row r="141" spans="1:39" ht="13.5" thickBot="1" x14ac:dyDescent="0.25">
      <c r="A141" s="337">
        <v>2020</v>
      </c>
      <c r="B141" s="355">
        <v>0</v>
      </c>
      <c r="C141" s="356">
        <v>0</v>
      </c>
      <c r="D141" s="356">
        <v>0</v>
      </c>
      <c r="E141" s="356">
        <v>0</v>
      </c>
      <c r="F141" s="356">
        <v>0</v>
      </c>
      <c r="G141" s="356">
        <v>0</v>
      </c>
      <c r="H141" s="356">
        <v>0</v>
      </c>
      <c r="I141" s="356">
        <v>0</v>
      </c>
      <c r="J141" s="356">
        <v>0</v>
      </c>
      <c r="K141" s="356">
        <v>0</v>
      </c>
      <c r="L141" s="366">
        <v>0</v>
      </c>
      <c r="M141" s="319">
        <f t="shared" si="92"/>
        <v>0</v>
      </c>
      <c r="N141" s="321">
        <f t="shared" si="93"/>
        <v>0</v>
      </c>
      <c r="O141" s="355">
        <v>0</v>
      </c>
      <c r="P141" s="356">
        <v>0</v>
      </c>
      <c r="Q141" s="356">
        <v>0</v>
      </c>
      <c r="R141" s="356">
        <v>0</v>
      </c>
      <c r="S141" s="356">
        <v>0</v>
      </c>
      <c r="T141" s="356">
        <v>0</v>
      </c>
      <c r="U141" s="356">
        <v>0</v>
      </c>
      <c r="V141" s="356">
        <v>0</v>
      </c>
      <c r="W141" s="356">
        <v>0</v>
      </c>
      <c r="X141" s="356">
        <v>0</v>
      </c>
      <c r="Y141" s="366">
        <v>0</v>
      </c>
      <c r="Z141" s="319">
        <f t="shared" si="94"/>
        <v>0</v>
      </c>
      <c r="AA141" s="321">
        <f t="shared" si="95"/>
        <v>0</v>
      </c>
      <c r="AB141" s="91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1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920">
        <f t="shared" si="99"/>
        <v>0</v>
      </c>
      <c r="AE141" s="897">
        <f t="shared" si="96"/>
        <v>0</v>
      </c>
      <c r="AF141" s="897">
        <f t="shared" si="97"/>
        <v>0</v>
      </c>
      <c r="AG141" s="897">
        <f t="shared" si="98"/>
        <v>0</v>
      </c>
      <c r="AH141" s="1113">
        <f t="shared" si="100"/>
        <v>0</v>
      </c>
      <c r="AI141" s="897">
        <f t="shared" si="101"/>
        <v>0</v>
      </c>
      <c r="AJ141" s="236"/>
      <c r="AK141" s="236"/>
      <c r="AL141" s="236"/>
      <c r="AM141" s="236"/>
    </row>
    <row r="142" spans="1:39" x14ac:dyDescent="0.2">
      <c r="A142" s="338">
        <v>2021</v>
      </c>
      <c r="B142" s="351">
        <v>0</v>
      </c>
      <c r="C142" s="352">
        <v>0</v>
      </c>
      <c r="D142" s="352">
        <v>0</v>
      </c>
      <c r="E142" s="352">
        <v>0</v>
      </c>
      <c r="F142" s="352">
        <v>0</v>
      </c>
      <c r="G142" s="352">
        <v>0</v>
      </c>
      <c r="H142" s="352">
        <v>0</v>
      </c>
      <c r="I142" s="352">
        <v>0</v>
      </c>
      <c r="J142" s="352">
        <v>0</v>
      </c>
      <c r="K142" s="352">
        <v>0</v>
      </c>
      <c r="L142" s="364">
        <v>0</v>
      </c>
      <c r="M142" s="291">
        <f t="shared" si="92"/>
        <v>0</v>
      </c>
      <c r="N142" s="293">
        <f t="shared" si="93"/>
        <v>0</v>
      </c>
      <c r="O142" s="351">
        <v>0</v>
      </c>
      <c r="P142" s="352">
        <v>0</v>
      </c>
      <c r="Q142" s="352">
        <v>0</v>
      </c>
      <c r="R142" s="352">
        <v>0</v>
      </c>
      <c r="S142" s="352">
        <v>0</v>
      </c>
      <c r="T142" s="352">
        <v>0</v>
      </c>
      <c r="U142" s="352">
        <v>0</v>
      </c>
      <c r="V142" s="352">
        <v>0</v>
      </c>
      <c r="W142" s="352">
        <v>0</v>
      </c>
      <c r="X142" s="352">
        <v>0</v>
      </c>
      <c r="Y142" s="364">
        <v>0</v>
      </c>
      <c r="Z142" s="291">
        <f t="shared" si="94"/>
        <v>0</v>
      </c>
      <c r="AA142" s="293">
        <f t="shared" si="95"/>
        <v>0</v>
      </c>
      <c r="AB142" s="91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1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920">
        <f t="shared" si="99"/>
        <v>0</v>
      </c>
      <c r="AE142" s="897">
        <f t="shared" si="96"/>
        <v>0</v>
      </c>
      <c r="AF142" s="897">
        <f t="shared" si="97"/>
        <v>0</v>
      </c>
      <c r="AG142" s="897">
        <f t="shared" si="98"/>
        <v>0</v>
      </c>
      <c r="AH142" s="1113">
        <f t="shared" si="100"/>
        <v>0</v>
      </c>
      <c r="AI142" s="897">
        <f t="shared" si="101"/>
        <v>0</v>
      </c>
      <c r="AJ142" s="236"/>
      <c r="AK142" s="236"/>
      <c r="AL142" s="236"/>
      <c r="AM142" s="236"/>
    </row>
    <row r="143" spans="1:39" x14ac:dyDescent="0.2">
      <c r="A143" s="339">
        <v>2022</v>
      </c>
      <c r="B143" s="353">
        <v>0</v>
      </c>
      <c r="C143" s="354">
        <v>0</v>
      </c>
      <c r="D143" s="354">
        <v>0</v>
      </c>
      <c r="E143" s="354">
        <v>0</v>
      </c>
      <c r="F143" s="354">
        <v>0</v>
      </c>
      <c r="G143" s="354">
        <v>0</v>
      </c>
      <c r="H143" s="354">
        <v>0</v>
      </c>
      <c r="I143" s="354">
        <v>0</v>
      </c>
      <c r="J143" s="354">
        <v>0</v>
      </c>
      <c r="K143" s="354">
        <v>0</v>
      </c>
      <c r="L143" s="365">
        <v>0</v>
      </c>
      <c r="M143" s="305">
        <f t="shared" si="92"/>
        <v>0</v>
      </c>
      <c r="N143" s="307">
        <f t="shared" si="93"/>
        <v>0</v>
      </c>
      <c r="O143" s="353">
        <v>0</v>
      </c>
      <c r="P143" s="354">
        <v>0</v>
      </c>
      <c r="Q143" s="354">
        <v>0</v>
      </c>
      <c r="R143" s="354">
        <v>0</v>
      </c>
      <c r="S143" s="354">
        <v>0</v>
      </c>
      <c r="T143" s="354">
        <v>0</v>
      </c>
      <c r="U143" s="354">
        <v>0</v>
      </c>
      <c r="V143" s="354">
        <v>0</v>
      </c>
      <c r="W143" s="354">
        <v>0</v>
      </c>
      <c r="X143" s="354">
        <v>0</v>
      </c>
      <c r="Y143" s="365">
        <v>0</v>
      </c>
      <c r="Z143" s="305">
        <f t="shared" si="94"/>
        <v>0</v>
      </c>
      <c r="AA143" s="307">
        <f t="shared" si="95"/>
        <v>0</v>
      </c>
      <c r="AB143" s="91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1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920">
        <f t="shared" si="99"/>
        <v>0</v>
      </c>
      <c r="AE143" s="897">
        <f>SUMPRODUCT($B$74:$L$74,B143:L143)</f>
        <v>0</v>
      </c>
      <c r="AF143" s="897">
        <f>SUMPRODUCT($O$74:$Y$74,O143:Y143)</f>
        <v>0</v>
      </c>
      <c r="AG143" s="897">
        <f>SUM(AE143:AF143)</f>
        <v>0</v>
      </c>
      <c r="AH143" s="1113">
        <f t="shared" si="100"/>
        <v>0</v>
      </c>
      <c r="AI143" s="897">
        <f t="shared" si="101"/>
        <v>0</v>
      </c>
      <c r="AJ143" s="236"/>
      <c r="AK143" s="236"/>
      <c r="AL143" s="236"/>
      <c r="AM143" s="236"/>
    </row>
    <row r="144" spans="1:39" x14ac:dyDescent="0.2">
      <c r="A144" s="339">
        <v>2023</v>
      </c>
      <c r="B144" s="353">
        <v>0</v>
      </c>
      <c r="C144" s="354">
        <v>0</v>
      </c>
      <c r="D144" s="354">
        <v>0</v>
      </c>
      <c r="E144" s="354">
        <v>0</v>
      </c>
      <c r="F144" s="354">
        <v>0</v>
      </c>
      <c r="G144" s="354">
        <v>0</v>
      </c>
      <c r="H144" s="354">
        <v>0</v>
      </c>
      <c r="I144" s="354">
        <v>0</v>
      </c>
      <c r="J144" s="354">
        <v>0</v>
      </c>
      <c r="K144" s="354">
        <v>0</v>
      </c>
      <c r="L144" s="365">
        <v>0</v>
      </c>
      <c r="M144" s="305">
        <f t="shared" si="92"/>
        <v>0</v>
      </c>
      <c r="N144" s="307">
        <f t="shared" si="93"/>
        <v>0</v>
      </c>
      <c r="O144" s="353">
        <v>0</v>
      </c>
      <c r="P144" s="354">
        <v>0</v>
      </c>
      <c r="Q144" s="354">
        <v>0</v>
      </c>
      <c r="R144" s="354">
        <v>0</v>
      </c>
      <c r="S144" s="354">
        <v>0</v>
      </c>
      <c r="T144" s="354">
        <v>0</v>
      </c>
      <c r="U144" s="354">
        <v>0</v>
      </c>
      <c r="V144" s="354">
        <v>0</v>
      </c>
      <c r="W144" s="354">
        <v>0</v>
      </c>
      <c r="X144" s="354">
        <v>0</v>
      </c>
      <c r="Y144" s="365">
        <v>0</v>
      </c>
      <c r="Z144" s="305">
        <f t="shared" si="94"/>
        <v>0</v>
      </c>
      <c r="AA144" s="307">
        <f t="shared" si="95"/>
        <v>0</v>
      </c>
      <c r="AB144" s="91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1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920">
        <f t="shared" si="99"/>
        <v>0</v>
      </c>
      <c r="AE144" s="897">
        <f t="shared" ref="AE144:AE171" si="102">SUMPRODUCT($B$74:$L$74,B144:L144)</f>
        <v>0</v>
      </c>
      <c r="AF144" s="897">
        <f t="shared" ref="AF144:AF171" si="103">SUMPRODUCT($O$74:$Y$74,O144:Y144)</f>
        <v>0</v>
      </c>
      <c r="AG144" s="897">
        <f t="shared" ref="AG144:AG171" si="104">SUM(AE144:AF144)</f>
        <v>0</v>
      </c>
      <c r="AH144" s="1113">
        <f t="shared" si="100"/>
        <v>0</v>
      </c>
      <c r="AI144" s="897">
        <f t="shared" si="101"/>
        <v>0</v>
      </c>
      <c r="AJ144" s="236"/>
      <c r="AK144" s="236"/>
      <c r="AL144" s="236"/>
      <c r="AM144" s="236"/>
    </row>
    <row r="145" spans="1:39" x14ac:dyDescent="0.2">
      <c r="A145" s="339">
        <v>2024</v>
      </c>
      <c r="B145" s="353">
        <v>0</v>
      </c>
      <c r="C145" s="354">
        <v>0</v>
      </c>
      <c r="D145" s="354">
        <v>0</v>
      </c>
      <c r="E145" s="354">
        <v>0</v>
      </c>
      <c r="F145" s="354">
        <v>0</v>
      </c>
      <c r="G145" s="354">
        <v>0</v>
      </c>
      <c r="H145" s="354">
        <v>0</v>
      </c>
      <c r="I145" s="354">
        <v>0</v>
      </c>
      <c r="J145" s="354">
        <v>0</v>
      </c>
      <c r="K145" s="354">
        <v>0</v>
      </c>
      <c r="L145" s="365">
        <v>0</v>
      </c>
      <c r="M145" s="305">
        <f t="shared" si="92"/>
        <v>0</v>
      </c>
      <c r="N145" s="307">
        <f t="shared" si="93"/>
        <v>0</v>
      </c>
      <c r="O145" s="353">
        <v>0</v>
      </c>
      <c r="P145" s="354">
        <v>0</v>
      </c>
      <c r="Q145" s="354">
        <v>0</v>
      </c>
      <c r="R145" s="354">
        <v>0</v>
      </c>
      <c r="S145" s="354">
        <v>0</v>
      </c>
      <c r="T145" s="354">
        <v>0</v>
      </c>
      <c r="U145" s="354">
        <v>0</v>
      </c>
      <c r="V145" s="354">
        <v>0</v>
      </c>
      <c r="W145" s="354">
        <v>0</v>
      </c>
      <c r="X145" s="354">
        <v>0</v>
      </c>
      <c r="Y145" s="365">
        <v>0</v>
      </c>
      <c r="Z145" s="305">
        <f t="shared" si="94"/>
        <v>0</v>
      </c>
      <c r="AA145" s="307">
        <f t="shared" si="95"/>
        <v>0</v>
      </c>
      <c r="AB145" s="91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1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920">
        <f t="shared" si="99"/>
        <v>0</v>
      </c>
      <c r="AE145" s="897">
        <f t="shared" si="102"/>
        <v>0</v>
      </c>
      <c r="AF145" s="897">
        <f t="shared" si="103"/>
        <v>0</v>
      </c>
      <c r="AG145" s="897">
        <f t="shared" si="104"/>
        <v>0</v>
      </c>
      <c r="AH145" s="1113">
        <f t="shared" si="100"/>
        <v>0</v>
      </c>
      <c r="AI145" s="897">
        <f t="shared" si="101"/>
        <v>0</v>
      </c>
      <c r="AJ145" s="236"/>
      <c r="AK145" s="236"/>
      <c r="AL145" s="236"/>
      <c r="AM145" s="236"/>
    </row>
    <row r="146" spans="1:39" ht="13.5" thickBot="1" x14ac:dyDescent="0.25">
      <c r="A146" s="337">
        <v>2025</v>
      </c>
      <c r="B146" s="355">
        <v>0</v>
      </c>
      <c r="C146" s="356">
        <v>0</v>
      </c>
      <c r="D146" s="356">
        <v>0</v>
      </c>
      <c r="E146" s="356">
        <v>0</v>
      </c>
      <c r="F146" s="356">
        <v>0</v>
      </c>
      <c r="G146" s="356">
        <v>0</v>
      </c>
      <c r="H146" s="356">
        <v>0</v>
      </c>
      <c r="I146" s="356">
        <v>0</v>
      </c>
      <c r="J146" s="356">
        <v>0</v>
      </c>
      <c r="K146" s="356">
        <v>0</v>
      </c>
      <c r="L146" s="366">
        <v>0</v>
      </c>
      <c r="M146" s="319">
        <f t="shared" si="92"/>
        <v>0</v>
      </c>
      <c r="N146" s="321">
        <f t="shared" si="93"/>
        <v>0</v>
      </c>
      <c r="O146" s="355">
        <v>0</v>
      </c>
      <c r="P146" s="356">
        <v>0</v>
      </c>
      <c r="Q146" s="356">
        <v>0</v>
      </c>
      <c r="R146" s="356">
        <v>0</v>
      </c>
      <c r="S146" s="356">
        <v>0</v>
      </c>
      <c r="T146" s="356">
        <v>0</v>
      </c>
      <c r="U146" s="356">
        <v>0</v>
      </c>
      <c r="V146" s="356">
        <v>0</v>
      </c>
      <c r="W146" s="356">
        <v>0</v>
      </c>
      <c r="X146" s="356">
        <v>0</v>
      </c>
      <c r="Y146" s="366">
        <v>0</v>
      </c>
      <c r="Z146" s="319">
        <f t="shared" si="94"/>
        <v>0</v>
      </c>
      <c r="AA146" s="321">
        <f t="shared" si="95"/>
        <v>0</v>
      </c>
      <c r="AB146" s="91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1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920">
        <f t="shared" si="99"/>
        <v>0</v>
      </c>
      <c r="AE146" s="897">
        <f t="shared" si="102"/>
        <v>0</v>
      </c>
      <c r="AF146" s="897">
        <f t="shared" si="103"/>
        <v>0</v>
      </c>
      <c r="AG146" s="897">
        <f t="shared" si="104"/>
        <v>0</v>
      </c>
      <c r="AH146" s="1113">
        <f t="shared" si="100"/>
        <v>0</v>
      </c>
      <c r="AI146" s="897">
        <f t="shared" si="101"/>
        <v>0</v>
      </c>
      <c r="AJ146" s="236"/>
      <c r="AK146" s="236"/>
      <c r="AL146" s="236"/>
      <c r="AM146" s="236"/>
    </row>
    <row r="147" spans="1:39" x14ac:dyDescent="0.2">
      <c r="A147" s="338">
        <v>2026</v>
      </c>
      <c r="B147" s="351">
        <v>0</v>
      </c>
      <c r="C147" s="352">
        <v>0</v>
      </c>
      <c r="D147" s="352">
        <v>0</v>
      </c>
      <c r="E147" s="352">
        <v>0</v>
      </c>
      <c r="F147" s="352">
        <v>0</v>
      </c>
      <c r="G147" s="352">
        <v>0</v>
      </c>
      <c r="H147" s="352">
        <v>0</v>
      </c>
      <c r="I147" s="352">
        <v>0</v>
      </c>
      <c r="J147" s="352">
        <v>0</v>
      </c>
      <c r="K147" s="352">
        <v>0</v>
      </c>
      <c r="L147" s="364">
        <v>0</v>
      </c>
      <c r="M147" s="291">
        <f t="shared" si="92"/>
        <v>0</v>
      </c>
      <c r="N147" s="293">
        <f t="shared" si="93"/>
        <v>0</v>
      </c>
      <c r="O147" s="351">
        <v>0</v>
      </c>
      <c r="P147" s="352">
        <v>0</v>
      </c>
      <c r="Q147" s="352">
        <v>0</v>
      </c>
      <c r="R147" s="352">
        <v>0</v>
      </c>
      <c r="S147" s="352">
        <v>0</v>
      </c>
      <c r="T147" s="352">
        <v>0</v>
      </c>
      <c r="U147" s="352">
        <v>0</v>
      </c>
      <c r="V147" s="352">
        <v>0</v>
      </c>
      <c r="W147" s="352">
        <v>0</v>
      </c>
      <c r="X147" s="352">
        <v>0</v>
      </c>
      <c r="Y147" s="364">
        <v>0</v>
      </c>
      <c r="Z147" s="291">
        <f t="shared" si="94"/>
        <v>0</v>
      </c>
      <c r="AA147" s="293">
        <f t="shared" si="95"/>
        <v>0</v>
      </c>
      <c r="AB147" s="91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1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920">
        <f t="shared" si="99"/>
        <v>0</v>
      </c>
      <c r="AE147" s="897">
        <f t="shared" si="102"/>
        <v>0</v>
      </c>
      <c r="AF147" s="897">
        <f t="shared" si="103"/>
        <v>0</v>
      </c>
      <c r="AG147" s="897">
        <f t="shared" si="104"/>
        <v>0</v>
      </c>
      <c r="AH147" s="1113">
        <f t="shared" si="100"/>
        <v>0</v>
      </c>
      <c r="AI147" s="897">
        <f t="shared" si="101"/>
        <v>0</v>
      </c>
      <c r="AJ147" s="236"/>
      <c r="AK147" s="236"/>
      <c r="AL147" s="236"/>
      <c r="AM147" s="236"/>
    </row>
    <row r="148" spans="1:39" x14ac:dyDescent="0.2">
      <c r="A148" s="339">
        <v>2027</v>
      </c>
      <c r="B148" s="353">
        <v>0</v>
      </c>
      <c r="C148" s="354">
        <v>0</v>
      </c>
      <c r="D148" s="354">
        <v>0</v>
      </c>
      <c r="E148" s="354">
        <v>0</v>
      </c>
      <c r="F148" s="354">
        <v>0</v>
      </c>
      <c r="G148" s="354">
        <v>0</v>
      </c>
      <c r="H148" s="354">
        <v>0</v>
      </c>
      <c r="I148" s="354">
        <v>0</v>
      </c>
      <c r="J148" s="354">
        <v>0</v>
      </c>
      <c r="K148" s="354">
        <v>0</v>
      </c>
      <c r="L148" s="365">
        <v>0</v>
      </c>
      <c r="M148" s="305">
        <f t="shared" si="92"/>
        <v>0</v>
      </c>
      <c r="N148" s="307">
        <f t="shared" si="93"/>
        <v>0</v>
      </c>
      <c r="O148" s="353">
        <v>0</v>
      </c>
      <c r="P148" s="354">
        <v>0</v>
      </c>
      <c r="Q148" s="354">
        <v>0</v>
      </c>
      <c r="R148" s="354">
        <v>0</v>
      </c>
      <c r="S148" s="354">
        <v>0</v>
      </c>
      <c r="T148" s="354">
        <v>0</v>
      </c>
      <c r="U148" s="354">
        <v>0</v>
      </c>
      <c r="V148" s="354">
        <v>0</v>
      </c>
      <c r="W148" s="354">
        <v>0</v>
      </c>
      <c r="X148" s="354">
        <v>0</v>
      </c>
      <c r="Y148" s="365">
        <v>0</v>
      </c>
      <c r="Z148" s="305">
        <f t="shared" si="94"/>
        <v>0</v>
      </c>
      <c r="AA148" s="307">
        <f t="shared" si="95"/>
        <v>0</v>
      </c>
      <c r="AB148" s="91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1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920">
        <f t="shared" si="99"/>
        <v>0</v>
      </c>
      <c r="AE148" s="897">
        <f t="shared" si="102"/>
        <v>0</v>
      </c>
      <c r="AF148" s="897">
        <f t="shared" si="103"/>
        <v>0</v>
      </c>
      <c r="AG148" s="897">
        <f t="shared" si="104"/>
        <v>0</v>
      </c>
      <c r="AH148" s="1113">
        <f t="shared" si="100"/>
        <v>0</v>
      </c>
      <c r="AI148" s="897">
        <f t="shared" si="101"/>
        <v>0</v>
      </c>
      <c r="AJ148" s="236"/>
      <c r="AK148" s="236"/>
      <c r="AL148" s="236"/>
      <c r="AM148" s="236"/>
    </row>
    <row r="149" spans="1:39" x14ac:dyDescent="0.2">
      <c r="A149" s="339">
        <v>2028</v>
      </c>
      <c r="B149" s="353">
        <v>0</v>
      </c>
      <c r="C149" s="354">
        <v>0</v>
      </c>
      <c r="D149" s="354">
        <v>0</v>
      </c>
      <c r="E149" s="354">
        <v>0</v>
      </c>
      <c r="F149" s="354">
        <v>0</v>
      </c>
      <c r="G149" s="354">
        <v>0</v>
      </c>
      <c r="H149" s="354">
        <v>0</v>
      </c>
      <c r="I149" s="354">
        <v>0</v>
      </c>
      <c r="J149" s="354">
        <v>0</v>
      </c>
      <c r="K149" s="354">
        <v>0</v>
      </c>
      <c r="L149" s="365">
        <v>0</v>
      </c>
      <c r="M149" s="305">
        <f t="shared" si="92"/>
        <v>0</v>
      </c>
      <c r="N149" s="307">
        <f t="shared" si="93"/>
        <v>0</v>
      </c>
      <c r="O149" s="353">
        <v>0</v>
      </c>
      <c r="P149" s="354">
        <v>0</v>
      </c>
      <c r="Q149" s="354">
        <v>0</v>
      </c>
      <c r="R149" s="354">
        <v>0</v>
      </c>
      <c r="S149" s="354">
        <v>0</v>
      </c>
      <c r="T149" s="354">
        <v>0</v>
      </c>
      <c r="U149" s="354">
        <v>0</v>
      </c>
      <c r="V149" s="354">
        <v>0</v>
      </c>
      <c r="W149" s="354">
        <v>0</v>
      </c>
      <c r="X149" s="354">
        <v>0</v>
      </c>
      <c r="Y149" s="365">
        <v>0</v>
      </c>
      <c r="Z149" s="305">
        <f t="shared" si="94"/>
        <v>0</v>
      </c>
      <c r="AA149" s="307">
        <f t="shared" si="95"/>
        <v>0</v>
      </c>
      <c r="AB149" s="91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1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920">
        <f t="shared" si="99"/>
        <v>0</v>
      </c>
      <c r="AE149" s="897">
        <f t="shared" si="102"/>
        <v>0</v>
      </c>
      <c r="AF149" s="897">
        <f t="shared" si="103"/>
        <v>0</v>
      </c>
      <c r="AG149" s="897">
        <f t="shared" si="104"/>
        <v>0</v>
      </c>
      <c r="AH149" s="1113">
        <f t="shared" si="100"/>
        <v>0</v>
      </c>
      <c r="AI149" s="897">
        <f t="shared" si="101"/>
        <v>0</v>
      </c>
      <c r="AJ149" s="236"/>
      <c r="AK149" s="236"/>
      <c r="AL149" s="236"/>
      <c r="AM149" s="236"/>
    </row>
    <row r="150" spans="1:39" x14ac:dyDescent="0.2">
      <c r="A150" s="339">
        <v>2029</v>
      </c>
      <c r="B150" s="353">
        <v>0</v>
      </c>
      <c r="C150" s="354">
        <v>0</v>
      </c>
      <c r="D150" s="354">
        <v>0</v>
      </c>
      <c r="E150" s="354">
        <v>0</v>
      </c>
      <c r="F150" s="354">
        <v>0</v>
      </c>
      <c r="G150" s="354">
        <v>0</v>
      </c>
      <c r="H150" s="354">
        <v>0</v>
      </c>
      <c r="I150" s="354">
        <v>0</v>
      </c>
      <c r="J150" s="354">
        <v>0</v>
      </c>
      <c r="K150" s="354">
        <v>0</v>
      </c>
      <c r="L150" s="365">
        <v>0</v>
      </c>
      <c r="M150" s="305">
        <f t="shared" si="92"/>
        <v>0</v>
      </c>
      <c r="N150" s="307">
        <f t="shared" si="93"/>
        <v>0</v>
      </c>
      <c r="O150" s="353">
        <v>0</v>
      </c>
      <c r="P150" s="354">
        <v>0</v>
      </c>
      <c r="Q150" s="354">
        <v>0</v>
      </c>
      <c r="R150" s="354">
        <v>0</v>
      </c>
      <c r="S150" s="354">
        <v>0</v>
      </c>
      <c r="T150" s="354">
        <v>0</v>
      </c>
      <c r="U150" s="354">
        <v>0</v>
      </c>
      <c r="V150" s="354">
        <v>0</v>
      </c>
      <c r="W150" s="354">
        <v>0</v>
      </c>
      <c r="X150" s="354">
        <v>0</v>
      </c>
      <c r="Y150" s="365">
        <v>0</v>
      </c>
      <c r="Z150" s="305">
        <f t="shared" si="94"/>
        <v>0</v>
      </c>
      <c r="AA150" s="307">
        <f t="shared" si="95"/>
        <v>0</v>
      </c>
      <c r="AB150" s="91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1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920">
        <f t="shared" si="99"/>
        <v>0</v>
      </c>
      <c r="AE150" s="897">
        <f t="shared" si="102"/>
        <v>0</v>
      </c>
      <c r="AF150" s="897">
        <f t="shared" si="103"/>
        <v>0</v>
      </c>
      <c r="AG150" s="897">
        <f t="shared" si="104"/>
        <v>0</v>
      </c>
      <c r="AH150" s="1113">
        <f t="shared" si="100"/>
        <v>0</v>
      </c>
      <c r="AI150" s="897">
        <f t="shared" si="101"/>
        <v>0</v>
      </c>
      <c r="AJ150" s="236"/>
      <c r="AK150" s="236"/>
      <c r="AL150" s="236"/>
      <c r="AM150" s="236"/>
    </row>
    <row r="151" spans="1:39" ht="13.5" thickBot="1" x14ac:dyDescent="0.25">
      <c r="A151" s="337">
        <v>2030</v>
      </c>
      <c r="B151" s="355">
        <v>0</v>
      </c>
      <c r="C151" s="356">
        <v>0</v>
      </c>
      <c r="D151" s="356">
        <v>0</v>
      </c>
      <c r="E151" s="356">
        <v>0</v>
      </c>
      <c r="F151" s="356">
        <v>0</v>
      </c>
      <c r="G151" s="356">
        <v>0</v>
      </c>
      <c r="H151" s="356">
        <v>0</v>
      </c>
      <c r="I151" s="356">
        <v>0</v>
      </c>
      <c r="J151" s="356">
        <v>0</v>
      </c>
      <c r="K151" s="356">
        <v>0</v>
      </c>
      <c r="L151" s="366">
        <v>0</v>
      </c>
      <c r="M151" s="319">
        <f t="shared" si="92"/>
        <v>0</v>
      </c>
      <c r="N151" s="321">
        <f t="shared" si="93"/>
        <v>0</v>
      </c>
      <c r="O151" s="355">
        <v>0</v>
      </c>
      <c r="P151" s="356">
        <v>0</v>
      </c>
      <c r="Q151" s="356">
        <v>0</v>
      </c>
      <c r="R151" s="356">
        <v>0</v>
      </c>
      <c r="S151" s="356">
        <v>0</v>
      </c>
      <c r="T151" s="356">
        <v>0</v>
      </c>
      <c r="U151" s="356">
        <v>0</v>
      </c>
      <c r="V151" s="356">
        <v>0</v>
      </c>
      <c r="W151" s="356">
        <v>0</v>
      </c>
      <c r="X151" s="356">
        <v>0</v>
      </c>
      <c r="Y151" s="366">
        <v>0</v>
      </c>
      <c r="Z151" s="319">
        <f t="shared" si="94"/>
        <v>0</v>
      </c>
      <c r="AA151" s="321">
        <f t="shared" si="95"/>
        <v>0</v>
      </c>
      <c r="AB151" s="91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1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920">
        <f t="shared" si="99"/>
        <v>0</v>
      </c>
      <c r="AE151" s="897">
        <f t="shared" si="102"/>
        <v>0</v>
      </c>
      <c r="AF151" s="897">
        <f t="shared" si="103"/>
        <v>0</v>
      </c>
      <c r="AG151" s="897">
        <f t="shared" si="104"/>
        <v>0</v>
      </c>
      <c r="AH151" s="1113">
        <f t="shared" si="100"/>
        <v>0</v>
      </c>
      <c r="AI151" s="897">
        <f t="shared" si="101"/>
        <v>0</v>
      </c>
      <c r="AJ151" s="236"/>
      <c r="AK151" s="236"/>
      <c r="AL151" s="236"/>
      <c r="AM151" s="236"/>
    </row>
    <row r="152" spans="1:39" x14ac:dyDescent="0.2">
      <c r="A152" s="338">
        <v>2031</v>
      </c>
      <c r="B152" s="351">
        <v>0</v>
      </c>
      <c r="C152" s="352">
        <v>0</v>
      </c>
      <c r="D152" s="352">
        <v>0</v>
      </c>
      <c r="E152" s="352">
        <v>0</v>
      </c>
      <c r="F152" s="352">
        <v>0</v>
      </c>
      <c r="G152" s="352">
        <v>0</v>
      </c>
      <c r="H152" s="352">
        <v>0</v>
      </c>
      <c r="I152" s="352">
        <v>0</v>
      </c>
      <c r="J152" s="352">
        <v>0</v>
      </c>
      <c r="K152" s="352">
        <v>0</v>
      </c>
      <c r="L152" s="364">
        <v>0</v>
      </c>
      <c r="M152" s="291">
        <f t="shared" si="92"/>
        <v>0</v>
      </c>
      <c r="N152" s="293">
        <f t="shared" si="93"/>
        <v>0</v>
      </c>
      <c r="O152" s="351">
        <v>0</v>
      </c>
      <c r="P152" s="352">
        <v>0</v>
      </c>
      <c r="Q152" s="352">
        <v>0</v>
      </c>
      <c r="R152" s="352">
        <v>0</v>
      </c>
      <c r="S152" s="352">
        <v>0</v>
      </c>
      <c r="T152" s="352">
        <v>0</v>
      </c>
      <c r="U152" s="352">
        <v>0</v>
      </c>
      <c r="V152" s="352">
        <v>0</v>
      </c>
      <c r="W152" s="352">
        <v>0</v>
      </c>
      <c r="X152" s="352">
        <v>0</v>
      </c>
      <c r="Y152" s="364">
        <v>0</v>
      </c>
      <c r="Z152" s="291">
        <f t="shared" si="94"/>
        <v>0</v>
      </c>
      <c r="AA152" s="293">
        <f t="shared" si="95"/>
        <v>0</v>
      </c>
      <c r="AB152" s="91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1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920">
        <f t="shared" si="99"/>
        <v>0</v>
      </c>
      <c r="AE152" s="897">
        <f t="shared" si="102"/>
        <v>0</v>
      </c>
      <c r="AF152" s="897">
        <f t="shared" si="103"/>
        <v>0</v>
      </c>
      <c r="AG152" s="897">
        <f t="shared" si="104"/>
        <v>0</v>
      </c>
      <c r="AH152" s="1113">
        <f t="shared" si="100"/>
        <v>0</v>
      </c>
      <c r="AI152" s="897">
        <f t="shared" si="101"/>
        <v>0</v>
      </c>
      <c r="AJ152" s="236"/>
      <c r="AK152" s="236"/>
      <c r="AL152" s="236"/>
      <c r="AM152" s="236"/>
    </row>
    <row r="153" spans="1:39" x14ac:dyDescent="0.2">
      <c r="A153" s="339">
        <v>2032</v>
      </c>
      <c r="B153" s="353">
        <v>0</v>
      </c>
      <c r="C153" s="354">
        <v>0</v>
      </c>
      <c r="D153" s="354">
        <v>0</v>
      </c>
      <c r="E153" s="354">
        <v>0</v>
      </c>
      <c r="F153" s="354">
        <v>0</v>
      </c>
      <c r="G153" s="354">
        <v>0</v>
      </c>
      <c r="H153" s="354">
        <v>0</v>
      </c>
      <c r="I153" s="354">
        <v>0</v>
      </c>
      <c r="J153" s="354">
        <v>0</v>
      </c>
      <c r="K153" s="354">
        <v>0</v>
      </c>
      <c r="L153" s="365">
        <v>0</v>
      </c>
      <c r="M153" s="305">
        <f t="shared" si="92"/>
        <v>0</v>
      </c>
      <c r="N153" s="307">
        <f t="shared" si="93"/>
        <v>0</v>
      </c>
      <c r="O153" s="353">
        <v>0</v>
      </c>
      <c r="P153" s="354">
        <v>0</v>
      </c>
      <c r="Q153" s="354">
        <v>0</v>
      </c>
      <c r="R153" s="354">
        <v>0</v>
      </c>
      <c r="S153" s="354">
        <v>0</v>
      </c>
      <c r="T153" s="354">
        <v>0</v>
      </c>
      <c r="U153" s="354">
        <v>0</v>
      </c>
      <c r="V153" s="354">
        <v>0</v>
      </c>
      <c r="W153" s="354">
        <v>0</v>
      </c>
      <c r="X153" s="354">
        <v>0</v>
      </c>
      <c r="Y153" s="365">
        <v>0</v>
      </c>
      <c r="Z153" s="305">
        <f t="shared" si="94"/>
        <v>0</v>
      </c>
      <c r="AA153" s="307">
        <f t="shared" si="95"/>
        <v>0</v>
      </c>
      <c r="AB153" s="91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1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920">
        <f t="shared" si="99"/>
        <v>0</v>
      </c>
      <c r="AE153" s="897">
        <f t="shared" si="102"/>
        <v>0</v>
      </c>
      <c r="AF153" s="897">
        <f t="shared" si="103"/>
        <v>0</v>
      </c>
      <c r="AG153" s="897">
        <f t="shared" si="104"/>
        <v>0</v>
      </c>
      <c r="AH153" s="1113">
        <f t="shared" si="100"/>
        <v>0</v>
      </c>
      <c r="AI153" s="897">
        <f t="shared" si="101"/>
        <v>0</v>
      </c>
      <c r="AJ153" s="236"/>
      <c r="AK153" s="236"/>
      <c r="AL153" s="236"/>
      <c r="AM153" s="236"/>
    </row>
    <row r="154" spans="1:39" x14ac:dyDescent="0.2">
      <c r="A154" s="339">
        <v>2033</v>
      </c>
      <c r="B154" s="353">
        <v>0</v>
      </c>
      <c r="C154" s="354">
        <v>0</v>
      </c>
      <c r="D154" s="354">
        <v>0</v>
      </c>
      <c r="E154" s="354">
        <v>0</v>
      </c>
      <c r="F154" s="354">
        <v>0</v>
      </c>
      <c r="G154" s="354">
        <v>0</v>
      </c>
      <c r="H154" s="354">
        <v>0</v>
      </c>
      <c r="I154" s="354">
        <v>0</v>
      </c>
      <c r="J154" s="354">
        <v>0</v>
      </c>
      <c r="K154" s="354">
        <v>0</v>
      </c>
      <c r="L154" s="365">
        <v>0</v>
      </c>
      <c r="M154" s="305">
        <f t="shared" si="92"/>
        <v>0</v>
      </c>
      <c r="N154" s="307">
        <f t="shared" si="93"/>
        <v>0</v>
      </c>
      <c r="O154" s="353">
        <v>0</v>
      </c>
      <c r="P154" s="354">
        <v>0</v>
      </c>
      <c r="Q154" s="354">
        <v>0</v>
      </c>
      <c r="R154" s="354">
        <v>0</v>
      </c>
      <c r="S154" s="354">
        <v>0</v>
      </c>
      <c r="T154" s="354">
        <v>0</v>
      </c>
      <c r="U154" s="354">
        <v>0</v>
      </c>
      <c r="V154" s="354">
        <v>0</v>
      </c>
      <c r="W154" s="354">
        <v>0</v>
      </c>
      <c r="X154" s="354">
        <v>0</v>
      </c>
      <c r="Y154" s="365">
        <v>0</v>
      </c>
      <c r="Z154" s="305">
        <f t="shared" si="94"/>
        <v>0</v>
      </c>
      <c r="AA154" s="307">
        <f t="shared" si="95"/>
        <v>0</v>
      </c>
      <c r="AB154" s="91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1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920">
        <f t="shared" si="99"/>
        <v>0</v>
      </c>
      <c r="AE154" s="897">
        <f t="shared" si="102"/>
        <v>0</v>
      </c>
      <c r="AF154" s="897">
        <f t="shared" si="103"/>
        <v>0</v>
      </c>
      <c r="AG154" s="897">
        <f t="shared" si="104"/>
        <v>0</v>
      </c>
      <c r="AH154" s="1113">
        <f t="shared" si="100"/>
        <v>0</v>
      </c>
      <c r="AI154" s="897">
        <f t="shared" si="101"/>
        <v>0</v>
      </c>
      <c r="AJ154" s="236"/>
      <c r="AK154" s="236"/>
      <c r="AL154" s="236"/>
      <c r="AM154" s="236"/>
    </row>
    <row r="155" spans="1:39" x14ac:dyDescent="0.2">
      <c r="A155" s="339">
        <v>2034</v>
      </c>
      <c r="B155" s="353">
        <v>0</v>
      </c>
      <c r="C155" s="354">
        <v>0</v>
      </c>
      <c r="D155" s="354">
        <v>0</v>
      </c>
      <c r="E155" s="354">
        <v>0</v>
      </c>
      <c r="F155" s="354">
        <v>0</v>
      </c>
      <c r="G155" s="354">
        <v>0</v>
      </c>
      <c r="H155" s="354">
        <v>0</v>
      </c>
      <c r="I155" s="354">
        <v>0</v>
      </c>
      <c r="J155" s="354">
        <v>0</v>
      </c>
      <c r="K155" s="354">
        <v>0</v>
      </c>
      <c r="L155" s="365">
        <v>0</v>
      </c>
      <c r="M155" s="305">
        <f t="shared" si="92"/>
        <v>0</v>
      </c>
      <c r="N155" s="307">
        <f t="shared" si="93"/>
        <v>0</v>
      </c>
      <c r="O155" s="353">
        <v>0</v>
      </c>
      <c r="P155" s="354">
        <v>0</v>
      </c>
      <c r="Q155" s="354">
        <v>0</v>
      </c>
      <c r="R155" s="354">
        <v>0</v>
      </c>
      <c r="S155" s="354">
        <v>0</v>
      </c>
      <c r="T155" s="354">
        <v>0</v>
      </c>
      <c r="U155" s="354">
        <v>0</v>
      </c>
      <c r="V155" s="354">
        <v>0</v>
      </c>
      <c r="W155" s="354">
        <v>0</v>
      </c>
      <c r="X155" s="354">
        <v>0</v>
      </c>
      <c r="Y155" s="365">
        <v>0</v>
      </c>
      <c r="Z155" s="305">
        <f t="shared" si="94"/>
        <v>0</v>
      </c>
      <c r="AA155" s="307">
        <f t="shared" si="95"/>
        <v>0</v>
      </c>
      <c r="AB155" s="91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1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920">
        <f t="shared" si="99"/>
        <v>0</v>
      </c>
      <c r="AE155" s="897">
        <f t="shared" si="102"/>
        <v>0</v>
      </c>
      <c r="AF155" s="897">
        <f t="shared" si="103"/>
        <v>0</v>
      </c>
      <c r="AG155" s="897">
        <f t="shared" si="104"/>
        <v>0</v>
      </c>
      <c r="AH155" s="1113">
        <f t="shared" si="100"/>
        <v>0</v>
      </c>
      <c r="AI155" s="897">
        <f t="shared" si="101"/>
        <v>0</v>
      </c>
      <c r="AJ155" s="236"/>
      <c r="AK155" s="236"/>
      <c r="AL155" s="236"/>
      <c r="AM155" s="236"/>
    </row>
    <row r="156" spans="1:39" ht="13.5" thickBot="1" x14ac:dyDescent="0.25">
      <c r="A156" s="337">
        <v>2035</v>
      </c>
      <c r="B156" s="355">
        <v>0</v>
      </c>
      <c r="C156" s="356">
        <v>0</v>
      </c>
      <c r="D156" s="356">
        <v>0</v>
      </c>
      <c r="E156" s="356">
        <v>0</v>
      </c>
      <c r="F156" s="356">
        <v>0</v>
      </c>
      <c r="G156" s="356">
        <v>0</v>
      </c>
      <c r="H156" s="356">
        <v>0</v>
      </c>
      <c r="I156" s="356">
        <v>0</v>
      </c>
      <c r="J156" s="356">
        <v>0</v>
      </c>
      <c r="K156" s="356">
        <v>0</v>
      </c>
      <c r="L156" s="366">
        <v>0</v>
      </c>
      <c r="M156" s="319">
        <f t="shared" si="92"/>
        <v>0</v>
      </c>
      <c r="N156" s="321">
        <f t="shared" si="93"/>
        <v>0</v>
      </c>
      <c r="O156" s="355">
        <v>0</v>
      </c>
      <c r="P156" s="356">
        <v>0</v>
      </c>
      <c r="Q156" s="356">
        <v>0</v>
      </c>
      <c r="R156" s="356">
        <v>0</v>
      </c>
      <c r="S156" s="356">
        <v>0</v>
      </c>
      <c r="T156" s="356">
        <v>0</v>
      </c>
      <c r="U156" s="356">
        <v>0</v>
      </c>
      <c r="V156" s="356">
        <v>0</v>
      </c>
      <c r="W156" s="356">
        <v>0</v>
      </c>
      <c r="X156" s="356">
        <v>0</v>
      </c>
      <c r="Y156" s="366">
        <v>0</v>
      </c>
      <c r="Z156" s="319">
        <f t="shared" si="94"/>
        <v>0</v>
      </c>
      <c r="AA156" s="321">
        <f t="shared" si="95"/>
        <v>0</v>
      </c>
      <c r="AB156" s="91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1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920">
        <f t="shared" si="99"/>
        <v>0</v>
      </c>
      <c r="AE156" s="897">
        <f t="shared" si="102"/>
        <v>0</v>
      </c>
      <c r="AF156" s="897">
        <f t="shared" si="103"/>
        <v>0</v>
      </c>
      <c r="AG156" s="897">
        <f t="shared" si="104"/>
        <v>0</v>
      </c>
      <c r="AH156" s="1113">
        <f t="shared" si="100"/>
        <v>0</v>
      </c>
      <c r="AI156" s="897">
        <f t="shared" si="101"/>
        <v>0</v>
      </c>
      <c r="AJ156" s="236"/>
      <c r="AK156" s="236"/>
      <c r="AL156" s="236"/>
      <c r="AM156" s="236"/>
    </row>
    <row r="157" spans="1:39" x14ac:dyDescent="0.2">
      <c r="A157" s="338">
        <v>2036</v>
      </c>
      <c r="B157" s="351">
        <v>0</v>
      </c>
      <c r="C157" s="352">
        <v>0</v>
      </c>
      <c r="D157" s="352">
        <v>0</v>
      </c>
      <c r="E157" s="352">
        <v>0</v>
      </c>
      <c r="F157" s="352">
        <v>0</v>
      </c>
      <c r="G157" s="352">
        <v>0</v>
      </c>
      <c r="H157" s="352">
        <v>0</v>
      </c>
      <c r="I157" s="352">
        <v>0</v>
      </c>
      <c r="J157" s="352">
        <v>0</v>
      </c>
      <c r="K157" s="352">
        <v>0</v>
      </c>
      <c r="L157" s="364">
        <v>0</v>
      </c>
      <c r="M157" s="291">
        <f t="shared" si="92"/>
        <v>0</v>
      </c>
      <c r="N157" s="293">
        <f t="shared" si="93"/>
        <v>0</v>
      </c>
      <c r="O157" s="351">
        <v>0</v>
      </c>
      <c r="P157" s="352">
        <v>0</v>
      </c>
      <c r="Q157" s="352">
        <v>0</v>
      </c>
      <c r="R157" s="352">
        <v>0</v>
      </c>
      <c r="S157" s="352">
        <v>0</v>
      </c>
      <c r="T157" s="352">
        <v>0</v>
      </c>
      <c r="U157" s="352">
        <v>0</v>
      </c>
      <c r="V157" s="352">
        <v>0</v>
      </c>
      <c r="W157" s="352">
        <v>0</v>
      </c>
      <c r="X157" s="352">
        <v>0</v>
      </c>
      <c r="Y157" s="364">
        <v>0</v>
      </c>
      <c r="Z157" s="291">
        <f t="shared" si="94"/>
        <v>0</v>
      </c>
      <c r="AA157" s="293">
        <f t="shared" si="95"/>
        <v>0</v>
      </c>
      <c r="AB157" s="91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1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920">
        <f t="shared" si="99"/>
        <v>0</v>
      </c>
      <c r="AE157" s="897">
        <f t="shared" si="102"/>
        <v>0</v>
      </c>
      <c r="AF157" s="897">
        <f t="shared" si="103"/>
        <v>0</v>
      </c>
      <c r="AG157" s="897">
        <f t="shared" si="104"/>
        <v>0</v>
      </c>
      <c r="AH157" s="1113">
        <f t="shared" si="100"/>
        <v>0</v>
      </c>
      <c r="AI157" s="897">
        <f t="shared" si="101"/>
        <v>0</v>
      </c>
      <c r="AJ157" s="236"/>
      <c r="AK157" s="236"/>
      <c r="AL157" s="236"/>
      <c r="AM157" s="236"/>
    </row>
    <row r="158" spans="1:39" x14ac:dyDescent="0.2">
      <c r="A158" s="339">
        <v>2037</v>
      </c>
      <c r="B158" s="353">
        <v>0</v>
      </c>
      <c r="C158" s="354">
        <v>0</v>
      </c>
      <c r="D158" s="354">
        <v>0</v>
      </c>
      <c r="E158" s="354">
        <v>0</v>
      </c>
      <c r="F158" s="354">
        <v>0</v>
      </c>
      <c r="G158" s="354">
        <v>0</v>
      </c>
      <c r="H158" s="354">
        <v>0</v>
      </c>
      <c r="I158" s="354">
        <v>0</v>
      </c>
      <c r="J158" s="354">
        <v>0</v>
      </c>
      <c r="K158" s="354">
        <v>0</v>
      </c>
      <c r="L158" s="365">
        <v>0</v>
      </c>
      <c r="M158" s="305">
        <f t="shared" si="92"/>
        <v>0</v>
      </c>
      <c r="N158" s="307">
        <f t="shared" si="93"/>
        <v>0</v>
      </c>
      <c r="O158" s="353">
        <v>0</v>
      </c>
      <c r="P158" s="354">
        <v>0</v>
      </c>
      <c r="Q158" s="354">
        <v>0</v>
      </c>
      <c r="R158" s="354">
        <v>0</v>
      </c>
      <c r="S158" s="354">
        <v>0</v>
      </c>
      <c r="T158" s="354">
        <v>0</v>
      </c>
      <c r="U158" s="354">
        <v>0</v>
      </c>
      <c r="V158" s="354">
        <v>0</v>
      </c>
      <c r="W158" s="354">
        <v>0</v>
      </c>
      <c r="X158" s="354">
        <v>0</v>
      </c>
      <c r="Y158" s="365">
        <v>0</v>
      </c>
      <c r="Z158" s="305">
        <f t="shared" si="94"/>
        <v>0</v>
      </c>
      <c r="AA158" s="307">
        <f t="shared" si="95"/>
        <v>0</v>
      </c>
      <c r="AB158" s="91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1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920">
        <f t="shared" si="99"/>
        <v>0</v>
      </c>
      <c r="AE158" s="897">
        <f t="shared" si="102"/>
        <v>0</v>
      </c>
      <c r="AF158" s="897">
        <f t="shared" si="103"/>
        <v>0</v>
      </c>
      <c r="AG158" s="897">
        <f t="shared" si="104"/>
        <v>0</v>
      </c>
      <c r="AH158" s="1113">
        <f t="shared" si="100"/>
        <v>0</v>
      </c>
      <c r="AI158" s="897">
        <f t="shared" si="101"/>
        <v>0</v>
      </c>
      <c r="AJ158" s="236"/>
      <c r="AK158" s="236"/>
      <c r="AL158" s="236"/>
      <c r="AM158" s="236"/>
    </row>
    <row r="159" spans="1:39" x14ac:dyDescent="0.2">
      <c r="A159" s="339">
        <v>2038</v>
      </c>
      <c r="B159" s="353">
        <v>0</v>
      </c>
      <c r="C159" s="354">
        <v>0</v>
      </c>
      <c r="D159" s="354">
        <v>0</v>
      </c>
      <c r="E159" s="354">
        <v>0</v>
      </c>
      <c r="F159" s="354">
        <v>0</v>
      </c>
      <c r="G159" s="354">
        <v>0</v>
      </c>
      <c r="H159" s="354">
        <v>0</v>
      </c>
      <c r="I159" s="354">
        <v>0</v>
      </c>
      <c r="J159" s="354">
        <v>0</v>
      </c>
      <c r="K159" s="354">
        <v>0</v>
      </c>
      <c r="L159" s="365">
        <v>0</v>
      </c>
      <c r="M159" s="305">
        <f t="shared" si="92"/>
        <v>0</v>
      </c>
      <c r="N159" s="307">
        <f t="shared" si="93"/>
        <v>0</v>
      </c>
      <c r="O159" s="353">
        <v>0</v>
      </c>
      <c r="P159" s="354">
        <v>0</v>
      </c>
      <c r="Q159" s="354">
        <v>0</v>
      </c>
      <c r="R159" s="354">
        <v>0</v>
      </c>
      <c r="S159" s="354">
        <v>0</v>
      </c>
      <c r="T159" s="354">
        <v>0</v>
      </c>
      <c r="U159" s="354">
        <v>0</v>
      </c>
      <c r="V159" s="354">
        <v>0</v>
      </c>
      <c r="W159" s="354">
        <v>0</v>
      </c>
      <c r="X159" s="354">
        <v>0</v>
      </c>
      <c r="Y159" s="365">
        <v>0</v>
      </c>
      <c r="Z159" s="305">
        <f t="shared" si="94"/>
        <v>0</v>
      </c>
      <c r="AA159" s="307">
        <f t="shared" si="95"/>
        <v>0</v>
      </c>
      <c r="AB159" s="91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1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920">
        <f t="shared" si="99"/>
        <v>0</v>
      </c>
      <c r="AE159" s="897">
        <f t="shared" si="102"/>
        <v>0</v>
      </c>
      <c r="AF159" s="897">
        <f t="shared" si="103"/>
        <v>0</v>
      </c>
      <c r="AG159" s="897">
        <f t="shared" si="104"/>
        <v>0</v>
      </c>
      <c r="AH159" s="1113">
        <f t="shared" si="100"/>
        <v>0</v>
      </c>
      <c r="AI159" s="897">
        <f t="shared" si="101"/>
        <v>0</v>
      </c>
      <c r="AJ159" s="236"/>
      <c r="AK159" s="236"/>
      <c r="AL159" s="236"/>
      <c r="AM159" s="236"/>
    </row>
    <row r="160" spans="1:39" x14ac:dyDescent="0.2">
      <c r="A160" s="339">
        <v>2039</v>
      </c>
      <c r="B160" s="353">
        <v>0</v>
      </c>
      <c r="C160" s="354">
        <v>0</v>
      </c>
      <c r="D160" s="354">
        <v>0</v>
      </c>
      <c r="E160" s="354">
        <v>0</v>
      </c>
      <c r="F160" s="354">
        <v>0</v>
      </c>
      <c r="G160" s="354">
        <v>0</v>
      </c>
      <c r="H160" s="354">
        <v>0</v>
      </c>
      <c r="I160" s="354">
        <v>0</v>
      </c>
      <c r="J160" s="354">
        <v>0</v>
      </c>
      <c r="K160" s="354">
        <v>0</v>
      </c>
      <c r="L160" s="365">
        <v>0</v>
      </c>
      <c r="M160" s="305">
        <f t="shared" si="92"/>
        <v>0</v>
      </c>
      <c r="N160" s="307">
        <f t="shared" si="93"/>
        <v>0</v>
      </c>
      <c r="O160" s="353">
        <v>0</v>
      </c>
      <c r="P160" s="354">
        <v>0</v>
      </c>
      <c r="Q160" s="354">
        <v>0</v>
      </c>
      <c r="R160" s="354">
        <v>0</v>
      </c>
      <c r="S160" s="354">
        <v>0</v>
      </c>
      <c r="T160" s="354">
        <v>0</v>
      </c>
      <c r="U160" s="354">
        <v>0</v>
      </c>
      <c r="V160" s="354">
        <v>0</v>
      </c>
      <c r="W160" s="354">
        <v>0</v>
      </c>
      <c r="X160" s="354">
        <v>0</v>
      </c>
      <c r="Y160" s="365">
        <v>0</v>
      </c>
      <c r="Z160" s="305">
        <f t="shared" si="94"/>
        <v>0</v>
      </c>
      <c r="AA160" s="307">
        <f t="shared" si="95"/>
        <v>0</v>
      </c>
      <c r="AB160" s="91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1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920">
        <f t="shared" si="99"/>
        <v>0</v>
      </c>
      <c r="AE160" s="897">
        <f t="shared" si="102"/>
        <v>0</v>
      </c>
      <c r="AF160" s="897">
        <f t="shared" si="103"/>
        <v>0</v>
      </c>
      <c r="AG160" s="897">
        <f t="shared" si="104"/>
        <v>0</v>
      </c>
      <c r="AH160" s="1113">
        <f t="shared" si="100"/>
        <v>0</v>
      </c>
      <c r="AI160" s="897">
        <f t="shared" si="101"/>
        <v>0</v>
      </c>
      <c r="AJ160" s="236"/>
      <c r="AK160" s="236"/>
      <c r="AL160" s="236"/>
      <c r="AM160" s="236"/>
    </row>
    <row r="161" spans="1:39" ht="13.5" thickBot="1" x14ac:dyDescent="0.25">
      <c r="A161" s="337">
        <v>2040</v>
      </c>
      <c r="B161" s="355">
        <v>0</v>
      </c>
      <c r="C161" s="356">
        <v>0</v>
      </c>
      <c r="D161" s="356">
        <v>0</v>
      </c>
      <c r="E161" s="356">
        <v>0</v>
      </c>
      <c r="F161" s="356">
        <v>0</v>
      </c>
      <c r="G161" s="356">
        <v>0</v>
      </c>
      <c r="H161" s="356">
        <v>0</v>
      </c>
      <c r="I161" s="356">
        <v>0</v>
      </c>
      <c r="J161" s="356">
        <v>0</v>
      </c>
      <c r="K161" s="356">
        <v>0</v>
      </c>
      <c r="L161" s="366">
        <v>0</v>
      </c>
      <c r="M161" s="319">
        <f t="shared" si="92"/>
        <v>0</v>
      </c>
      <c r="N161" s="321">
        <f t="shared" si="93"/>
        <v>0</v>
      </c>
      <c r="O161" s="355">
        <v>0</v>
      </c>
      <c r="P161" s="356">
        <v>0</v>
      </c>
      <c r="Q161" s="356">
        <v>0</v>
      </c>
      <c r="R161" s="356">
        <v>0</v>
      </c>
      <c r="S161" s="356">
        <v>0</v>
      </c>
      <c r="T161" s="356">
        <v>0</v>
      </c>
      <c r="U161" s="356">
        <v>0</v>
      </c>
      <c r="V161" s="356">
        <v>0</v>
      </c>
      <c r="W161" s="356">
        <v>0</v>
      </c>
      <c r="X161" s="356">
        <v>0</v>
      </c>
      <c r="Y161" s="366">
        <v>0</v>
      </c>
      <c r="Z161" s="319">
        <f t="shared" si="94"/>
        <v>0</v>
      </c>
      <c r="AA161" s="321">
        <f t="shared" si="95"/>
        <v>0</v>
      </c>
      <c r="AB161" s="91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1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920">
        <f t="shared" si="99"/>
        <v>0</v>
      </c>
      <c r="AE161" s="897">
        <f t="shared" si="102"/>
        <v>0</v>
      </c>
      <c r="AF161" s="897">
        <f t="shared" si="103"/>
        <v>0</v>
      </c>
      <c r="AG161" s="897">
        <f t="shared" si="104"/>
        <v>0</v>
      </c>
      <c r="AH161" s="1113">
        <f t="shared" si="100"/>
        <v>0</v>
      </c>
      <c r="AI161" s="897">
        <f t="shared" si="101"/>
        <v>0</v>
      </c>
      <c r="AJ161" s="236"/>
      <c r="AK161" s="236"/>
      <c r="AL161" s="236"/>
      <c r="AM161" s="236"/>
    </row>
    <row r="162" spans="1:39" x14ac:dyDescent="0.2">
      <c r="A162" s="338">
        <v>2041</v>
      </c>
      <c r="B162" s="351">
        <v>0</v>
      </c>
      <c r="C162" s="352">
        <v>0</v>
      </c>
      <c r="D162" s="352">
        <v>0</v>
      </c>
      <c r="E162" s="352">
        <v>0</v>
      </c>
      <c r="F162" s="352">
        <v>0</v>
      </c>
      <c r="G162" s="352">
        <v>0</v>
      </c>
      <c r="H162" s="352">
        <v>0</v>
      </c>
      <c r="I162" s="352">
        <v>0</v>
      </c>
      <c r="J162" s="352">
        <v>0</v>
      </c>
      <c r="K162" s="352">
        <v>0</v>
      </c>
      <c r="L162" s="364">
        <v>0</v>
      </c>
      <c r="M162" s="291">
        <f t="shared" si="92"/>
        <v>0</v>
      </c>
      <c r="N162" s="293">
        <f t="shared" si="93"/>
        <v>0</v>
      </c>
      <c r="O162" s="351">
        <v>0</v>
      </c>
      <c r="P162" s="352">
        <v>0</v>
      </c>
      <c r="Q162" s="352">
        <v>0</v>
      </c>
      <c r="R162" s="352">
        <v>0</v>
      </c>
      <c r="S162" s="352">
        <v>0</v>
      </c>
      <c r="T162" s="352">
        <v>0</v>
      </c>
      <c r="U162" s="352">
        <v>0</v>
      </c>
      <c r="V162" s="352">
        <v>0</v>
      </c>
      <c r="W162" s="352">
        <v>0</v>
      </c>
      <c r="X162" s="352">
        <v>0</v>
      </c>
      <c r="Y162" s="364">
        <v>0</v>
      </c>
      <c r="Z162" s="291">
        <f t="shared" si="94"/>
        <v>0</v>
      </c>
      <c r="AA162" s="293">
        <f t="shared" si="95"/>
        <v>0</v>
      </c>
      <c r="AB162" s="91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1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920">
        <f t="shared" si="99"/>
        <v>0</v>
      </c>
      <c r="AE162" s="897">
        <f t="shared" si="102"/>
        <v>0</v>
      </c>
      <c r="AF162" s="897">
        <f t="shared" si="103"/>
        <v>0</v>
      </c>
      <c r="AG162" s="897">
        <f t="shared" si="104"/>
        <v>0</v>
      </c>
      <c r="AH162" s="1113">
        <f t="shared" si="100"/>
        <v>0</v>
      </c>
      <c r="AI162" s="897">
        <f t="shared" si="101"/>
        <v>0</v>
      </c>
      <c r="AJ162" s="236"/>
      <c r="AK162" s="236"/>
      <c r="AL162" s="236"/>
      <c r="AM162" s="236"/>
    </row>
    <row r="163" spans="1:39" x14ac:dyDescent="0.2">
      <c r="A163" s="339">
        <v>2042</v>
      </c>
      <c r="B163" s="353">
        <v>0</v>
      </c>
      <c r="C163" s="354">
        <v>0</v>
      </c>
      <c r="D163" s="354">
        <v>0</v>
      </c>
      <c r="E163" s="354">
        <v>0</v>
      </c>
      <c r="F163" s="354">
        <v>0</v>
      </c>
      <c r="G163" s="354">
        <v>0</v>
      </c>
      <c r="H163" s="354">
        <v>0</v>
      </c>
      <c r="I163" s="354">
        <v>0</v>
      </c>
      <c r="J163" s="354">
        <v>0</v>
      </c>
      <c r="K163" s="354">
        <v>0</v>
      </c>
      <c r="L163" s="365">
        <v>0</v>
      </c>
      <c r="M163" s="305">
        <f t="shared" si="92"/>
        <v>0</v>
      </c>
      <c r="N163" s="307">
        <f t="shared" si="93"/>
        <v>0</v>
      </c>
      <c r="O163" s="353">
        <v>0</v>
      </c>
      <c r="P163" s="354">
        <v>0</v>
      </c>
      <c r="Q163" s="354">
        <v>0</v>
      </c>
      <c r="R163" s="354">
        <v>0</v>
      </c>
      <c r="S163" s="354">
        <v>0</v>
      </c>
      <c r="T163" s="354">
        <v>0</v>
      </c>
      <c r="U163" s="354">
        <v>0</v>
      </c>
      <c r="V163" s="354">
        <v>0</v>
      </c>
      <c r="W163" s="354">
        <v>0</v>
      </c>
      <c r="X163" s="354">
        <v>0</v>
      </c>
      <c r="Y163" s="365">
        <v>0</v>
      </c>
      <c r="Z163" s="305">
        <f t="shared" si="94"/>
        <v>0</v>
      </c>
      <c r="AA163" s="307">
        <f t="shared" si="95"/>
        <v>0</v>
      </c>
      <c r="AB163" s="91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1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920">
        <f t="shared" si="99"/>
        <v>0</v>
      </c>
      <c r="AE163" s="897">
        <f t="shared" si="102"/>
        <v>0</v>
      </c>
      <c r="AF163" s="897">
        <f t="shared" si="103"/>
        <v>0</v>
      </c>
      <c r="AG163" s="897">
        <f t="shared" si="104"/>
        <v>0</v>
      </c>
      <c r="AH163" s="1113">
        <f t="shared" si="100"/>
        <v>0</v>
      </c>
      <c r="AI163" s="897">
        <f t="shared" si="101"/>
        <v>0</v>
      </c>
      <c r="AJ163" s="236"/>
      <c r="AK163" s="236"/>
      <c r="AL163" s="236"/>
      <c r="AM163" s="236"/>
    </row>
    <row r="164" spans="1:39" x14ac:dyDescent="0.2">
      <c r="A164" s="339">
        <v>2043</v>
      </c>
      <c r="B164" s="353">
        <v>0</v>
      </c>
      <c r="C164" s="354">
        <v>0</v>
      </c>
      <c r="D164" s="354">
        <v>0</v>
      </c>
      <c r="E164" s="354">
        <v>0</v>
      </c>
      <c r="F164" s="354">
        <v>0</v>
      </c>
      <c r="G164" s="354">
        <v>0</v>
      </c>
      <c r="H164" s="354">
        <v>0</v>
      </c>
      <c r="I164" s="354">
        <v>0</v>
      </c>
      <c r="J164" s="354">
        <v>0</v>
      </c>
      <c r="K164" s="354">
        <v>0</v>
      </c>
      <c r="L164" s="365">
        <v>0</v>
      </c>
      <c r="M164" s="305">
        <f t="shared" si="92"/>
        <v>0</v>
      </c>
      <c r="N164" s="307">
        <f t="shared" si="93"/>
        <v>0</v>
      </c>
      <c r="O164" s="353">
        <v>0</v>
      </c>
      <c r="P164" s="354">
        <v>0</v>
      </c>
      <c r="Q164" s="354">
        <v>0</v>
      </c>
      <c r="R164" s="354">
        <v>0</v>
      </c>
      <c r="S164" s="354">
        <v>0</v>
      </c>
      <c r="T164" s="354">
        <v>0</v>
      </c>
      <c r="U164" s="354">
        <v>0</v>
      </c>
      <c r="V164" s="354">
        <v>0</v>
      </c>
      <c r="W164" s="354">
        <v>0</v>
      </c>
      <c r="X164" s="354">
        <v>0</v>
      </c>
      <c r="Y164" s="365">
        <v>0</v>
      </c>
      <c r="Z164" s="305">
        <f t="shared" si="94"/>
        <v>0</v>
      </c>
      <c r="AA164" s="307">
        <f t="shared" si="95"/>
        <v>0</v>
      </c>
      <c r="AB164" s="91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1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920">
        <f t="shared" si="99"/>
        <v>0</v>
      </c>
      <c r="AE164" s="897">
        <f t="shared" si="102"/>
        <v>0</v>
      </c>
      <c r="AF164" s="897">
        <f t="shared" si="103"/>
        <v>0</v>
      </c>
      <c r="AG164" s="897">
        <f t="shared" si="104"/>
        <v>0</v>
      </c>
      <c r="AH164" s="1113">
        <f t="shared" si="100"/>
        <v>0</v>
      </c>
      <c r="AI164" s="897">
        <f t="shared" si="101"/>
        <v>0</v>
      </c>
      <c r="AJ164" s="236"/>
      <c r="AK164" s="236"/>
      <c r="AL164" s="236"/>
      <c r="AM164" s="236"/>
    </row>
    <row r="165" spans="1:39" x14ac:dyDescent="0.2">
      <c r="A165" s="339">
        <v>2044</v>
      </c>
      <c r="B165" s="353">
        <v>0</v>
      </c>
      <c r="C165" s="354">
        <v>0</v>
      </c>
      <c r="D165" s="354">
        <v>0</v>
      </c>
      <c r="E165" s="354">
        <v>0</v>
      </c>
      <c r="F165" s="354">
        <v>0</v>
      </c>
      <c r="G165" s="354">
        <v>0</v>
      </c>
      <c r="H165" s="354">
        <v>0</v>
      </c>
      <c r="I165" s="354">
        <v>0</v>
      </c>
      <c r="J165" s="354">
        <v>0</v>
      </c>
      <c r="K165" s="354">
        <v>0</v>
      </c>
      <c r="L165" s="365">
        <v>0</v>
      </c>
      <c r="M165" s="305">
        <f t="shared" si="92"/>
        <v>0</v>
      </c>
      <c r="N165" s="307">
        <f t="shared" si="93"/>
        <v>0</v>
      </c>
      <c r="O165" s="353">
        <v>0</v>
      </c>
      <c r="P165" s="354">
        <v>0</v>
      </c>
      <c r="Q165" s="354">
        <v>0</v>
      </c>
      <c r="R165" s="354">
        <v>0</v>
      </c>
      <c r="S165" s="354">
        <v>0</v>
      </c>
      <c r="T165" s="354">
        <v>0</v>
      </c>
      <c r="U165" s="354">
        <v>0</v>
      </c>
      <c r="V165" s="354">
        <v>0</v>
      </c>
      <c r="W165" s="354">
        <v>0</v>
      </c>
      <c r="X165" s="354">
        <v>0</v>
      </c>
      <c r="Y165" s="365">
        <v>0</v>
      </c>
      <c r="Z165" s="305">
        <f t="shared" si="94"/>
        <v>0</v>
      </c>
      <c r="AA165" s="307">
        <f t="shared" si="95"/>
        <v>0</v>
      </c>
      <c r="AB165" s="91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1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920">
        <f t="shared" si="99"/>
        <v>0</v>
      </c>
      <c r="AE165" s="897">
        <f t="shared" si="102"/>
        <v>0</v>
      </c>
      <c r="AF165" s="897">
        <f t="shared" si="103"/>
        <v>0</v>
      </c>
      <c r="AG165" s="897">
        <f t="shared" si="104"/>
        <v>0</v>
      </c>
      <c r="AH165" s="1113">
        <f t="shared" si="100"/>
        <v>0</v>
      </c>
      <c r="AI165" s="897">
        <f t="shared" si="101"/>
        <v>0</v>
      </c>
      <c r="AJ165" s="236"/>
      <c r="AK165" s="236"/>
      <c r="AL165" s="236"/>
      <c r="AM165" s="236"/>
    </row>
    <row r="166" spans="1:39" ht="13.5" thickBot="1" x14ac:dyDescent="0.25">
      <c r="A166" s="337">
        <v>2045</v>
      </c>
      <c r="B166" s="355">
        <v>0</v>
      </c>
      <c r="C166" s="356">
        <v>0</v>
      </c>
      <c r="D166" s="356">
        <v>0</v>
      </c>
      <c r="E166" s="356">
        <v>0</v>
      </c>
      <c r="F166" s="356">
        <v>0</v>
      </c>
      <c r="G166" s="356">
        <v>0</v>
      </c>
      <c r="H166" s="356">
        <v>0</v>
      </c>
      <c r="I166" s="356">
        <v>0</v>
      </c>
      <c r="J166" s="356">
        <v>0</v>
      </c>
      <c r="K166" s="356">
        <v>0</v>
      </c>
      <c r="L166" s="366">
        <v>0</v>
      </c>
      <c r="M166" s="319">
        <f t="shared" si="92"/>
        <v>0</v>
      </c>
      <c r="N166" s="321">
        <f t="shared" si="93"/>
        <v>0</v>
      </c>
      <c r="O166" s="355">
        <v>0</v>
      </c>
      <c r="P166" s="356">
        <v>0</v>
      </c>
      <c r="Q166" s="356">
        <v>0</v>
      </c>
      <c r="R166" s="356">
        <v>0</v>
      </c>
      <c r="S166" s="356">
        <v>0</v>
      </c>
      <c r="T166" s="356">
        <v>0</v>
      </c>
      <c r="U166" s="356">
        <v>0</v>
      </c>
      <c r="V166" s="356">
        <v>0</v>
      </c>
      <c r="W166" s="356">
        <v>0</v>
      </c>
      <c r="X166" s="356">
        <v>0</v>
      </c>
      <c r="Y166" s="366">
        <v>0</v>
      </c>
      <c r="Z166" s="319">
        <f t="shared" si="94"/>
        <v>0</v>
      </c>
      <c r="AA166" s="321">
        <f t="shared" si="95"/>
        <v>0</v>
      </c>
      <c r="AB166" s="91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1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920">
        <f t="shared" si="99"/>
        <v>0</v>
      </c>
      <c r="AE166" s="897">
        <f t="shared" si="102"/>
        <v>0</v>
      </c>
      <c r="AF166" s="897">
        <f t="shared" si="103"/>
        <v>0</v>
      </c>
      <c r="AG166" s="897">
        <f t="shared" si="104"/>
        <v>0</v>
      </c>
      <c r="AH166" s="1113">
        <f t="shared" si="100"/>
        <v>0</v>
      </c>
      <c r="AI166" s="897">
        <f t="shared" si="101"/>
        <v>0</v>
      </c>
      <c r="AJ166" s="236"/>
      <c r="AK166" s="236"/>
      <c r="AL166" s="236"/>
      <c r="AM166" s="236"/>
    </row>
    <row r="167" spans="1:39" x14ac:dyDescent="0.2">
      <c r="A167" s="338">
        <v>2046</v>
      </c>
      <c r="B167" s="351">
        <v>0</v>
      </c>
      <c r="C167" s="352">
        <v>0</v>
      </c>
      <c r="D167" s="352">
        <v>0</v>
      </c>
      <c r="E167" s="352">
        <v>0</v>
      </c>
      <c r="F167" s="352">
        <v>0</v>
      </c>
      <c r="G167" s="352">
        <v>0</v>
      </c>
      <c r="H167" s="352">
        <v>0</v>
      </c>
      <c r="I167" s="352">
        <v>0</v>
      </c>
      <c r="J167" s="352">
        <v>0</v>
      </c>
      <c r="K167" s="352">
        <v>0</v>
      </c>
      <c r="L167" s="364">
        <v>0</v>
      </c>
      <c r="M167" s="291">
        <f t="shared" si="92"/>
        <v>0</v>
      </c>
      <c r="N167" s="293">
        <f t="shared" si="93"/>
        <v>0</v>
      </c>
      <c r="O167" s="351">
        <v>0</v>
      </c>
      <c r="P167" s="352">
        <v>0</v>
      </c>
      <c r="Q167" s="352">
        <v>0</v>
      </c>
      <c r="R167" s="352">
        <v>0</v>
      </c>
      <c r="S167" s="352">
        <v>0</v>
      </c>
      <c r="T167" s="352">
        <v>0</v>
      </c>
      <c r="U167" s="352">
        <v>0</v>
      </c>
      <c r="V167" s="352">
        <v>0</v>
      </c>
      <c r="W167" s="352">
        <v>0</v>
      </c>
      <c r="X167" s="352">
        <v>0</v>
      </c>
      <c r="Y167" s="364">
        <v>0</v>
      </c>
      <c r="Z167" s="291">
        <f t="shared" si="94"/>
        <v>0</v>
      </c>
      <c r="AA167" s="293">
        <f t="shared" si="95"/>
        <v>0</v>
      </c>
      <c r="AB167" s="91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1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920">
        <f t="shared" si="99"/>
        <v>0</v>
      </c>
      <c r="AE167" s="897">
        <f t="shared" si="102"/>
        <v>0</v>
      </c>
      <c r="AF167" s="897">
        <f t="shared" si="103"/>
        <v>0</v>
      </c>
      <c r="AG167" s="897">
        <f t="shared" si="104"/>
        <v>0</v>
      </c>
      <c r="AH167" s="1113">
        <f t="shared" si="100"/>
        <v>0</v>
      </c>
      <c r="AI167" s="897">
        <f t="shared" si="101"/>
        <v>0</v>
      </c>
      <c r="AJ167" s="236"/>
      <c r="AK167" s="236"/>
      <c r="AL167" s="236"/>
      <c r="AM167" s="236"/>
    </row>
    <row r="168" spans="1:39" x14ac:dyDescent="0.2">
      <c r="A168" s="339">
        <v>2047</v>
      </c>
      <c r="B168" s="353">
        <v>0</v>
      </c>
      <c r="C168" s="354">
        <v>0</v>
      </c>
      <c r="D168" s="354">
        <v>0</v>
      </c>
      <c r="E168" s="354">
        <v>0</v>
      </c>
      <c r="F168" s="354">
        <v>0</v>
      </c>
      <c r="G168" s="354">
        <v>0</v>
      </c>
      <c r="H168" s="354">
        <v>0</v>
      </c>
      <c r="I168" s="354">
        <v>0</v>
      </c>
      <c r="J168" s="354">
        <v>0</v>
      </c>
      <c r="K168" s="354">
        <v>0</v>
      </c>
      <c r="L168" s="365">
        <v>0</v>
      </c>
      <c r="M168" s="305">
        <f t="shared" si="92"/>
        <v>0</v>
      </c>
      <c r="N168" s="307">
        <f t="shared" si="93"/>
        <v>0</v>
      </c>
      <c r="O168" s="353">
        <v>0</v>
      </c>
      <c r="P168" s="354">
        <v>0</v>
      </c>
      <c r="Q168" s="354">
        <v>0</v>
      </c>
      <c r="R168" s="354">
        <v>0</v>
      </c>
      <c r="S168" s="354">
        <v>0</v>
      </c>
      <c r="T168" s="354">
        <v>0</v>
      </c>
      <c r="U168" s="354">
        <v>0</v>
      </c>
      <c r="V168" s="354">
        <v>0</v>
      </c>
      <c r="W168" s="354">
        <v>0</v>
      </c>
      <c r="X168" s="354">
        <v>0</v>
      </c>
      <c r="Y168" s="365">
        <v>0</v>
      </c>
      <c r="Z168" s="305">
        <f t="shared" si="94"/>
        <v>0</v>
      </c>
      <c r="AA168" s="307">
        <f t="shared" si="95"/>
        <v>0</v>
      </c>
      <c r="AB168" s="91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1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920">
        <f t="shared" si="99"/>
        <v>0</v>
      </c>
      <c r="AE168" s="897">
        <f t="shared" si="102"/>
        <v>0</v>
      </c>
      <c r="AF168" s="897">
        <f t="shared" si="103"/>
        <v>0</v>
      </c>
      <c r="AG168" s="897">
        <f t="shared" si="104"/>
        <v>0</v>
      </c>
      <c r="AH168" s="1113">
        <f t="shared" si="100"/>
        <v>0</v>
      </c>
      <c r="AI168" s="897">
        <f t="shared" si="101"/>
        <v>0</v>
      </c>
      <c r="AJ168" s="236"/>
      <c r="AK168" s="236"/>
      <c r="AL168" s="236"/>
      <c r="AM168" s="236"/>
    </row>
    <row r="169" spans="1:39" x14ac:dyDescent="0.2">
      <c r="A169" s="339">
        <v>2048</v>
      </c>
      <c r="B169" s="353">
        <v>0</v>
      </c>
      <c r="C169" s="354">
        <v>0</v>
      </c>
      <c r="D169" s="354">
        <v>0</v>
      </c>
      <c r="E169" s="354">
        <v>0</v>
      </c>
      <c r="F169" s="354">
        <v>0</v>
      </c>
      <c r="G169" s="354">
        <v>0</v>
      </c>
      <c r="H169" s="354">
        <v>0</v>
      </c>
      <c r="I169" s="354">
        <v>0</v>
      </c>
      <c r="J169" s="354">
        <v>0</v>
      </c>
      <c r="K169" s="354">
        <v>0</v>
      </c>
      <c r="L169" s="365">
        <v>0</v>
      </c>
      <c r="M169" s="305">
        <f t="shared" si="92"/>
        <v>0</v>
      </c>
      <c r="N169" s="307">
        <f t="shared" si="93"/>
        <v>0</v>
      </c>
      <c r="O169" s="353">
        <v>0</v>
      </c>
      <c r="P169" s="354">
        <v>0</v>
      </c>
      <c r="Q169" s="354">
        <v>0</v>
      </c>
      <c r="R169" s="354">
        <v>0</v>
      </c>
      <c r="S169" s="354">
        <v>0</v>
      </c>
      <c r="T169" s="354">
        <v>0</v>
      </c>
      <c r="U169" s="354">
        <v>0</v>
      </c>
      <c r="V169" s="354">
        <v>0</v>
      </c>
      <c r="W169" s="354">
        <v>0</v>
      </c>
      <c r="X169" s="354">
        <v>0</v>
      </c>
      <c r="Y169" s="365">
        <v>0</v>
      </c>
      <c r="Z169" s="305">
        <f t="shared" si="94"/>
        <v>0</v>
      </c>
      <c r="AA169" s="307">
        <f t="shared" si="95"/>
        <v>0</v>
      </c>
      <c r="AB169" s="91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1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920">
        <f t="shared" si="99"/>
        <v>0</v>
      </c>
      <c r="AE169" s="897">
        <f t="shared" si="102"/>
        <v>0</v>
      </c>
      <c r="AF169" s="897">
        <f t="shared" si="103"/>
        <v>0</v>
      </c>
      <c r="AG169" s="897">
        <f t="shared" si="104"/>
        <v>0</v>
      </c>
      <c r="AH169" s="1113">
        <f t="shared" si="100"/>
        <v>0</v>
      </c>
      <c r="AI169" s="897">
        <f t="shared" si="101"/>
        <v>0</v>
      </c>
      <c r="AJ169" s="236"/>
      <c r="AK169" s="236"/>
      <c r="AL169" s="236"/>
      <c r="AM169" s="236"/>
    </row>
    <row r="170" spans="1:39" x14ac:dyDescent="0.2">
      <c r="A170" s="339">
        <v>2049</v>
      </c>
      <c r="B170" s="353">
        <v>0</v>
      </c>
      <c r="C170" s="354">
        <v>0</v>
      </c>
      <c r="D170" s="354">
        <v>0</v>
      </c>
      <c r="E170" s="354">
        <v>0</v>
      </c>
      <c r="F170" s="354">
        <v>0</v>
      </c>
      <c r="G170" s="354">
        <v>0</v>
      </c>
      <c r="H170" s="354">
        <v>0</v>
      </c>
      <c r="I170" s="354">
        <v>0</v>
      </c>
      <c r="J170" s="354">
        <v>0</v>
      </c>
      <c r="K170" s="354">
        <v>0</v>
      </c>
      <c r="L170" s="365">
        <v>0</v>
      </c>
      <c r="M170" s="305">
        <f t="shared" si="92"/>
        <v>0</v>
      </c>
      <c r="N170" s="307">
        <f t="shared" si="93"/>
        <v>0</v>
      </c>
      <c r="O170" s="353">
        <v>0</v>
      </c>
      <c r="P170" s="354">
        <v>0</v>
      </c>
      <c r="Q170" s="354">
        <v>0</v>
      </c>
      <c r="R170" s="354">
        <v>0</v>
      </c>
      <c r="S170" s="354">
        <v>0</v>
      </c>
      <c r="T170" s="354">
        <v>0</v>
      </c>
      <c r="U170" s="354">
        <v>0</v>
      </c>
      <c r="V170" s="354">
        <v>0</v>
      </c>
      <c r="W170" s="354">
        <v>0</v>
      </c>
      <c r="X170" s="354">
        <v>0</v>
      </c>
      <c r="Y170" s="365">
        <v>0</v>
      </c>
      <c r="Z170" s="305">
        <f t="shared" si="94"/>
        <v>0</v>
      </c>
      <c r="AA170" s="307">
        <f t="shared" si="95"/>
        <v>0</v>
      </c>
      <c r="AB170" s="91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1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920">
        <f t="shared" si="99"/>
        <v>0</v>
      </c>
      <c r="AE170" s="897">
        <f t="shared" si="102"/>
        <v>0</v>
      </c>
      <c r="AF170" s="897">
        <f t="shared" si="103"/>
        <v>0</v>
      </c>
      <c r="AG170" s="897">
        <f t="shared" si="104"/>
        <v>0</v>
      </c>
      <c r="AH170" s="1113">
        <f t="shared" si="100"/>
        <v>0</v>
      </c>
      <c r="AI170" s="897">
        <f t="shared" si="101"/>
        <v>0</v>
      </c>
      <c r="AJ170" s="236"/>
      <c r="AK170" s="236"/>
      <c r="AL170" s="236"/>
      <c r="AM170" s="236"/>
    </row>
    <row r="171" spans="1:39" ht="13.5" thickBot="1" x14ac:dyDescent="0.25">
      <c r="A171" s="337">
        <v>2050</v>
      </c>
      <c r="B171" s="355">
        <v>0</v>
      </c>
      <c r="C171" s="356">
        <v>0</v>
      </c>
      <c r="D171" s="356">
        <v>0</v>
      </c>
      <c r="E171" s="356">
        <v>0</v>
      </c>
      <c r="F171" s="356">
        <v>0</v>
      </c>
      <c r="G171" s="356">
        <v>0</v>
      </c>
      <c r="H171" s="356">
        <v>0</v>
      </c>
      <c r="I171" s="356">
        <v>0</v>
      </c>
      <c r="J171" s="356">
        <v>0</v>
      </c>
      <c r="K171" s="356">
        <v>0</v>
      </c>
      <c r="L171" s="366">
        <v>0</v>
      </c>
      <c r="M171" s="319">
        <f t="shared" si="92"/>
        <v>0</v>
      </c>
      <c r="N171" s="321">
        <f t="shared" si="93"/>
        <v>0</v>
      </c>
      <c r="O171" s="355">
        <v>0</v>
      </c>
      <c r="P171" s="356">
        <v>0</v>
      </c>
      <c r="Q171" s="356">
        <v>0</v>
      </c>
      <c r="R171" s="356">
        <v>0</v>
      </c>
      <c r="S171" s="356">
        <v>0</v>
      </c>
      <c r="T171" s="356">
        <v>0</v>
      </c>
      <c r="U171" s="356">
        <v>0</v>
      </c>
      <c r="V171" s="356">
        <v>0</v>
      </c>
      <c r="W171" s="356">
        <v>0</v>
      </c>
      <c r="X171" s="356">
        <v>0</v>
      </c>
      <c r="Y171" s="366">
        <v>0</v>
      </c>
      <c r="Z171" s="319">
        <f t="shared" si="94"/>
        <v>0</v>
      </c>
      <c r="AA171" s="321">
        <f t="shared" si="95"/>
        <v>0</v>
      </c>
      <c r="AB171" s="921">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22">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923">
        <f t="shared" si="99"/>
        <v>0</v>
      </c>
      <c r="AE171" s="897">
        <f t="shared" si="102"/>
        <v>0</v>
      </c>
      <c r="AF171" s="897">
        <f t="shared" si="103"/>
        <v>0</v>
      </c>
      <c r="AG171" s="897">
        <f t="shared" si="104"/>
        <v>0</v>
      </c>
      <c r="AH171" s="1113">
        <f t="shared" si="100"/>
        <v>0</v>
      </c>
      <c r="AI171" s="897">
        <f t="shared" si="101"/>
        <v>0</v>
      </c>
      <c r="AJ171" s="236"/>
      <c r="AK171" s="236"/>
      <c r="AL171" s="236"/>
      <c r="AM171" s="236"/>
    </row>
    <row r="172" spans="1:39" x14ac:dyDescent="0.2">
      <c r="B172" s="236" t="str">
        <f>B$120</f>
        <v>Output generated: 11/04/2020 14:43</v>
      </c>
      <c r="O172" s="236" t="str">
        <f>U$120</f>
        <v>Output generated: 11/04/2020 14:43</v>
      </c>
      <c r="W172" s="332"/>
      <c r="X172" s="332"/>
      <c r="Y172" s="332"/>
      <c r="AE172" s="897"/>
      <c r="AF172" s="897"/>
      <c r="AG172" s="897"/>
      <c r="AH172" s="897"/>
      <c r="AI172" s="897"/>
      <c r="AJ172" s="236"/>
      <c r="AK172" s="236"/>
      <c r="AL172" s="236"/>
      <c r="AM172" s="236"/>
    </row>
    <row r="173" spans="1:39" ht="13.5" thickBot="1" x14ac:dyDescent="0.25">
      <c r="W173" s="332"/>
      <c r="X173" s="332"/>
      <c r="Y173" s="332"/>
      <c r="AE173" s="897"/>
      <c r="AF173" s="897"/>
      <c r="AG173" s="897"/>
      <c r="AH173" s="897"/>
      <c r="AI173" s="897"/>
      <c r="AJ173" s="236"/>
      <c r="AK173" s="236"/>
      <c r="AL173" s="236"/>
      <c r="AM173" s="236"/>
    </row>
    <row r="174" spans="1:39" ht="15" x14ac:dyDescent="0.25">
      <c r="A174" s="342"/>
      <c r="B174" s="1643" t="s">
        <v>273</v>
      </c>
      <c r="C174" s="1644"/>
      <c r="D174" s="1644"/>
      <c r="E174" s="1644"/>
      <c r="F174" s="1644"/>
      <c r="G174" s="1644"/>
      <c r="H174" s="1644"/>
      <c r="I174" s="1644"/>
      <c r="J174" s="1644"/>
      <c r="K174" s="1644"/>
      <c r="L174" s="1644"/>
      <c r="M174" s="1644"/>
      <c r="N174" s="1645"/>
      <c r="O174" s="1643" t="s">
        <v>274</v>
      </c>
      <c r="P174" s="1644"/>
      <c r="Q174" s="1644"/>
      <c r="R174" s="1644"/>
      <c r="S174" s="1644"/>
      <c r="T174" s="1644"/>
      <c r="U174" s="1644"/>
      <c r="V174" s="1644"/>
      <c r="W174" s="1644"/>
      <c r="X174" s="1644"/>
      <c r="Y174" s="1644"/>
      <c r="Z174" s="1644"/>
      <c r="AA174" s="1645"/>
      <c r="AE174" s="897"/>
      <c r="AF174" s="897"/>
      <c r="AG174" s="897"/>
      <c r="AH174" s="897"/>
      <c r="AI174" s="897"/>
      <c r="AJ174" s="236"/>
      <c r="AK174" s="236"/>
      <c r="AL174" s="236"/>
      <c r="AM174" s="236"/>
    </row>
    <row r="175" spans="1:39" x14ac:dyDescent="0.2">
      <c r="A175" s="333"/>
      <c r="B175" s="1641" t="s">
        <v>125</v>
      </c>
      <c r="C175" s="1642"/>
      <c r="D175" s="1642"/>
      <c r="E175" s="1642"/>
      <c r="F175" s="1642"/>
      <c r="G175" s="1642"/>
      <c r="H175" s="1642"/>
      <c r="I175" s="1642"/>
      <c r="J175" s="1642"/>
      <c r="K175" s="1642"/>
      <c r="L175" s="1658"/>
      <c r="M175" s="367"/>
      <c r="N175" s="334"/>
      <c r="O175" s="1641" t="s">
        <v>125</v>
      </c>
      <c r="P175" s="1642"/>
      <c r="Q175" s="1642"/>
      <c r="R175" s="1642"/>
      <c r="S175" s="1642"/>
      <c r="T175" s="1642"/>
      <c r="U175" s="1642"/>
      <c r="V175" s="1642"/>
      <c r="W175" s="1642"/>
      <c r="X175" s="1642"/>
      <c r="Y175" s="1658"/>
      <c r="Z175" s="367"/>
      <c r="AA175" s="334"/>
      <c r="AE175" s="897"/>
      <c r="AF175" s="897"/>
      <c r="AG175" s="897"/>
      <c r="AH175" s="897"/>
      <c r="AI175" s="897"/>
      <c r="AJ175" s="236"/>
      <c r="AK175" s="236"/>
      <c r="AL175" s="236"/>
      <c r="AM175" s="236"/>
    </row>
    <row r="176" spans="1:39" ht="13.5" thickBot="1" x14ac:dyDescent="0.25">
      <c r="A176" s="340"/>
      <c r="B176" s="347" t="s">
        <v>31</v>
      </c>
      <c r="C176" s="348" t="s">
        <v>32</v>
      </c>
      <c r="D176" s="348" t="s">
        <v>33</v>
      </c>
      <c r="E176" s="348" t="s">
        <v>34</v>
      </c>
      <c r="F176" s="348" t="s">
        <v>35</v>
      </c>
      <c r="G176" s="348" t="s">
        <v>36</v>
      </c>
      <c r="H176" s="348" t="s">
        <v>37</v>
      </c>
      <c r="I176" s="348" t="s">
        <v>38</v>
      </c>
      <c r="J176" s="348" t="s">
        <v>39</v>
      </c>
      <c r="K176" s="348" t="s">
        <v>40</v>
      </c>
      <c r="L176" s="362" t="s">
        <v>41</v>
      </c>
      <c r="M176" s="368" t="s">
        <v>126</v>
      </c>
      <c r="N176" s="341" t="s">
        <v>127</v>
      </c>
      <c r="O176" s="347" t="s">
        <v>31</v>
      </c>
      <c r="P176" s="348" t="s">
        <v>32</v>
      </c>
      <c r="Q176" s="348" t="s">
        <v>33</v>
      </c>
      <c r="R176" s="348" t="s">
        <v>34</v>
      </c>
      <c r="S176" s="348" t="s">
        <v>35</v>
      </c>
      <c r="T176" s="348" t="s">
        <v>36</v>
      </c>
      <c r="U176" s="348" t="s">
        <v>37</v>
      </c>
      <c r="V176" s="348" t="s">
        <v>38</v>
      </c>
      <c r="W176" s="348" t="s">
        <v>39</v>
      </c>
      <c r="X176" s="348" t="s">
        <v>40</v>
      </c>
      <c r="Y176" s="362" t="s">
        <v>41</v>
      </c>
      <c r="Z176" s="368" t="s">
        <v>126</v>
      </c>
      <c r="AA176" s="341" t="s">
        <v>127</v>
      </c>
      <c r="AC176" s="869" t="s">
        <v>211</v>
      </c>
      <c r="AD176" s="243" t="b">
        <f>INDEX(TECH_OPT_FUEL2_Cls1,MATCH(RIGHT(O174),TECH_OPT_ROWS_Cls1,0))&lt;&gt;"N/A"</f>
        <v>0</v>
      </c>
      <c r="AE176" s="897"/>
      <c r="AF176" s="897"/>
      <c r="AG176" s="897"/>
      <c r="AH176" s="897"/>
      <c r="AI176" s="897"/>
      <c r="AJ176" s="236"/>
      <c r="AK176" s="236"/>
      <c r="AL176" s="236"/>
      <c r="AM176" s="236"/>
    </row>
    <row r="177" spans="1:48" ht="14.25" thickTop="1" thickBot="1" x14ac:dyDescent="0.25">
      <c r="A177" s="357" t="s">
        <v>128</v>
      </c>
      <c r="B177" s="349">
        <f t="array" ref="B177:L177">TRANSPOSE(Cls1CentTruckShr)</f>
        <v>0.19351049492932548</v>
      </c>
      <c r="C177" s="350">
        <v>0.2501505093300298</v>
      </c>
      <c r="D177" s="350">
        <v>4.1900540200962323E-3</v>
      </c>
      <c r="E177" s="350">
        <v>0</v>
      </c>
      <c r="F177" s="350">
        <v>0</v>
      </c>
      <c r="G177" s="350">
        <v>0</v>
      </c>
      <c r="H177" s="350">
        <v>0</v>
      </c>
      <c r="I177" s="350">
        <v>0</v>
      </c>
      <c r="J177" s="350">
        <v>0</v>
      </c>
      <c r="K177" s="350">
        <v>0</v>
      </c>
      <c r="L177" s="363">
        <v>0</v>
      </c>
      <c r="M177" s="369"/>
      <c r="N177" s="345"/>
      <c r="O177" s="349">
        <f t="array" ref="O177:Y177">TRANSPOSE(Cls1NCentTruckShr)</f>
        <v>0.30789040692318376</v>
      </c>
      <c r="P177" s="350">
        <v>0.21073814200859928</v>
      </c>
      <c r="Q177" s="350">
        <v>3.3520392788765403E-2</v>
      </c>
      <c r="R177" s="350">
        <v>0</v>
      </c>
      <c r="S177" s="350">
        <v>0</v>
      </c>
      <c r="T177" s="350">
        <v>0</v>
      </c>
      <c r="U177" s="350">
        <v>0</v>
      </c>
      <c r="V177" s="350">
        <v>0</v>
      </c>
      <c r="W177" s="350">
        <v>0</v>
      </c>
      <c r="X177" s="350">
        <v>0</v>
      </c>
      <c r="Y177" s="363">
        <v>0</v>
      </c>
      <c r="Z177" s="370"/>
      <c r="AA177" s="343"/>
      <c r="AB177" s="896"/>
      <c r="AC177" s="869" t="s">
        <v>212</v>
      </c>
      <c r="AD177" s="243">
        <f>MATCH(RIGHT(O174),TECH_OPT_ROWS_Cls1,0)</f>
        <v>4</v>
      </c>
      <c r="AE177" s="897"/>
      <c r="AF177" s="897"/>
      <c r="AG177" s="897"/>
      <c r="AH177" s="897"/>
      <c r="AI177" s="897"/>
      <c r="AJ177" s="236"/>
      <c r="AK177" s="236"/>
      <c r="AL177" s="236"/>
      <c r="AM177" s="236"/>
    </row>
    <row r="178" spans="1:48" ht="13.5" thickBot="1" x14ac:dyDescent="0.25">
      <c r="A178" s="340" t="s">
        <v>129</v>
      </c>
      <c r="B178" s="898">
        <f t="array" ref="B178:L178">TRANSPOSE(Cls1CentVMTShr)</f>
        <v>9.273212178681503E-2</v>
      </c>
      <c r="C178" s="899">
        <v>0.32242235704181188</v>
      </c>
      <c r="D178" s="899">
        <v>9.1542250355295205E-3</v>
      </c>
      <c r="E178" s="899">
        <v>0</v>
      </c>
      <c r="F178" s="899">
        <v>0</v>
      </c>
      <c r="G178" s="899">
        <v>0</v>
      </c>
      <c r="H178" s="899">
        <v>0</v>
      </c>
      <c r="I178" s="899">
        <v>0</v>
      </c>
      <c r="J178" s="899">
        <v>0</v>
      </c>
      <c r="K178" s="899">
        <v>0</v>
      </c>
      <c r="L178" s="900">
        <v>0</v>
      </c>
      <c r="M178" s="373"/>
      <c r="N178" s="343"/>
      <c r="O178" s="898">
        <f t="array" ref="O178:Y178">TRANSPOSE(Cls1NCentVMTShr)</f>
        <v>0.16874553744672482</v>
      </c>
      <c r="P178" s="899">
        <v>0.32500949786451999</v>
      </c>
      <c r="Q178" s="899">
        <v>8.1936260824598706E-2</v>
      </c>
      <c r="R178" s="899">
        <v>0</v>
      </c>
      <c r="S178" s="899">
        <v>0</v>
      </c>
      <c r="T178" s="899">
        <v>0</v>
      </c>
      <c r="U178" s="899">
        <v>0</v>
      </c>
      <c r="V178" s="899">
        <v>0</v>
      </c>
      <c r="W178" s="899">
        <v>0</v>
      </c>
      <c r="X178" s="899">
        <v>0</v>
      </c>
      <c r="Y178" s="900">
        <v>0</v>
      </c>
      <c r="Z178" s="889"/>
      <c r="AA178" s="890"/>
      <c r="AB178" s="1630" t="str">
        <f>"% of miles on f2 for Tech "&amp; RIGHT(O174)&amp;" adopters"</f>
        <v>% of miles on f2 for Tech C adopters</v>
      </c>
      <c r="AC178" s="1631"/>
      <c r="AD178" s="1632"/>
      <c r="AE178" s="897" t="s">
        <v>248</v>
      </c>
      <c r="AF178" s="897"/>
      <c r="AG178" s="897"/>
      <c r="AH178" s="1113" t="s">
        <v>254</v>
      </c>
      <c r="AI178" s="897"/>
      <c r="AJ178" s="809"/>
      <c r="AK178" s="1663" t="s">
        <v>217</v>
      </c>
      <c r="AL178" s="1664"/>
      <c r="AM178" s="1664"/>
      <c r="AN178" s="1664"/>
      <c r="AO178" s="1664"/>
      <c r="AP178" s="1664"/>
      <c r="AQ178" s="1664"/>
      <c r="AR178" s="1664"/>
      <c r="AS178" s="1664"/>
      <c r="AT178" s="1664"/>
      <c r="AU178" s="1664"/>
      <c r="AV178" s="1665"/>
    </row>
    <row r="179" spans="1:48" ht="13.5" thickBot="1" x14ac:dyDescent="0.25">
      <c r="A179" s="340" t="s">
        <v>210</v>
      </c>
      <c r="B179" s="893">
        <f t="array" ref="B179:L179">TRANSPOSE(Cls1CentVMT/OPDAYS_Cls1)</f>
        <v>37.00142799703638</v>
      </c>
      <c r="C179" s="894">
        <v>99.521421131036902</v>
      </c>
      <c r="D179" s="894">
        <v>168.69211144921252</v>
      </c>
      <c r="E179" s="894">
        <v>280</v>
      </c>
      <c r="F179" s="894">
        <v>360</v>
      </c>
      <c r="G179" s="894">
        <v>440</v>
      </c>
      <c r="H179" s="894">
        <v>520</v>
      </c>
      <c r="I179" s="894">
        <v>600</v>
      </c>
      <c r="J179" s="894">
        <v>680</v>
      </c>
      <c r="K179" s="894">
        <v>760</v>
      </c>
      <c r="L179" s="895">
        <v>800</v>
      </c>
      <c r="M179" s="891"/>
      <c r="N179" s="892"/>
      <c r="O179" s="893">
        <f t="array" ref="O179:Y179">TRANSPOSE(Cls1NCentVMT/OPDAYS_Cls1)</f>
        <v>42.318371896217066</v>
      </c>
      <c r="P179" s="894">
        <v>119.08188972092167</v>
      </c>
      <c r="Q179" s="894">
        <v>188.73821956526081</v>
      </c>
      <c r="R179" s="894">
        <v>280</v>
      </c>
      <c r="S179" s="894">
        <v>360</v>
      </c>
      <c r="T179" s="894">
        <v>440</v>
      </c>
      <c r="U179" s="894">
        <v>520</v>
      </c>
      <c r="V179" s="894">
        <v>600</v>
      </c>
      <c r="W179" s="894">
        <v>680</v>
      </c>
      <c r="X179" s="894">
        <v>760</v>
      </c>
      <c r="Y179" s="895">
        <v>800</v>
      </c>
      <c r="Z179" s="891"/>
      <c r="AA179" s="892"/>
      <c r="AB179" s="915" t="s">
        <v>174</v>
      </c>
      <c r="AC179" s="916" t="s">
        <v>15</v>
      </c>
      <c r="AD179" s="917" t="s">
        <v>20</v>
      </c>
      <c r="AE179" s="897" t="s">
        <v>174</v>
      </c>
      <c r="AF179" s="897" t="s">
        <v>15</v>
      </c>
      <c r="AG179" s="897" t="s">
        <v>20</v>
      </c>
      <c r="AH179" s="1113" t="s">
        <v>174</v>
      </c>
      <c r="AI179" s="897" t="s">
        <v>15</v>
      </c>
      <c r="AJ179" s="236"/>
      <c r="AK179" s="912"/>
      <c r="AL179" s="905" t="s">
        <v>31</v>
      </c>
      <c r="AM179" s="905" t="s">
        <v>32</v>
      </c>
      <c r="AN179" s="905" t="s">
        <v>33</v>
      </c>
      <c r="AO179" s="905" t="s">
        <v>34</v>
      </c>
      <c r="AP179" s="905" t="s">
        <v>35</v>
      </c>
      <c r="AQ179" s="905" t="s">
        <v>36</v>
      </c>
      <c r="AR179" s="905" t="s">
        <v>37</v>
      </c>
      <c r="AS179" s="905" t="s">
        <v>38</v>
      </c>
      <c r="AT179" s="905" t="s">
        <v>39</v>
      </c>
      <c r="AU179" s="905" t="s">
        <v>40</v>
      </c>
      <c r="AV179" s="906" t="s">
        <v>41</v>
      </c>
    </row>
    <row r="180" spans="1:48" ht="13.5" thickTop="1" x14ac:dyDescent="0.2">
      <c r="A180" s="335">
        <v>2007</v>
      </c>
      <c r="B180" s="351">
        <v>0</v>
      </c>
      <c r="C180" s="352">
        <v>0</v>
      </c>
      <c r="D180" s="352">
        <v>0</v>
      </c>
      <c r="E180" s="352">
        <v>0</v>
      </c>
      <c r="F180" s="352">
        <v>0</v>
      </c>
      <c r="G180" s="352">
        <v>0</v>
      </c>
      <c r="H180" s="352">
        <v>0</v>
      </c>
      <c r="I180" s="352">
        <v>0</v>
      </c>
      <c r="J180" s="352">
        <v>0</v>
      </c>
      <c r="K180" s="352">
        <v>0</v>
      </c>
      <c r="L180" s="364">
        <v>0</v>
      </c>
      <c r="M180" s="291">
        <f t="shared" ref="M180:M223" si="105">SUMPRODUCT($B$178:$L$178,$B180:$L180)</f>
        <v>0</v>
      </c>
      <c r="N180" s="293">
        <f t="shared" ref="N180:N223" si="106">SUMPRODUCT($B$177:$L$177,$B180:$L180)</f>
        <v>0</v>
      </c>
      <c r="O180" s="351">
        <v>0</v>
      </c>
      <c r="P180" s="352">
        <v>0</v>
      </c>
      <c r="Q180" s="352">
        <v>0</v>
      </c>
      <c r="R180" s="352">
        <v>0</v>
      </c>
      <c r="S180" s="352">
        <v>0</v>
      </c>
      <c r="T180" s="352">
        <v>0</v>
      </c>
      <c r="U180" s="352">
        <v>0</v>
      </c>
      <c r="V180" s="352">
        <v>0</v>
      </c>
      <c r="W180" s="352">
        <v>0</v>
      </c>
      <c r="X180" s="352">
        <v>0</v>
      </c>
      <c r="Y180" s="364">
        <v>0</v>
      </c>
      <c r="Z180" s="291">
        <f t="shared" ref="Z180:Z223" si="107">SUMPRODUCT($O$178:$Y$178,$O180:$Y180)</f>
        <v>0</v>
      </c>
      <c r="AA180" s="293">
        <f t="shared" ref="AA180:AA223" si="108">SUMPRODUCT($O$177:$Y$177,$O180:$Y180)</f>
        <v>0</v>
      </c>
      <c r="AB180" s="91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1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174">
        <f>AB180*AH180+AC180*AI180</f>
        <v>0</v>
      </c>
      <c r="AE180" s="897">
        <f t="shared" ref="AE180:AE194" si="109">SUMPRODUCT($B$74:$L$74,B180:L180)</f>
        <v>0</v>
      </c>
      <c r="AF180" s="897">
        <f t="shared" ref="AF180:AF194" si="110">SUMPRODUCT($O$74:$Y$74,O180:Y180)</f>
        <v>0</v>
      </c>
      <c r="AG180" s="897">
        <f t="shared" ref="AG180:AG194" si="111">SUM(AE180:AF180)</f>
        <v>0</v>
      </c>
      <c r="AH180" s="1113">
        <f>IF(AG180&gt;0,AE180/AG180,0)</f>
        <v>0</v>
      </c>
      <c r="AI180" s="897">
        <f>IF(AG180&gt;0,AF180/AG180,0)</f>
        <v>0</v>
      </c>
      <c r="AJ180" s="236"/>
      <c r="AK180" s="333" t="s">
        <v>216</v>
      </c>
      <c r="AL180" s="904">
        <f t="array" ref="AL180:AV180">((B$179:L$179&lt;INDEX(CDRANGE_CLS1,$A223-$A$180+1,AD$177))*B$179:L$179+(B$179:L$179&gt;INDEX(CDRANGE_CLS1,$A223-$A$180+1,AD$177))*INDEX(CDRANGE_CLS1,$A223-$A$180+1,AD$177))</f>
        <v>0</v>
      </c>
      <c r="AM180" s="904">
        <v>0</v>
      </c>
      <c r="AN180" s="904">
        <v>0</v>
      </c>
      <c r="AO180" s="904">
        <v>0</v>
      </c>
      <c r="AP180" s="904">
        <v>0</v>
      </c>
      <c r="AQ180" s="904">
        <v>0</v>
      </c>
      <c r="AR180" s="904">
        <v>0</v>
      </c>
      <c r="AS180" s="904">
        <v>0</v>
      </c>
      <c r="AT180" s="904">
        <v>0</v>
      </c>
      <c r="AU180" s="904">
        <v>0</v>
      </c>
      <c r="AV180" s="907">
        <v>0</v>
      </c>
    </row>
    <row r="181" spans="1:48" x14ac:dyDescent="0.2">
      <c r="A181" s="336">
        <v>2008</v>
      </c>
      <c r="B181" s="353">
        <v>0</v>
      </c>
      <c r="C181" s="354">
        <v>0</v>
      </c>
      <c r="D181" s="354">
        <v>0</v>
      </c>
      <c r="E181" s="354">
        <v>0</v>
      </c>
      <c r="F181" s="354">
        <v>0</v>
      </c>
      <c r="G181" s="354">
        <v>0</v>
      </c>
      <c r="H181" s="354">
        <v>0</v>
      </c>
      <c r="I181" s="354">
        <v>0</v>
      </c>
      <c r="J181" s="354">
        <v>0</v>
      </c>
      <c r="K181" s="354">
        <v>0</v>
      </c>
      <c r="L181" s="365">
        <v>0</v>
      </c>
      <c r="M181" s="305">
        <f t="shared" si="105"/>
        <v>0</v>
      </c>
      <c r="N181" s="307">
        <f t="shared" si="106"/>
        <v>0</v>
      </c>
      <c r="O181" s="353">
        <v>0</v>
      </c>
      <c r="P181" s="354">
        <v>0</v>
      </c>
      <c r="Q181" s="354">
        <v>0</v>
      </c>
      <c r="R181" s="354">
        <v>0</v>
      </c>
      <c r="S181" s="354">
        <v>0</v>
      </c>
      <c r="T181" s="354">
        <v>0</v>
      </c>
      <c r="U181" s="354">
        <v>0</v>
      </c>
      <c r="V181" s="354">
        <v>0</v>
      </c>
      <c r="W181" s="354">
        <v>0</v>
      </c>
      <c r="X181" s="354">
        <v>0</v>
      </c>
      <c r="Y181" s="365">
        <v>0</v>
      </c>
      <c r="Z181" s="305">
        <f t="shared" si="107"/>
        <v>0</v>
      </c>
      <c r="AA181" s="307">
        <f t="shared" si="108"/>
        <v>0</v>
      </c>
      <c r="AB181" s="91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1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920">
        <f t="shared" ref="AD181:AD223" si="112">AB181*AH181+AC181*AI181</f>
        <v>0</v>
      </c>
      <c r="AE181" s="897">
        <f t="shared" si="109"/>
        <v>0</v>
      </c>
      <c r="AF181" s="897">
        <f t="shared" si="110"/>
        <v>0</v>
      </c>
      <c r="AG181" s="897">
        <f t="shared" si="111"/>
        <v>0</v>
      </c>
      <c r="AH181" s="1113">
        <f t="shared" ref="AH181:AH223" si="113">IF(AG181&gt;0,AE181/AG181,0)</f>
        <v>0</v>
      </c>
      <c r="AI181" s="897">
        <f t="shared" ref="AI181:AI223" si="114">IF(AG181&gt;0,AF181/AG181,0)</f>
        <v>0</v>
      </c>
      <c r="AJ181" s="236"/>
      <c r="AK181" s="333" t="s">
        <v>213</v>
      </c>
      <c r="AL181" s="908">
        <f t="array" ref="AL181:AV181">TRANSPOSE(Cls1CentDailyRng)</f>
        <v>37.00142799703638</v>
      </c>
      <c r="AM181" s="908">
        <v>99.521421131036902</v>
      </c>
      <c r="AN181" s="908">
        <v>168.69211144921252</v>
      </c>
      <c r="AO181" s="908">
        <v>280</v>
      </c>
      <c r="AP181" s="908">
        <v>360</v>
      </c>
      <c r="AQ181" s="908">
        <v>440</v>
      </c>
      <c r="AR181" s="908">
        <v>520</v>
      </c>
      <c r="AS181" s="908">
        <v>600</v>
      </c>
      <c r="AT181" s="908">
        <v>680</v>
      </c>
      <c r="AU181" s="908">
        <v>760</v>
      </c>
      <c r="AV181" s="909">
        <v>800</v>
      </c>
    </row>
    <row r="182" spans="1:48" x14ac:dyDescent="0.2">
      <c r="A182" s="336">
        <v>2009</v>
      </c>
      <c r="B182" s="353">
        <v>0</v>
      </c>
      <c r="C182" s="354">
        <v>0</v>
      </c>
      <c r="D182" s="354">
        <v>0</v>
      </c>
      <c r="E182" s="354">
        <v>0</v>
      </c>
      <c r="F182" s="354">
        <v>0</v>
      </c>
      <c r="G182" s="354">
        <v>0</v>
      </c>
      <c r="H182" s="354">
        <v>0</v>
      </c>
      <c r="I182" s="354">
        <v>0</v>
      </c>
      <c r="J182" s="354">
        <v>0</v>
      </c>
      <c r="K182" s="354">
        <v>0</v>
      </c>
      <c r="L182" s="365">
        <v>0</v>
      </c>
      <c r="M182" s="305">
        <f t="shared" si="105"/>
        <v>0</v>
      </c>
      <c r="N182" s="307">
        <f t="shared" si="106"/>
        <v>0</v>
      </c>
      <c r="O182" s="353">
        <v>0</v>
      </c>
      <c r="P182" s="354">
        <v>0</v>
      </c>
      <c r="Q182" s="354">
        <v>0</v>
      </c>
      <c r="R182" s="354">
        <v>0</v>
      </c>
      <c r="S182" s="354">
        <v>0</v>
      </c>
      <c r="T182" s="354">
        <v>0</v>
      </c>
      <c r="U182" s="354">
        <v>0</v>
      </c>
      <c r="V182" s="354">
        <v>0</v>
      </c>
      <c r="W182" s="354">
        <v>0</v>
      </c>
      <c r="X182" s="354">
        <v>0</v>
      </c>
      <c r="Y182" s="365">
        <v>0</v>
      </c>
      <c r="Z182" s="305">
        <f t="shared" si="107"/>
        <v>0</v>
      </c>
      <c r="AA182" s="307">
        <f t="shared" si="108"/>
        <v>0</v>
      </c>
      <c r="AB182" s="91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1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920">
        <f t="shared" si="112"/>
        <v>0</v>
      </c>
      <c r="AE182" s="897">
        <f t="shared" si="109"/>
        <v>0</v>
      </c>
      <c r="AF182" s="897">
        <f t="shared" si="110"/>
        <v>0</v>
      </c>
      <c r="AG182" s="897">
        <f t="shared" si="111"/>
        <v>0</v>
      </c>
      <c r="AH182" s="1113">
        <f t="shared" si="113"/>
        <v>0</v>
      </c>
      <c r="AI182" s="897">
        <f t="shared" si="114"/>
        <v>0</v>
      </c>
      <c r="AJ182" s="236"/>
      <c r="AK182" s="333" t="s">
        <v>223</v>
      </c>
      <c r="AL182" s="904">
        <f>AL180/AL181</f>
        <v>0</v>
      </c>
      <c r="AM182" s="904">
        <f t="shared" ref="AM182:AV182" si="115">AM180/AM181</f>
        <v>0</v>
      </c>
      <c r="AN182" s="904">
        <f t="shared" si="115"/>
        <v>0</v>
      </c>
      <c r="AO182" s="904">
        <f t="shared" si="115"/>
        <v>0</v>
      </c>
      <c r="AP182" s="904">
        <f t="shared" si="115"/>
        <v>0</v>
      </c>
      <c r="AQ182" s="904">
        <f t="shared" si="115"/>
        <v>0</v>
      </c>
      <c r="AR182" s="904">
        <f t="shared" si="115"/>
        <v>0</v>
      </c>
      <c r="AS182" s="904">
        <f t="shared" si="115"/>
        <v>0</v>
      </c>
      <c r="AT182" s="904">
        <f t="shared" si="115"/>
        <v>0</v>
      </c>
      <c r="AU182" s="904">
        <f t="shared" si="115"/>
        <v>0</v>
      </c>
      <c r="AV182" s="907">
        <f t="shared" si="115"/>
        <v>0</v>
      </c>
    </row>
    <row r="183" spans="1:48" ht="13.5" thickBot="1" x14ac:dyDescent="0.25">
      <c r="A183" s="337">
        <v>2010</v>
      </c>
      <c r="B183" s="355">
        <v>0</v>
      </c>
      <c r="C183" s="356">
        <v>0</v>
      </c>
      <c r="D183" s="356">
        <v>0</v>
      </c>
      <c r="E183" s="356">
        <v>0</v>
      </c>
      <c r="F183" s="356">
        <v>0</v>
      </c>
      <c r="G183" s="356">
        <v>0</v>
      </c>
      <c r="H183" s="356">
        <v>0</v>
      </c>
      <c r="I183" s="356">
        <v>0</v>
      </c>
      <c r="J183" s="356">
        <v>0</v>
      </c>
      <c r="K183" s="356">
        <v>0</v>
      </c>
      <c r="L183" s="366">
        <v>0</v>
      </c>
      <c r="M183" s="319">
        <f t="shared" si="105"/>
        <v>0</v>
      </c>
      <c r="N183" s="321">
        <f t="shared" si="106"/>
        <v>0</v>
      </c>
      <c r="O183" s="355">
        <v>0</v>
      </c>
      <c r="P183" s="356">
        <v>0</v>
      </c>
      <c r="Q183" s="356">
        <v>0</v>
      </c>
      <c r="R183" s="356">
        <v>0</v>
      </c>
      <c r="S183" s="356">
        <v>0</v>
      </c>
      <c r="T183" s="356">
        <v>0</v>
      </c>
      <c r="U183" s="356">
        <v>0</v>
      </c>
      <c r="V183" s="356">
        <v>0</v>
      </c>
      <c r="W183" s="356">
        <v>0</v>
      </c>
      <c r="X183" s="356">
        <v>0</v>
      </c>
      <c r="Y183" s="366">
        <v>0</v>
      </c>
      <c r="Z183" s="319">
        <f t="shared" si="107"/>
        <v>0</v>
      </c>
      <c r="AA183" s="321">
        <f t="shared" si="108"/>
        <v>0</v>
      </c>
      <c r="AB183" s="91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1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920">
        <f t="shared" si="112"/>
        <v>0</v>
      </c>
      <c r="AE183" s="897">
        <f t="shared" si="109"/>
        <v>0</v>
      </c>
      <c r="AF183" s="897">
        <f t="shared" si="110"/>
        <v>0</v>
      </c>
      <c r="AG183" s="897">
        <f t="shared" si="111"/>
        <v>0</v>
      </c>
      <c r="AH183" s="1113">
        <f t="shared" si="113"/>
        <v>0</v>
      </c>
      <c r="AI183" s="897">
        <f t="shared" si="114"/>
        <v>0</v>
      </c>
      <c r="AJ183" s="236"/>
      <c r="AK183" s="333" t="s">
        <v>214</v>
      </c>
      <c r="AL183" s="904">
        <f t="array" ref="AL183:AV183">B223:L223</f>
        <v>0</v>
      </c>
      <c r="AM183" s="904">
        <v>0</v>
      </c>
      <c r="AN183" s="904">
        <v>0</v>
      </c>
      <c r="AO183" s="904">
        <v>0</v>
      </c>
      <c r="AP183" s="904">
        <v>0</v>
      </c>
      <c r="AQ183" s="904">
        <v>0</v>
      </c>
      <c r="AR183" s="904">
        <v>0</v>
      </c>
      <c r="AS183" s="904">
        <v>0</v>
      </c>
      <c r="AT183" s="904">
        <v>0</v>
      </c>
      <c r="AU183" s="904">
        <v>0</v>
      </c>
      <c r="AV183" s="907">
        <v>0</v>
      </c>
    </row>
    <row r="184" spans="1:48" ht="13.5" thickBot="1" x14ac:dyDescent="0.25">
      <c r="A184" s="338">
        <v>2011</v>
      </c>
      <c r="B184" s="351">
        <v>0</v>
      </c>
      <c r="C184" s="352">
        <v>0</v>
      </c>
      <c r="D184" s="352">
        <v>0</v>
      </c>
      <c r="E184" s="352">
        <v>0</v>
      </c>
      <c r="F184" s="352">
        <v>0</v>
      </c>
      <c r="G184" s="352">
        <v>0</v>
      </c>
      <c r="H184" s="352">
        <v>0</v>
      </c>
      <c r="I184" s="352">
        <v>0</v>
      </c>
      <c r="J184" s="352">
        <v>0</v>
      </c>
      <c r="K184" s="352">
        <v>0</v>
      </c>
      <c r="L184" s="364">
        <v>0</v>
      </c>
      <c r="M184" s="291">
        <f t="shared" si="105"/>
        <v>0</v>
      </c>
      <c r="N184" s="293">
        <f t="shared" si="106"/>
        <v>0</v>
      </c>
      <c r="O184" s="351">
        <v>0</v>
      </c>
      <c r="P184" s="352">
        <v>0</v>
      </c>
      <c r="Q184" s="352">
        <v>0</v>
      </c>
      <c r="R184" s="352">
        <v>0</v>
      </c>
      <c r="S184" s="352">
        <v>0</v>
      </c>
      <c r="T184" s="352">
        <v>0</v>
      </c>
      <c r="U184" s="352">
        <v>0</v>
      </c>
      <c r="V184" s="352">
        <v>0</v>
      </c>
      <c r="W184" s="352">
        <v>0</v>
      </c>
      <c r="X184" s="352">
        <v>0</v>
      </c>
      <c r="Y184" s="364">
        <v>0</v>
      </c>
      <c r="Z184" s="291">
        <f t="shared" si="107"/>
        <v>0</v>
      </c>
      <c r="AA184" s="293">
        <f t="shared" si="108"/>
        <v>0</v>
      </c>
      <c r="AB184" s="91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1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920">
        <f t="shared" si="112"/>
        <v>0</v>
      </c>
      <c r="AE184" s="897">
        <f t="shared" si="109"/>
        <v>0</v>
      </c>
      <c r="AF184" s="897">
        <f t="shared" si="110"/>
        <v>0</v>
      </c>
      <c r="AG184" s="897">
        <f t="shared" si="111"/>
        <v>0</v>
      </c>
      <c r="AH184" s="1113">
        <f t="shared" si="113"/>
        <v>0</v>
      </c>
      <c r="AI184" s="897">
        <f t="shared" si="114"/>
        <v>0</v>
      </c>
      <c r="AJ184" s="236"/>
      <c r="AK184" s="333" t="s">
        <v>218</v>
      </c>
      <c r="AL184" s="904">
        <f t="array" ref="AL184:AV184">TRANSPOSE(Cls1CentVMTShr)</f>
        <v>9.273212178681503E-2</v>
      </c>
      <c r="AM184" s="904">
        <v>0.32242235704181188</v>
      </c>
      <c r="AN184" s="904">
        <v>9.1542250355295205E-3</v>
      </c>
      <c r="AO184" s="904">
        <v>0</v>
      </c>
      <c r="AP184" s="904">
        <v>0</v>
      </c>
      <c r="AQ184" s="904">
        <v>0</v>
      </c>
      <c r="AR184" s="904">
        <v>0</v>
      </c>
      <c r="AS184" s="904">
        <v>0</v>
      </c>
      <c r="AT184" s="904">
        <v>0</v>
      </c>
      <c r="AU184" s="904">
        <v>0</v>
      </c>
      <c r="AV184" s="907">
        <v>0</v>
      </c>
    </row>
    <row r="185" spans="1:48" ht="13.5" thickBot="1" x14ac:dyDescent="0.25">
      <c r="A185" s="339">
        <v>2012</v>
      </c>
      <c r="B185" s="353">
        <v>0</v>
      </c>
      <c r="C185" s="354">
        <v>0</v>
      </c>
      <c r="D185" s="354">
        <v>0</v>
      </c>
      <c r="E185" s="354">
        <v>0</v>
      </c>
      <c r="F185" s="354">
        <v>0</v>
      </c>
      <c r="G185" s="354">
        <v>0</v>
      </c>
      <c r="H185" s="354">
        <v>0</v>
      </c>
      <c r="I185" s="354">
        <v>0</v>
      </c>
      <c r="J185" s="354">
        <v>0</v>
      </c>
      <c r="K185" s="354">
        <v>0</v>
      </c>
      <c r="L185" s="365">
        <v>0</v>
      </c>
      <c r="M185" s="305">
        <f t="shared" si="105"/>
        <v>0</v>
      </c>
      <c r="N185" s="307">
        <f t="shared" si="106"/>
        <v>0</v>
      </c>
      <c r="O185" s="353">
        <v>0</v>
      </c>
      <c r="P185" s="354">
        <v>0</v>
      </c>
      <c r="Q185" s="354">
        <v>0</v>
      </c>
      <c r="R185" s="354">
        <v>0</v>
      </c>
      <c r="S185" s="354">
        <v>0</v>
      </c>
      <c r="T185" s="354">
        <v>0</v>
      </c>
      <c r="U185" s="354">
        <v>0</v>
      </c>
      <c r="V185" s="354">
        <v>0</v>
      </c>
      <c r="W185" s="354">
        <v>0</v>
      </c>
      <c r="X185" s="354">
        <v>0</v>
      </c>
      <c r="Y185" s="365">
        <v>0</v>
      </c>
      <c r="Z185" s="305">
        <f t="shared" si="107"/>
        <v>0</v>
      </c>
      <c r="AA185" s="307">
        <f t="shared" si="108"/>
        <v>0</v>
      </c>
      <c r="AB185" s="91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1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920">
        <f t="shared" si="112"/>
        <v>0</v>
      </c>
      <c r="AE185" s="897">
        <f t="shared" si="109"/>
        <v>0</v>
      </c>
      <c r="AF185" s="897">
        <f t="shared" si="110"/>
        <v>0</v>
      </c>
      <c r="AG185" s="897">
        <f t="shared" si="111"/>
        <v>0</v>
      </c>
      <c r="AH185" s="1113">
        <f t="shared" si="113"/>
        <v>0</v>
      </c>
      <c r="AI185" s="897">
        <f t="shared" si="114"/>
        <v>0</v>
      </c>
      <c r="AJ185" s="236"/>
      <c r="AK185" s="913" t="s">
        <v>215</v>
      </c>
      <c r="AL185" s="914" t="e">
        <f>SUMPRODUCT(AL182:AV182,AL183:AV183,AL184:AV184)/SUMPRODUCT(AL183:AV183,AL184:AV184)</f>
        <v>#DIV/0!</v>
      </c>
      <c r="AM185" s="910"/>
      <c r="AN185" s="910"/>
      <c r="AO185" s="910"/>
      <c r="AP185" s="910"/>
      <c r="AQ185" s="910"/>
      <c r="AR185" s="910"/>
      <c r="AS185" s="910"/>
      <c r="AT185" s="910"/>
      <c r="AU185" s="910"/>
      <c r="AV185" s="911"/>
    </row>
    <row r="186" spans="1:48" x14ac:dyDescent="0.2">
      <c r="A186" s="339">
        <v>2013</v>
      </c>
      <c r="B186" s="353">
        <v>0</v>
      </c>
      <c r="C186" s="354">
        <v>0</v>
      </c>
      <c r="D186" s="354">
        <v>0</v>
      </c>
      <c r="E186" s="354">
        <v>0</v>
      </c>
      <c r="F186" s="354">
        <v>0</v>
      </c>
      <c r="G186" s="354">
        <v>0</v>
      </c>
      <c r="H186" s="354">
        <v>0</v>
      </c>
      <c r="I186" s="354">
        <v>0</v>
      </c>
      <c r="J186" s="354">
        <v>0</v>
      </c>
      <c r="K186" s="354">
        <v>0</v>
      </c>
      <c r="L186" s="365">
        <v>0</v>
      </c>
      <c r="M186" s="305">
        <f t="shared" si="105"/>
        <v>0</v>
      </c>
      <c r="N186" s="307">
        <f t="shared" si="106"/>
        <v>0</v>
      </c>
      <c r="O186" s="353">
        <v>0</v>
      </c>
      <c r="P186" s="354">
        <v>0</v>
      </c>
      <c r="Q186" s="354">
        <v>0</v>
      </c>
      <c r="R186" s="354">
        <v>0</v>
      </c>
      <c r="S186" s="354">
        <v>0</v>
      </c>
      <c r="T186" s="354">
        <v>0</v>
      </c>
      <c r="U186" s="354">
        <v>0</v>
      </c>
      <c r="V186" s="354">
        <v>0</v>
      </c>
      <c r="W186" s="354">
        <v>0</v>
      </c>
      <c r="X186" s="354">
        <v>0</v>
      </c>
      <c r="Y186" s="365">
        <v>0</v>
      </c>
      <c r="Z186" s="305">
        <f t="shared" si="107"/>
        <v>0</v>
      </c>
      <c r="AA186" s="307">
        <f t="shared" si="108"/>
        <v>0</v>
      </c>
      <c r="AB186" s="91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1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920">
        <f t="shared" si="112"/>
        <v>0</v>
      </c>
      <c r="AE186" s="897">
        <f t="shared" si="109"/>
        <v>0</v>
      </c>
      <c r="AF186" s="897">
        <f t="shared" si="110"/>
        <v>0</v>
      </c>
      <c r="AG186" s="897">
        <f t="shared" si="111"/>
        <v>0</v>
      </c>
      <c r="AH186" s="1113">
        <f t="shared" si="113"/>
        <v>0</v>
      </c>
      <c r="AI186" s="897">
        <f t="shared" si="114"/>
        <v>0</v>
      </c>
      <c r="AJ186" s="236"/>
      <c r="AK186" s="236"/>
      <c r="AL186" s="236"/>
      <c r="AM186" s="236"/>
    </row>
    <row r="187" spans="1:48" x14ac:dyDescent="0.2">
      <c r="A187" s="339">
        <v>2014</v>
      </c>
      <c r="B187" s="353">
        <v>0</v>
      </c>
      <c r="C187" s="354">
        <v>0</v>
      </c>
      <c r="D187" s="354">
        <v>0</v>
      </c>
      <c r="E187" s="354">
        <v>0</v>
      </c>
      <c r="F187" s="354">
        <v>0</v>
      </c>
      <c r="G187" s="354">
        <v>0</v>
      </c>
      <c r="H187" s="354">
        <v>0</v>
      </c>
      <c r="I187" s="354">
        <v>0</v>
      </c>
      <c r="J187" s="354">
        <v>0</v>
      </c>
      <c r="K187" s="354">
        <v>0</v>
      </c>
      <c r="L187" s="365">
        <v>0</v>
      </c>
      <c r="M187" s="305">
        <f t="shared" si="105"/>
        <v>0</v>
      </c>
      <c r="N187" s="307">
        <f t="shared" si="106"/>
        <v>0</v>
      </c>
      <c r="O187" s="353">
        <v>0</v>
      </c>
      <c r="P187" s="354">
        <v>0</v>
      </c>
      <c r="Q187" s="354">
        <v>0</v>
      </c>
      <c r="R187" s="354">
        <v>0</v>
      </c>
      <c r="S187" s="354">
        <v>0</v>
      </c>
      <c r="T187" s="354">
        <v>0</v>
      </c>
      <c r="U187" s="354">
        <v>0</v>
      </c>
      <c r="V187" s="354">
        <v>0</v>
      </c>
      <c r="W187" s="354">
        <v>0</v>
      </c>
      <c r="X187" s="354">
        <v>0</v>
      </c>
      <c r="Y187" s="365">
        <v>0</v>
      </c>
      <c r="Z187" s="305">
        <f t="shared" si="107"/>
        <v>0</v>
      </c>
      <c r="AA187" s="307">
        <f t="shared" si="108"/>
        <v>0</v>
      </c>
      <c r="AB187" s="91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1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920">
        <f t="shared" si="112"/>
        <v>0</v>
      </c>
      <c r="AE187" s="897">
        <f t="shared" si="109"/>
        <v>0</v>
      </c>
      <c r="AF187" s="897">
        <f t="shared" si="110"/>
        <v>0</v>
      </c>
      <c r="AG187" s="897">
        <f t="shared" si="111"/>
        <v>0</v>
      </c>
      <c r="AH187" s="1113">
        <f t="shared" si="113"/>
        <v>0</v>
      </c>
      <c r="AI187" s="897">
        <f t="shared" si="114"/>
        <v>0</v>
      </c>
      <c r="AJ187" s="236"/>
      <c r="AK187" s="236"/>
      <c r="AL187" s="236"/>
      <c r="AM187" s="236"/>
    </row>
    <row r="188" spans="1:48" ht="13.5" thickBot="1" x14ac:dyDescent="0.25">
      <c r="A188" s="337">
        <v>2015</v>
      </c>
      <c r="B188" s="355">
        <v>0</v>
      </c>
      <c r="C188" s="356">
        <v>0</v>
      </c>
      <c r="D188" s="356">
        <v>0</v>
      </c>
      <c r="E188" s="356">
        <v>0</v>
      </c>
      <c r="F188" s="356">
        <v>0</v>
      </c>
      <c r="G188" s="356">
        <v>0</v>
      </c>
      <c r="H188" s="356">
        <v>0</v>
      </c>
      <c r="I188" s="356">
        <v>0</v>
      </c>
      <c r="J188" s="356">
        <v>0</v>
      </c>
      <c r="K188" s="356">
        <v>0</v>
      </c>
      <c r="L188" s="366">
        <v>0</v>
      </c>
      <c r="M188" s="319">
        <f t="shared" si="105"/>
        <v>0</v>
      </c>
      <c r="N188" s="321">
        <f t="shared" si="106"/>
        <v>0</v>
      </c>
      <c r="O188" s="355">
        <v>0</v>
      </c>
      <c r="P188" s="356">
        <v>0</v>
      </c>
      <c r="Q188" s="356">
        <v>0</v>
      </c>
      <c r="R188" s="356">
        <v>0</v>
      </c>
      <c r="S188" s="356">
        <v>0</v>
      </c>
      <c r="T188" s="356">
        <v>0</v>
      </c>
      <c r="U188" s="356">
        <v>0</v>
      </c>
      <c r="V188" s="356">
        <v>0</v>
      </c>
      <c r="W188" s="356">
        <v>0</v>
      </c>
      <c r="X188" s="356">
        <v>0</v>
      </c>
      <c r="Y188" s="366">
        <v>0</v>
      </c>
      <c r="Z188" s="319">
        <f t="shared" si="107"/>
        <v>0</v>
      </c>
      <c r="AA188" s="321">
        <f t="shared" si="108"/>
        <v>0</v>
      </c>
      <c r="AB188" s="91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1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920">
        <f t="shared" si="112"/>
        <v>0</v>
      </c>
      <c r="AE188" s="897">
        <f t="shared" si="109"/>
        <v>0</v>
      </c>
      <c r="AF188" s="897">
        <f t="shared" si="110"/>
        <v>0</v>
      </c>
      <c r="AG188" s="897">
        <f t="shared" si="111"/>
        <v>0</v>
      </c>
      <c r="AH188" s="1113">
        <f t="shared" si="113"/>
        <v>0</v>
      </c>
      <c r="AI188" s="897">
        <f t="shared" si="114"/>
        <v>0</v>
      </c>
      <c r="AJ188" s="236"/>
      <c r="AK188" s="236"/>
      <c r="AL188" s="236"/>
      <c r="AM188" s="236"/>
    </row>
    <row r="189" spans="1:48" x14ac:dyDescent="0.2">
      <c r="A189" s="338">
        <v>2016</v>
      </c>
      <c r="B189" s="351">
        <v>0</v>
      </c>
      <c r="C189" s="352">
        <v>0</v>
      </c>
      <c r="D189" s="352">
        <v>0</v>
      </c>
      <c r="E189" s="352">
        <v>0</v>
      </c>
      <c r="F189" s="352">
        <v>0</v>
      </c>
      <c r="G189" s="352">
        <v>0</v>
      </c>
      <c r="H189" s="352">
        <v>0</v>
      </c>
      <c r="I189" s="352">
        <v>0</v>
      </c>
      <c r="J189" s="352">
        <v>0</v>
      </c>
      <c r="K189" s="352">
        <v>0</v>
      </c>
      <c r="L189" s="364">
        <v>0</v>
      </c>
      <c r="M189" s="291">
        <f t="shared" si="105"/>
        <v>0</v>
      </c>
      <c r="N189" s="293">
        <f t="shared" si="106"/>
        <v>0</v>
      </c>
      <c r="O189" s="351">
        <v>0</v>
      </c>
      <c r="P189" s="352">
        <v>0</v>
      </c>
      <c r="Q189" s="352">
        <v>0</v>
      </c>
      <c r="R189" s="352">
        <v>0</v>
      </c>
      <c r="S189" s="352">
        <v>0</v>
      </c>
      <c r="T189" s="352">
        <v>0</v>
      </c>
      <c r="U189" s="352">
        <v>0</v>
      </c>
      <c r="V189" s="352">
        <v>0</v>
      </c>
      <c r="W189" s="352">
        <v>0</v>
      </c>
      <c r="X189" s="352">
        <v>0</v>
      </c>
      <c r="Y189" s="364">
        <v>0</v>
      </c>
      <c r="Z189" s="291">
        <f t="shared" si="107"/>
        <v>0</v>
      </c>
      <c r="AA189" s="293">
        <f t="shared" si="108"/>
        <v>0</v>
      </c>
      <c r="AB189" s="91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1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920">
        <f t="shared" si="112"/>
        <v>0</v>
      </c>
      <c r="AE189" s="897">
        <f t="shared" si="109"/>
        <v>0</v>
      </c>
      <c r="AF189" s="897">
        <f t="shared" si="110"/>
        <v>0</v>
      </c>
      <c r="AG189" s="897">
        <f t="shared" si="111"/>
        <v>0</v>
      </c>
      <c r="AH189" s="1113">
        <f t="shared" si="113"/>
        <v>0</v>
      </c>
      <c r="AI189" s="897">
        <f t="shared" si="114"/>
        <v>0</v>
      </c>
      <c r="AJ189" s="236"/>
      <c r="AK189" s="236"/>
      <c r="AL189" s="236"/>
      <c r="AM189" s="236"/>
    </row>
    <row r="190" spans="1:48" x14ac:dyDescent="0.2">
      <c r="A190" s="339">
        <v>2017</v>
      </c>
      <c r="B190" s="353">
        <v>0</v>
      </c>
      <c r="C190" s="354">
        <v>0</v>
      </c>
      <c r="D190" s="354">
        <v>0</v>
      </c>
      <c r="E190" s="354">
        <v>0</v>
      </c>
      <c r="F190" s="354">
        <v>0</v>
      </c>
      <c r="G190" s="354">
        <v>0</v>
      </c>
      <c r="H190" s="354">
        <v>0</v>
      </c>
      <c r="I190" s="354">
        <v>0</v>
      </c>
      <c r="J190" s="354">
        <v>0</v>
      </c>
      <c r="K190" s="354">
        <v>0</v>
      </c>
      <c r="L190" s="365">
        <v>0</v>
      </c>
      <c r="M190" s="305">
        <f t="shared" si="105"/>
        <v>0</v>
      </c>
      <c r="N190" s="307">
        <f t="shared" si="106"/>
        <v>0</v>
      </c>
      <c r="O190" s="353">
        <v>0</v>
      </c>
      <c r="P190" s="354">
        <v>0</v>
      </c>
      <c r="Q190" s="354">
        <v>0</v>
      </c>
      <c r="R190" s="354">
        <v>0</v>
      </c>
      <c r="S190" s="354">
        <v>0</v>
      </c>
      <c r="T190" s="354">
        <v>0</v>
      </c>
      <c r="U190" s="354">
        <v>0</v>
      </c>
      <c r="V190" s="354">
        <v>0</v>
      </c>
      <c r="W190" s="354">
        <v>0</v>
      </c>
      <c r="X190" s="354">
        <v>0</v>
      </c>
      <c r="Y190" s="365">
        <v>0</v>
      </c>
      <c r="Z190" s="305">
        <f t="shared" si="107"/>
        <v>0</v>
      </c>
      <c r="AA190" s="307">
        <f t="shared" si="108"/>
        <v>0</v>
      </c>
      <c r="AB190" s="91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1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920">
        <f t="shared" si="112"/>
        <v>0</v>
      </c>
      <c r="AE190" s="897">
        <f t="shared" si="109"/>
        <v>0</v>
      </c>
      <c r="AF190" s="897">
        <f t="shared" si="110"/>
        <v>0</v>
      </c>
      <c r="AG190" s="897">
        <f t="shared" si="111"/>
        <v>0</v>
      </c>
      <c r="AH190" s="1113">
        <f t="shared" si="113"/>
        <v>0</v>
      </c>
      <c r="AI190" s="897">
        <f t="shared" si="114"/>
        <v>0</v>
      </c>
      <c r="AJ190" s="236"/>
      <c r="AK190" s="236"/>
      <c r="AL190" s="236"/>
      <c r="AM190" s="236"/>
    </row>
    <row r="191" spans="1:48" x14ac:dyDescent="0.2">
      <c r="A191" s="339">
        <v>2018</v>
      </c>
      <c r="B191" s="353">
        <v>0</v>
      </c>
      <c r="C191" s="354">
        <v>0</v>
      </c>
      <c r="D191" s="354">
        <v>0</v>
      </c>
      <c r="E191" s="354">
        <v>0</v>
      </c>
      <c r="F191" s="354">
        <v>0</v>
      </c>
      <c r="G191" s="354">
        <v>0</v>
      </c>
      <c r="H191" s="354">
        <v>0</v>
      </c>
      <c r="I191" s="354">
        <v>0</v>
      </c>
      <c r="J191" s="354">
        <v>0</v>
      </c>
      <c r="K191" s="354">
        <v>0</v>
      </c>
      <c r="L191" s="365">
        <v>0</v>
      </c>
      <c r="M191" s="305">
        <f t="shared" si="105"/>
        <v>0</v>
      </c>
      <c r="N191" s="307">
        <f t="shared" si="106"/>
        <v>0</v>
      </c>
      <c r="O191" s="353">
        <v>0</v>
      </c>
      <c r="P191" s="354">
        <v>0</v>
      </c>
      <c r="Q191" s="354">
        <v>0</v>
      </c>
      <c r="R191" s="354">
        <v>0</v>
      </c>
      <c r="S191" s="354">
        <v>0</v>
      </c>
      <c r="T191" s="354">
        <v>0</v>
      </c>
      <c r="U191" s="354">
        <v>0</v>
      </c>
      <c r="V191" s="354">
        <v>0</v>
      </c>
      <c r="W191" s="354">
        <v>0</v>
      </c>
      <c r="X191" s="354">
        <v>0</v>
      </c>
      <c r="Y191" s="365">
        <v>0</v>
      </c>
      <c r="Z191" s="305">
        <f t="shared" si="107"/>
        <v>0</v>
      </c>
      <c r="AA191" s="307">
        <f t="shared" si="108"/>
        <v>0</v>
      </c>
      <c r="AB191" s="91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1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920">
        <f t="shared" si="112"/>
        <v>0</v>
      </c>
      <c r="AE191" s="897">
        <f t="shared" si="109"/>
        <v>0</v>
      </c>
      <c r="AF191" s="897">
        <f t="shared" si="110"/>
        <v>0</v>
      </c>
      <c r="AG191" s="897">
        <f t="shared" si="111"/>
        <v>0</v>
      </c>
      <c r="AH191" s="1113">
        <f t="shared" si="113"/>
        <v>0</v>
      </c>
      <c r="AI191" s="897">
        <f t="shared" si="114"/>
        <v>0</v>
      </c>
      <c r="AJ191" s="236"/>
      <c r="AK191" s="236"/>
      <c r="AL191" s="236"/>
      <c r="AM191" s="236"/>
    </row>
    <row r="192" spans="1:48" x14ac:dyDescent="0.2">
      <c r="A192" s="339">
        <v>2019</v>
      </c>
      <c r="B192" s="353">
        <v>0</v>
      </c>
      <c r="C192" s="354">
        <v>0</v>
      </c>
      <c r="D192" s="354">
        <v>0</v>
      </c>
      <c r="E192" s="354">
        <v>0</v>
      </c>
      <c r="F192" s="354">
        <v>0</v>
      </c>
      <c r="G192" s="354">
        <v>0</v>
      </c>
      <c r="H192" s="354">
        <v>0</v>
      </c>
      <c r="I192" s="354">
        <v>0</v>
      </c>
      <c r="J192" s="354">
        <v>0</v>
      </c>
      <c r="K192" s="354">
        <v>0</v>
      </c>
      <c r="L192" s="365">
        <v>0</v>
      </c>
      <c r="M192" s="305">
        <f t="shared" si="105"/>
        <v>0</v>
      </c>
      <c r="N192" s="307">
        <f t="shared" si="106"/>
        <v>0</v>
      </c>
      <c r="O192" s="353">
        <v>0</v>
      </c>
      <c r="P192" s="354">
        <v>0</v>
      </c>
      <c r="Q192" s="354">
        <v>0</v>
      </c>
      <c r="R192" s="354">
        <v>0</v>
      </c>
      <c r="S192" s="354">
        <v>0</v>
      </c>
      <c r="T192" s="354">
        <v>0</v>
      </c>
      <c r="U192" s="354">
        <v>0</v>
      </c>
      <c r="V192" s="354">
        <v>0</v>
      </c>
      <c r="W192" s="354">
        <v>0</v>
      </c>
      <c r="X192" s="354">
        <v>0</v>
      </c>
      <c r="Y192" s="365">
        <v>0</v>
      </c>
      <c r="Z192" s="305">
        <f t="shared" si="107"/>
        <v>0</v>
      </c>
      <c r="AA192" s="307">
        <f t="shared" si="108"/>
        <v>0</v>
      </c>
      <c r="AB192" s="91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1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920">
        <f t="shared" si="112"/>
        <v>0</v>
      </c>
      <c r="AE192" s="897">
        <f t="shared" si="109"/>
        <v>0</v>
      </c>
      <c r="AF192" s="897">
        <f t="shared" si="110"/>
        <v>0</v>
      </c>
      <c r="AG192" s="897">
        <f t="shared" si="111"/>
        <v>0</v>
      </c>
      <c r="AH192" s="1113">
        <f t="shared" si="113"/>
        <v>0</v>
      </c>
      <c r="AI192" s="897">
        <f t="shared" si="114"/>
        <v>0</v>
      </c>
      <c r="AJ192" s="236"/>
      <c r="AK192" s="236"/>
      <c r="AL192" s="236"/>
      <c r="AM192" s="236"/>
    </row>
    <row r="193" spans="1:39" ht="13.5" thickBot="1" x14ac:dyDescent="0.25">
      <c r="A193" s="337">
        <v>2020</v>
      </c>
      <c r="B193" s="355">
        <v>0</v>
      </c>
      <c r="C193" s="356">
        <v>0</v>
      </c>
      <c r="D193" s="356">
        <v>0</v>
      </c>
      <c r="E193" s="356">
        <v>0</v>
      </c>
      <c r="F193" s="356">
        <v>0</v>
      </c>
      <c r="G193" s="356">
        <v>0</v>
      </c>
      <c r="H193" s="356">
        <v>0</v>
      </c>
      <c r="I193" s="356">
        <v>0</v>
      </c>
      <c r="J193" s="356">
        <v>0</v>
      </c>
      <c r="K193" s="356">
        <v>0</v>
      </c>
      <c r="L193" s="366">
        <v>0</v>
      </c>
      <c r="M193" s="319">
        <f t="shared" si="105"/>
        <v>0</v>
      </c>
      <c r="N193" s="321">
        <f t="shared" si="106"/>
        <v>0</v>
      </c>
      <c r="O193" s="355">
        <v>0</v>
      </c>
      <c r="P193" s="356">
        <v>0</v>
      </c>
      <c r="Q193" s="356">
        <v>0</v>
      </c>
      <c r="R193" s="356">
        <v>0</v>
      </c>
      <c r="S193" s="356">
        <v>0</v>
      </c>
      <c r="T193" s="356">
        <v>0</v>
      </c>
      <c r="U193" s="356">
        <v>0</v>
      </c>
      <c r="V193" s="356">
        <v>0</v>
      </c>
      <c r="W193" s="356">
        <v>0</v>
      </c>
      <c r="X193" s="356">
        <v>0</v>
      </c>
      <c r="Y193" s="366">
        <v>0</v>
      </c>
      <c r="Z193" s="319">
        <f t="shared" si="107"/>
        <v>0</v>
      </c>
      <c r="AA193" s="321">
        <f t="shared" si="108"/>
        <v>0</v>
      </c>
      <c r="AB193" s="91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1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920">
        <f t="shared" si="112"/>
        <v>0</v>
      </c>
      <c r="AE193" s="897">
        <f t="shared" si="109"/>
        <v>0</v>
      </c>
      <c r="AF193" s="897">
        <f t="shared" si="110"/>
        <v>0</v>
      </c>
      <c r="AG193" s="897">
        <f t="shared" si="111"/>
        <v>0</v>
      </c>
      <c r="AH193" s="1113">
        <f t="shared" si="113"/>
        <v>0</v>
      </c>
      <c r="AI193" s="897">
        <f t="shared" si="114"/>
        <v>0</v>
      </c>
      <c r="AJ193" s="236"/>
      <c r="AK193" s="236"/>
      <c r="AL193" s="236"/>
      <c r="AM193" s="236"/>
    </row>
    <row r="194" spans="1:39" x14ac:dyDescent="0.2">
      <c r="A194" s="338">
        <v>2021</v>
      </c>
      <c r="B194" s="351">
        <v>0</v>
      </c>
      <c r="C194" s="352">
        <v>0</v>
      </c>
      <c r="D194" s="352">
        <v>0</v>
      </c>
      <c r="E194" s="352">
        <v>0</v>
      </c>
      <c r="F194" s="352">
        <v>0</v>
      </c>
      <c r="G194" s="352">
        <v>0</v>
      </c>
      <c r="H194" s="352">
        <v>0</v>
      </c>
      <c r="I194" s="352">
        <v>0</v>
      </c>
      <c r="J194" s="352">
        <v>0</v>
      </c>
      <c r="K194" s="352">
        <v>0</v>
      </c>
      <c r="L194" s="364">
        <v>0</v>
      </c>
      <c r="M194" s="291">
        <f t="shared" si="105"/>
        <v>0</v>
      </c>
      <c r="N194" s="293">
        <f t="shared" si="106"/>
        <v>0</v>
      </c>
      <c r="O194" s="351">
        <v>0</v>
      </c>
      <c r="P194" s="352">
        <v>0</v>
      </c>
      <c r="Q194" s="352">
        <v>0</v>
      </c>
      <c r="R194" s="352">
        <v>0</v>
      </c>
      <c r="S194" s="352">
        <v>0</v>
      </c>
      <c r="T194" s="352">
        <v>0</v>
      </c>
      <c r="U194" s="352">
        <v>0</v>
      </c>
      <c r="V194" s="352">
        <v>0</v>
      </c>
      <c r="W194" s="352">
        <v>0</v>
      </c>
      <c r="X194" s="352">
        <v>0</v>
      </c>
      <c r="Y194" s="364">
        <v>0</v>
      </c>
      <c r="Z194" s="291">
        <f t="shared" si="107"/>
        <v>0</v>
      </c>
      <c r="AA194" s="293">
        <f t="shared" si="108"/>
        <v>0</v>
      </c>
      <c r="AB194" s="91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1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920">
        <f t="shared" si="112"/>
        <v>0</v>
      </c>
      <c r="AE194" s="897">
        <f t="shared" si="109"/>
        <v>0</v>
      </c>
      <c r="AF194" s="897">
        <f t="shared" si="110"/>
        <v>0</v>
      </c>
      <c r="AG194" s="897">
        <f t="shared" si="111"/>
        <v>0</v>
      </c>
      <c r="AH194" s="1113">
        <f t="shared" si="113"/>
        <v>0</v>
      </c>
      <c r="AI194" s="897">
        <f t="shared" si="114"/>
        <v>0</v>
      </c>
      <c r="AJ194" s="236"/>
      <c r="AK194" s="236"/>
      <c r="AL194" s="236"/>
      <c r="AM194" s="236"/>
    </row>
    <row r="195" spans="1:39" x14ac:dyDescent="0.2">
      <c r="A195" s="339">
        <v>2022</v>
      </c>
      <c r="B195" s="353">
        <v>0</v>
      </c>
      <c r="C195" s="354">
        <v>0</v>
      </c>
      <c r="D195" s="354">
        <v>0</v>
      </c>
      <c r="E195" s="354">
        <v>0</v>
      </c>
      <c r="F195" s="354">
        <v>0</v>
      </c>
      <c r="G195" s="354">
        <v>0</v>
      </c>
      <c r="H195" s="354">
        <v>0</v>
      </c>
      <c r="I195" s="354">
        <v>0</v>
      </c>
      <c r="J195" s="354">
        <v>0</v>
      </c>
      <c r="K195" s="354">
        <v>0</v>
      </c>
      <c r="L195" s="365">
        <v>0</v>
      </c>
      <c r="M195" s="305">
        <f t="shared" si="105"/>
        <v>0</v>
      </c>
      <c r="N195" s="307">
        <f t="shared" si="106"/>
        <v>0</v>
      </c>
      <c r="O195" s="353">
        <v>0</v>
      </c>
      <c r="P195" s="354">
        <v>0</v>
      </c>
      <c r="Q195" s="354">
        <v>0</v>
      </c>
      <c r="R195" s="354">
        <v>0</v>
      </c>
      <c r="S195" s="354">
        <v>0</v>
      </c>
      <c r="T195" s="354">
        <v>0</v>
      </c>
      <c r="U195" s="354">
        <v>0</v>
      </c>
      <c r="V195" s="354">
        <v>0</v>
      </c>
      <c r="W195" s="354">
        <v>0</v>
      </c>
      <c r="X195" s="354">
        <v>0</v>
      </c>
      <c r="Y195" s="365">
        <v>0</v>
      </c>
      <c r="Z195" s="305">
        <f t="shared" si="107"/>
        <v>0</v>
      </c>
      <c r="AA195" s="307">
        <f t="shared" si="108"/>
        <v>0</v>
      </c>
      <c r="AB195" s="91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1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920">
        <f t="shared" si="112"/>
        <v>0</v>
      </c>
      <c r="AE195" s="897">
        <f>SUMPRODUCT($B$74:$L$74,B195:L195)</f>
        <v>0</v>
      </c>
      <c r="AF195" s="897">
        <f>SUMPRODUCT($O$74:$Y$74,O195:Y195)</f>
        <v>0</v>
      </c>
      <c r="AG195" s="897">
        <f>SUM(AE195:AF195)</f>
        <v>0</v>
      </c>
      <c r="AH195" s="1113">
        <f t="shared" si="113"/>
        <v>0</v>
      </c>
      <c r="AI195" s="897">
        <f t="shared" si="114"/>
        <v>0</v>
      </c>
      <c r="AJ195" s="236"/>
      <c r="AK195" s="236"/>
      <c r="AL195" s="236"/>
      <c r="AM195" s="236"/>
    </row>
    <row r="196" spans="1:39" x14ac:dyDescent="0.2">
      <c r="A196" s="339">
        <v>2023</v>
      </c>
      <c r="B196" s="353">
        <v>0</v>
      </c>
      <c r="C196" s="354">
        <v>0</v>
      </c>
      <c r="D196" s="354">
        <v>0</v>
      </c>
      <c r="E196" s="354">
        <v>0</v>
      </c>
      <c r="F196" s="354">
        <v>0</v>
      </c>
      <c r="G196" s="354">
        <v>0</v>
      </c>
      <c r="H196" s="354">
        <v>0</v>
      </c>
      <c r="I196" s="354">
        <v>0</v>
      </c>
      <c r="J196" s="354">
        <v>0</v>
      </c>
      <c r="K196" s="354">
        <v>0</v>
      </c>
      <c r="L196" s="365">
        <v>0</v>
      </c>
      <c r="M196" s="305">
        <f t="shared" si="105"/>
        <v>0</v>
      </c>
      <c r="N196" s="307">
        <f t="shared" si="106"/>
        <v>0</v>
      </c>
      <c r="O196" s="353">
        <v>0</v>
      </c>
      <c r="P196" s="354">
        <v>0</v>
      </c>
      <c r="Q196" s="354">
        <v>0</v>
      </c>
      <c r="R196" s="354">
        <v>0</v>
      </c>
      <c r="S196" s="354">
        <v>0</v>
      </c>
      <c r="T196" s="354">
        <v>0</v>
      </c>
      <c r="U196" s="354">
        <v>0</v>
      </c>
      <c r="V196" s="354">
        <v>0</v>
      </c>
      <c r="W196" s="354">
        <v>0</v>
      </c>
      <c r="X196" s="354">
        <v>0</v>
      </c>
      <c r="Y196" s="365">
        <v>0</v>
      </c>
      <c r="Z196" s="305">
        <f t="shared" si="107"/>
        <v>0</v>
      </c>
      <c r="AA196" s="307">
        <f t="shared" si="108"/>
        <v>0</v>
      </c>
      <c r="AB196" s="91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1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920">
        <f t="shared" si="112"/>
        <v>0</v>
      </c>
      <c r="AE196" s="897">
        <f t="shared" ref="AE196:AE223" si="116">SUMPRODUCT($B$74:$L$74,B196:L196)</f>
        <v>0</v>
      </c>
      <c r="AF196" s="897">
        <f t="shared" ref="AF196:AF223" si="117">SUMPRODUCT($O$74:$Y$74,O196:Y196)</f>
        <v>0</v>
      </c>
      <c r="AG196" s="897">
        <f t="shared" ref="AG196:AG223" si="118">SUM(AE196:AF196)</f>
        <v>0</v>
      </c>
      <c r="AH196" s="1113">
        <f t="shared" si="113"/>
        <v>0</v>
      </c>
      <c r="AI196" s="897">
        <f t="shared" si="114"/>
        <v>0</v>
      </c>
      <c r="AJ196" s="236"/>
      <c r="AK196" s="236"/>
      <c r="AL196" s="236"/>
      <c r="AM196" s="236"/>
    </row>
    <row r="197" spans="1:39" x14ac:dyDescent="0.2">
      <c r="A197" s="339">
        <v>2024</v>
      </c>
      <c r="B197" s="353">
        <v>0</v>
      </c>
      <c r="C197" s="354">
        <v>0</v>
      </c>
      <c r="D197" s="354">
        <v>0</v>
      </c>
      <c r="E197" s="354">
        <v>0</v>
      </c>
      <c r="F197" s="354">
        <v>0</v>
      </c>
      <c r="G197" s="354">
        <v>0</v>
      </c>
      <c r="H197" s="354">
        <v>0</v>
      </c>
      <c r="I197" s="354">
        <v>0</v>
      </c>
      <c r="J197" s="354">
        <v>0</v>
      </c>
      <c r="K197" s="354">
        <v>0</v>
      </c>
      <c r="L197" s="365">
        <v>0</v>
      </c>
      <c r="M197" s="305">
        <f t="shared" si="105"/>
        <v>0</v>
      </c>
      <c r="N197" s="307">
        <f t="shared" si="106"/>
        <v>0</v>
      </c>
      <c r="O197" s="353">
        <v>0</v>
      </c>
      <c r="P197" s="354">
        <v>0</v>
      </c>
      <c r="Q197" s="354">
        <v>0</v>
      </c>
      <c r="R197" s="354">
        <v>0</v>
      </c>
      <c r="S197" s="354">
        <v>0</v>
      </c>
      <c r="T197" s="354">
        <v>0</v>
      </c>
      <c r="U197" s="354">
        <v>0</v>
      </c>
      <c r="V197" s="354">
        <v>0</v>
      </c>
      <c r="W197" s="354">
        <v>0</v>
      </c>
      <c r="X197" s="354">
        <v>0</v>
      </c>
      <c r="Y197" s="365">
        <v>0</v>
      </c>
      <c r="Z197" s="305">
        <f t="shared" si="107"/>
        <v>0</v>
      </c>
      <c r="AA197" s="307">
        <f t="shared" si="108"/>
        <v>0</v>
      </c>
      <c r="AB197" s="91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1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920">
        <f t="shared" si="112"/>
        <v>0</v>
      </c>
      <c r="AE197" s="897">
        <f t="shared" si="116"/>
        <v>0</v>
      </c>
      <c r="AF197" s="897">
        <f t="shared" si="117"/>
        <v>0</v>
      </c>
      <c r="AG197" s="897">
        <f t="shared" si="118"/>
        <v>0</v>
      </c>
      <c r="AH197" s="1113">
        <f t="shared" si="113"/>
        <v>0</v>
      </c>
      <c r="AI197" s="897">
        <f t="shared" si="114"/>
        <v>0</v>
      </c>
      <c r="AJ197" s="236"/>
      <c r="AK197" s="236"/>
      <c r="AL197" s="236"/>
      <c r="AM197" s="236"/>
    </row>
    <row r="198" spans="1:39" ht="13.5" thickBot="1" x14ac:dyDescent="0.25">
      <c r="A198" s="337">
        <v>2025</v>
      </c>
      <c r="B198" s="355">
        <v>0</v>
      </c>
      <c r="C198" s="356">
        <v>0</v>
      </c>
      <c r="D198" s="356">
        <v>0</v>
      </c>
      <c r="E198" s="356">
        <v>0</v>
      </c>
      <c r="F198" s="356">
        <v>0</v>
      </c>
      <c r="G198" s="356">
        <v>0</v>
      </c>
      <c r="H198" s="356">
        <v>0</v>
      </c>
      <c r="I198" s="356">
        <v>0</v>
      </c>
      <c r="J198" s="356">
        <v>0</v>
      </c>
      <c r="K198" s="356">
        <v>0</v>
      </c>
      <c r="L198" s="366">
        <v>0</v>
      </c>
      <c r="M198" s="319">
        <f t="shared" si="105"/>
        <v>0</v>
      </c>
      <c r="N198" s="321">
        <f t="shared" si="106"/>
        <v>0</v>
      </c>
      <c r="O198" s="355">
        <v>0</v>
      </c>
      <c r="P198" s="356">
        <v>0</v>
      </c>
      <c r="Q198" s="356">
        <v>0</v>
      </c>
      <c r="R198" s="356">
        <v>0</v>
      </c>
      <c r="S198" s="356">
        <v>0</v>
      </c>
      <c r="T198" s="356">
        <v>0</v>
      </c>
      <c r="U198" s="356">
        <v>0</v>
      </c>
      <c r="V198" s="356">
        <v>0</v>
      </c>
      <c r="W198" s="356">
        <v>0</v>
      </c>
      <c r="X198" s="356">
        <v>0</v>
      </c>
      <c r="Y198" s="366">
        <v>0</v>
      </c>
      <c r="Z198" s="319">
        <f t="shared" si="107"/>
        <v>0</v>
      </c>
      <c r="AA198" s="321">
        <f t="shared" si="108"/>
        <v>0</v>
      </c>
      <c r="AB198" s="91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1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920">
        <f t="shared" si="112"/>
        <v>0</v>
      </c>
      <c r="AE198" s="897">
        <f t="shared" si="116"/>
        <v>0</v>
      </c>
      <c r="AF198" s="897">
        <f t="shared" si="117"/>
        <v>0</v>
      </c>
      <c r="AG198" s="897">
        <f t="shared" si="118"/>
        <v>0</v>
      </c>
      <c r="AH198" s="1113">
        <f t="shared" si="113"/>
        <v>0</v>
      </c>
      <c r="AI198" s="897">
        <f t="shared" si="114"/>
        <v>0</v>
      </c>
      <c r="AJ198" s="236"/>
      <c r="AK198" s="236"/>
      <c r="AL198" s="236"/>
      <c r="AM198" s="236"/>
    </row>
    <row r="199" spans="1:39" x14ac:dyDescent="0.2">
      <c r="A199" s="338">
        <v>2026</v>
      </c>
      <c r="B199" s="351">
        <v>0</v>
      </c>
      <c r="C199" s="352">
        <v>0</v>
      </c>
      <c r="D199" s="352">
        <v>0</v>
      </c>
      <c r="E199" s="352">
        <v>0</v>
      </c>
      <c r="F199" s="352">
        <v>0</v>
      </c>
      <c r="G199" s="352">
        <v>0</v>
      </c>
      <c r="H199" s="352">
        <v>0</v>
      </c>
      <c r="I199" s="352">
        <v>0</v>
      </c>
      <c r="J199" s="352">
        <v>0</v>
      </c>
      <c r="K199" s="352">
        <v>0</v>
      </c>
      <c r="L199" s="364">
        <v>0</v>
      </c>
      <c r="M199" s="291">
        <f t="shared" si="105"/>
        <v>0</v>
      </c>
      <c r="N199" s="293">
        <f t="shared" si="106"/>
        <v>0</v>
      </c>
      <c r="O199" s="351">
        <v>0</v>
      </c>
      <c r="P199" s="352">
        <v>0</v>
      </c>
      <c r="Q199" s="352">
        <v>0</v>
      </c>
      <c r="R199" s="352">
        <v>0</v>
      </c>
      <c r="S199" s="352">
        <v>0</v>
      </c>
      <c r="T199" s="352">
        <v>0</v>
      </c>
      <c r="U199" s="352">
        <v>0</v>
      </c>
      <c r="V199" s="352">
        <v>0</v>
      </c>
      <c r="W199" s="352">
        <v>0</v>
      </c>
      <c r="X199" s="352">
        <v>0</v>
      </c>
      <c r="Y199" s="364">
        <v>0</v>
      </c>
      <c r="Z199" s="291">
        <f t="shared" si="107"/>
        <v>0</v>
      </c>
      <c r="AA199" s="293">
        <f t="shared" si="108"/>
        <v>0</v>
      </c>
      <c r="AB199" s="91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1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920">
        <f t="shared" si="112"/>
        <v>0</v>
      </c>
      <c r="AE199" s="897">
        <f t="shared" si="116"/>
        <v>0</v>
      </c>
      <c r="AF199" s="897">
        <f t="shared" si="117"/>
        <v>0</v>
      </c>
      <c r="AG199" s="897">
        <f t="shared" si="118"/>
        <v>0</v>
      </c>
      <c r="AH199" s="1113">
        <f t="shared" si="113"/>
        <v>0</v>
      </c>
      <c r="AI199" s="897">
        <f t="shared" si="114"/>
        <v>0</v>
      </c>
      <c r="AJ199" s="236"/>
      <c r="AK199" s="236"/>
      <c r="AL199" s="236"/>
      <c r="AM199" s="236"/>
    </row>
    <row r="200" spans="1:39" x14ac:dyDescent="0.2">
      <c r="A200" s="339">
        <v>2027</v>
      </c>
      <c r="B200" s="353">
        <v>0</v>
      </c>
      <c r="C200" s="354">
        <v>0</v>
      </c>
      <c r="D200" s="354">
        <v>0</v>
      </c>
      <c r="E200" s="354">
        <v>0</v>
      </c>
      <c r="F200" s="354">
        <v>0</v>
      </c>
      <c r="G200" s="354">
        <v>0</v>
      </c>
      <c r="H200" s="354">
        <v>0</v>
      </c>
      <c r="I200" s="354">
        <v>0</v>
      </c>
      <c r="J200" s="354">
        <v>0</v>
      </c>
      <c r="K200" s="354">
        <v>0</v>
      </c>
      <c r="L200" s="365">
        <v>0</v>
      </c>
      <c r="M200" s="305">
        <f t="shared" si="105"/>
        <v>0</v>
      </c>
      <c r="N200" s="307">
        <f t="shared" si="106"/>
        <v>0</v>
      </c>
      <c r="O200" s="353">
        <v>0</v>
      </c>
      <c r="P200" s="354">
        <v>0</v>
      </c>
      <c r="Q200" s="354">
        <v>0</v>
      </c>
      <c r="R200" s="354">
        <v>0</v>
      </c>
      <c r="S200" s="354">
        <v>0</v>
      </c>
      <c r="T200" s="354">
        <v>0</v>
      </c>
      <c r="U200" s="354">
        <v>0</v>
      </c>
      <c r="V200" s="354">
        <v>0</v>
      </c>
      <c r="W200" s="354">
        <v>0</v>
      </c>
      <c r="X200" s="354">
        <v>0</v>
      </c>
      <c r="Y200" s="365">
        <v>0</v>
      </c>
      <c r="Z200" s="305">
        <f t="shared" si="107"/>
        <v>0</v>
      </c>
      <c r="AA200" s="307">
        <f t="shared" si="108"/>
        <v>0</v>
      </c>
      <c r="AB200" s="91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1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920">
        <f t="shared" si="112"/>
        <v>0</v>
      </c>
      <c r="AE200" s="897">
        <f t="shared" si="116"/>
        <v>0</v>
      </c>
      <c r="AF200" s="897">
        <f t="shared" si="117"/>
        <v>0</v>
      </c>
      <c r="AG200" s="897">
        <f t="shared" si="118"/>
        <v>0</v>
      </c>
      <c r="AH200" s="1113">
        <f t="shared" si="113"/>
        <v>0</v>
      </c>
      <c r="AI200" s="897">
        <f t="shared" si="114"/>
        <v>0</v>
      </c>
      <c r="AJ200" s="236"/>
      <c r="AK200" s="236"/>
      <c r="AL200" s="236"/>
      <c r="AM200" s="236"/>
    </row>
    <row r="201" spans="1:39" x14ac:dyDescent="0.2">
      <c r="A201" s="339">
        <v>2028</v>
      </c>
      <c r="B201" s="353">
        <v>0</v>
      </c>
      <c r="C201" s="354">
        <v>0</v>
      </c>
      <c r="D201" s="354">
        <v>0</v>
      </c>
      <c r="E201" s="354">
        <v>0</v>
      </c>
      <c r="F201" s="354">
        <v>0</v>
      </c>
      <c r="G201" s="354">
        <v>0</v>
      </c>
      <c r="H201" s="354">
        <v>0</v>
      </c>
      <c r="I201" s="354">
        <v>0</v>
      </c>
      <c r="J201" s="354">
        <v>0</v>
      </c>
      <c r="K201" s="354">
        <v>0</v>
      </c>
      <c r="L201" s="365">
        <v>0</v>
      </c>
      <c r="M201" s="305">
        <f t="shared" si="105"/>
        <v>0</v>
      </c>
      <c r="N201" s="307">
        <f t="shared" si="106"/>
        <v>0</v>
      </c>
      <c r="O201" s="353">
        <v>0</v>
      </c>
      <c r="P201" s="354">
        <v>0</v>
      </c>
      <c r="Q201" s="354">
        <v>0</v>
      </c>
      <c r="R201" s="354">
        <v>0</v>
      </c>
      <c r="S201" s="354">
        <v>0</v>
      </c>
      <c r="T201" s="354">
        <v>0</v>
      </c>
      <c r="U201" s="354">
        <v>0</v>
      </c>
      <c r="V201" s="354">
        <v>0</v>
      </c>
      <c r="W201" s="354">
        <v>0</v>
      </c>
      <c r="X201" s="354">
        <v>0</v>
      </c>
      <c r="Y201" s="365">
        <v>0</v>
      </c>
      <c r="Z201" s="305">
        <f t="shared" si="107"/>
        <v>0</v>
      </c>
      <c r="AA201" s="307">
        <f t="shared" si="108"/>
        <v>0</v>
      </c>
      <c r="AB201" s="91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1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920">
        <f t="shared" si="112"/>
        <v>0</v>
      </c>
      <c r="AE201" s="897">
        <f t="shared" si="116"/>
        <v>0</v>
      </c>
      <c r="AF201" s="897">
        <f t="shared" si="117"/>
        <v>0</v>
      </c>
      <c r="AG201" s="897">
        <f t="shared" si="118"/>
        <v>0</v>
      </c>
      <c r="AH201" s="1113">
        <f t="shared" si="113"/>
        <v>0</v>
      </c>
      <c r="AI201" s="897">
        <f t="shared" si="114"/>
        <v>0</v>
      </c>
      <c r="AJ201" s="236"/>
      <c r="AK201" s="236"/>
      <c r="AL201" s="236"/>
      <c r="AM201" s="236"/>
    </row>
    <row r="202" spans="1:39" x14ac:dyDescent="0.2">
      <c r="A202" s="339">
        <v>2029</v>
      </c>
      <c r="B202" s="353">
        <v>0</v>
      </c>
      <c r="C202" s="354">
        <v>0</v>
      </c>
      <c r="D202" s="354">
        <v>0</v>
      </c>
      <c r="E202" s="354">
        <v>0</v>
      </c>
      <c r="F202" s="354">
        <v>0</v>
      </c>
      <c r="G202" s="354">
        <v>0</v>
      </c>
      <c r="H202" s="354">
        <v>0</v>
      </c>
      <c r="I202" s="354">
        <v>0</v>
      </c>
      <c r="J202" s="354">
        <v>0</v>
      </c>
      <c r="K202" s="354">
        <v>0</v>
      </c>
      <c r="L202" s="365">
        <v>0</v>
      </c>
      <c r="M202" s="305">
        <f t="shared" si="105"/>
        <v>0</v>
      </c>
      <c r="N202" s="307">
        <f t="shared" si="106"/>
        <v>0</v>
      </c>
      <c r="O202" s="353">
        <v>0</v>
      </c>
      <c r="P202" s="354">
        <v>0</v>
      </c>
      <c r="Q202" s="354">
        <v>0</v>
      </c>
      <c r="R202" s="354">
        <v>0</v>
      </c>
      <c r="S202" s="354">
        <v>0</v>
      </c>
      <c r="T202" s="354">
        <v>0</v>
      </c>
      <c r="U202" s="354">
        <v>0</v>
      </c>
      <c r="V202" s="354">
        <v>0</v>
      </c>
      <c r="W202" s="354">
        <v>0</v>
      </c>
      <c r="X202" s="354">
        <v>0</v>
      </c>
      <c r="Y202" s="365">
        <v>0</v>
      </c>
      <c r="Z202" s="305">
        <f t="shared" si="107"/>
        <v>0</v>
      </c>
      <c r="AA202" s="307">
        <f t="shared" si="108"/>
        <v>0</v>
      </c>
      <c r="AB202" s="91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1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920">
        <f t="shared" si="112"/>
        <v>0</v>
      </c>
      <c r="AE202" s="897">
        <f t="shared" si="116"/>
        <v>0</v>
      </c>
      <c r="AF202" s="897">
        <f t="shared" si="117"/>
        <v>0</v>
      </c>
      <c r="AG202" s="897">
        <f t="shared" si="118"/>
        <v>0</v>
      </c>
      <c r="AH202" s="1113">
        <f t="shared" si="113"/>
        <v>0</v>
      </c>
      <c r="AI202" s="897">
        <f t="shared" si="114"/>
        <v>0</v>
      </c>
      <c r="AJ202" s="236"/>
      <c r="AK202" s="236"/>
      <c r="AL202" s="236"/>
      <c r="AM202" s="236"/>
    </row>
    <row r="203" spans="1:39" ht="13.5" thickBot="1" x14ac:dyDescent="0.25">
      <c r="A203" s="337">
        <v>2030</v>
      </c>
      <c r="B203" s="355">
        <v>0</v>
      </c>
      <c r="C203" s="356">
        <v>0</v>
      </c>
      <c r="D203" s="356">
        <v>0</v>
      </c>
      <c r="E203" s="356">
        <v>0</v>
      </c>
      <c r="F203" s="356">
        <v>0</v>
      </c>
      <c r="G203" s="356">
        <v>0</v>
      </c>
      <c r="H203" s="356">
        <v>0</v>
      </c>
      <c r="I203" s="356">
        <v>0</v>
      </c>
      <c r="J203" s="356">
        <v>0</v>
      </c>
      <c r="K203" s="356">
        <v>0</v>
      </c>
      <c r="L203" s="366">
        <v>0</v>
      </c>
      <c r="M203" s="319">
        <f t="shared" si="105"/>
        <v>0</v>
      </c>
      <c r="N203" s="321">
        <f t="shared" si="106"/>
        <v>0</v>
      </c>
      <c r="O203" s="355">
        <v>0</v>
      </c>
      <c r="P203" s="356">
        <v>0</v>
      </c>
      <c r="Q203" s="356">
        <v>0</v>
      </c>
      <c r="R203" s="356">
        <v>0</v>
      </c>
      <c r="S203" s="356">
        <v>0</v>
      </c>
      <c r="T203" s="356">
        <v>0</v>
      </c>
      <c r="U203" s="356">
        <v>0</v>
      </c>
      <c r="V203" s="356">
        <v>0</v>
      </c>
      <c r="W203" s="356">
        <v>0</v>
      </c>
      <c r="X203" s="356">
        <v>0</v>
      </c>
      <c r="Y203" s="366">
        <v>0</v>
      </c>
      <c r="Z203" s="319">
        <f t="shared" si="107"/>
        <v>0</v>
      </c>
      <c r="AA203" s="321">
        <f t="shared" si="108"/>
        <v>0</v>
      </c>
      <c r="AB203" s="91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1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920">
        <f t="shared" si="112"/>
        <v>0</v>
      </c>
      <c r="AE203" s="897">
        <f t="shared" si="116"/>
        <v>0</v>
      </c>
      <c r="AF203" s="897">
        <f t="shared" si="117"/>
        <v>0</v>
      </c>
      <c r="AG203" s="897">
        <f t="shared" si="118"/>
        <v>0</v>
      </c>
      <c r="AH203" s="1113">
        <f t="shared" si="113"/>
        <v>0</v>
      </c>
      <c r="AI203" s="897">
        <f t="shared" si="114"/>
        <v>0</v>
      </c>
      <c r="AJ203" s="236"/>
      <c r="AK203" s="236"/>
      <c r="AL203" s="236"/>
      <c r="AM203" s="236"/>
    </row>
    <row r="204" spans="1:39" x14ac:dyDescent="0.2">
      <c r="A204" s="338">
        <v>2031</v>
      </c>
      <c r="B204" s="351">
        <v>0</v>
      </c>
      <c r="C204" s="352">
        <v>0</v>
      </c>
      <c r="D204" s="352">
        <v>0</v>
      </c>
      <c r="E204" s="352">
        <v>0</v>
      </c>
      <c r="F204" s="352">
        <v>0</v>
      </c>
      <c r="G204" s="352">
        <v>0</v>
      </c>
      <c r="H204" s="352">
        <v>0</v>
      </c>
      <c r="I204" s="352">
        <v>0</v>
      </c>
      <c r="J204" s="352">
        <v>0</v>
      </c>
      <c r="K204" s="352">
        <v>0</v>
      </c>
      <c r="L204" s="364">
        <v>0</v>
      </c>
      <c r="M204" s="291">
        <f t="shared" si="105"/>
        <v>0</v>
      </c>
      <c r="N204" s="293">
        <f t="shared" si="106"/>
        <v>0</v>
      </c>
      <c r="O204" s="351">
        <v>0</v>
      </c>
      <c r="P204" s="352">
        <v>0</v>
      </c>
      <c r="Q204" s="352">
        <v>0</v>
      </c>
      <c r="R204" s="352">
        <v>0</v>
      </c>
      <c r="S204" s="352">
        <v>0</v>
      </c>
      <c r="T204" s="352">
        <v>0</v>
      </c>
      <c r="U204" s="352">
        <v>0</v>
      </c>
      <c r="V204" s="352">
        <v>0</v>
      </c>
      <c r="W204" s="352">
        <v>0</v>
      </c>
      <c r="X204" s="352">
        <v>0</v>
      </c>
      <c r="Y204" s="364">
        <v>0</v>
      </c>
      <c r="Z204" s="291">
        <f t="shared" si="107"/>
        <v>0</v>
      </c>
      <c r="AA204" s="293">
        <f t="shared" si="108"/>
        <v>0</v>
      </c>
      <c r="AB204" s="91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1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920">
        <f t="shared" si="112"/>
        <v>0</v>
      </c>
      <c r="AE204" s="897">
        <f t="shared" si="116"/>
        <v>0</v>
      </c>
      <c r="AF204" s="897">
        <f t="shared" si="117"/>
        <v>0</v>
      </c>
      <c r="AG204" s="897">
        <f t="shared" si="118"/>
        <v>0</v>
      </c>
      <c r="AH204" s="1113">
        <f t="shared" si="113"/>
        <v>0</v>
      </c>
      <c r="AI204" s="897">
        <f t="shared" si="114"/>
        <v>0</v>
      </c>
      <c r="AJ204" s="236"/>
      <c r="AK204" s="236"/>
      <c r="AL204" s="236"/>
      <c r="AM204" s="236"/>
    </row>
    <row r="205" spans="1:39" x14ac:dyDescent="0.2">
      <c r="A205" s="339">
        <v>2032</v>
      </c>
      <c r="B205" s="353">
        <v>0</v>
      </c>
      <c r="C205" s="354">
        <v>0</v>
      </c>
      <c r="D205" s="354">
        <v>0</v>
      </c>
      <c r="E205" s="354">
        <v>0</v>
      </c>
      <c r="F205" s="354">
        <v>0</v>
      </c>
      <c r="G205" s="354">
        <v>0</v>
      </c>
      <c r="H205" s="354">
        <v>0</v>
      </c>
      <c r="I205" s="354">
        <v>0</v>
      </c>
      <c r="J205" s="354">
        <v>0</v>
      </c>
      <c r="K205" s="354">
        <v>0</v>
      </c>
      <c r="L205" s="365">
        <v>0</v>
      </c>
      <c r="M205" s="305">
        <f t="shared" si="105"/>
        <v>0</v>
      </c>
      <c r="N205" s="307">
        <f t="shared" si="106"/>
        <v>0</v>
      </c>
      <c r="O205" s="353">
        <v>0</v>
      </c>
      <c r="P205" s="354">
        <v>0</v>
      </c>
      <c r="Q205" s="354">
        <v>0</v>
      </c>
      <c r="R205" s="354">
        <v>0</v>
      </c>
      <c r="S205" s="354">
        <v>0</v>
      </c>
      <c r="T205" s="354">
        <v>0</v>
      </c>
      <c r="U205" s="354">
        <v>0</v>
      </c>
      <c r="V205" s="354">
        <v>0</v>
      </c>
      <c r="W205" s="354">
        <v>0</v>
      </c>
      <c r="X205" s="354">
        <v>0</v>
      </c>
      <c r="Y205" s="365">
        <v>0</v>
      </c>
      <c r="Z205" s="305">
        <f t="shared" si="107"/>
        <v>0</v>
      </c>
      <c r="AA205" s="307">
        <f t="shared" si="108"/>
        <v>0</v>
      </c>
      <c r="AB205" s="91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1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920">
        <f t="shared" si="112"/>
        <v>0</v>
      </c>
      <c r="AE205" s="897">
        <f t="shared" si="116"/>
        <v>0</v>
      </c>
      <c r="AF205" s="897">
        <f t="shared" si="117"/>
        <v>0</v>
      </c>
      <c r="AG205" s="897">
        <f t="shared" si="118"/>
        <v>0</v>
      </c>
      <c r="AH205" s="1113">
        <f t="shared" si="113"/>
        <v>0</v>
      </c>
      <c r="AI205" s="897">
        <f t="shared" si="114"/>
        <v>0</v>
      </c>
      <c r="AJ205" s="236"/>
      <c r="AK205" s="236"/>
      <c r="AL205" s="236"/>
      <c r="AM205" s="236"/>
    </row>
    <row r="206" spans="1:39" x14ac:dyDescent="0.2">
      <c r="A206" s="339">
        <v>2033</v>
      </c>
      <c r="B206" s="353">
        <v>0</v>
      </c>
      <c r="C206" s="354">
        <v>0</v>
      </c>
      <c r="D206" s="354">
        <v>0</v>
      </c>
      <c r="E206" s="354">
        <v>0</v>
      </c>
      <c r="F206" s="354">
        <v>0</v>
      </c>
      <c r="G206" s="354">
        <v>0</v>
      </c>
      <c r="H206" s="354">
        <v>0</v>
      </c>
      <c r="I206" s="354">
        <v>0</v>
      </c>
      <c r="J206" s="354">
        <v>0</v>
      </c>
      <c r="K206" s="354">
        <v>0</v>
      </c>
      <c r="L206" s="365">
        <v>0</v>
      </c>
      <c r="M206" s="305">
        <f t="shared" si="105"/>
        <v>0</v>
      </c>
      <c r="N206" s="307">
        <f t="shared" si="106"/>
        <v>0</v>
      </c>
      <c r="O206" s="353">
        <v>0</v>
      </c>
      <c r="P206" s="354">
        <v>0</v>
      </c>
      <c r="Q206" s="354">
        <v>0</v>
      </c>
      <c r="R206" s="354">
        <v>0</v>
      </c>
      <c r="S206" s="354">
        <v>0</v>
      </c>
      <c r="T206" s="354">
        <v>0</v>
      </c>
      <c r="U206" s="354">
        <v>0</v>
      </c>
      <c r="V206" s="354">
        <v>0</v>
      </c>
      <c r="W206" s="354">
        <v>0</v>
      </c>
      <c r="X206" s="354">
        <v>0</v>
      </c>
      <c r="Y206" s="365">
        <v>0</v>
      </c>
      <c r="Z206" s="305">
        <f t="shared" si="107"/>
        <v>0</v>
      </c>
      <c r="AA206" s="307">
        <f t="shared" si="108"/>
        <v>0</v>
      </c>
      <c r="AB206" s="91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1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920">
        <f t="shared" si="112"/>
        <v>0</v>
      </c>
      <c r="AE206" s="897">
        <f t="shared" si="116"/>
        <v>0</v>
      </c>
      <c r="AF206" s="897">
        <f t="shared" si="117"/>
        <v>0</v>
      </c>
      <c r="AG206" s="897">
        <f t="shared" si="118"/>
        <v>0</v>
      </c>
      <c r="AH206" s="1113">
        <f t="shared" si="113"/>
        <v>0</v>
      </c>
      <c r="AI206" s="897">
        <f t="shared" si="114"/>
        <v>0</v>
      </c>
      <c r="AJ206" s="236"/>
      <c r="AK206" s="236"/>
      <c r="AL206" s="236"/>
      <c r="AM206" s="236"/>
    </row>
    <row r="207" spans="1:39" x14ac:dyDescent="0.2">
      <c r="A207" s="339">
        <v>2034</v>
      </c>
      <c r="B207" s="353">
        <v>0</v>
      </c>
      <c r="C207" s="354">
        <v>0</v>
      </c>
      <c r="D207" s="354">
        <v>0</v>
      </c>
      <c r="E207" s="354">
        <v>0</v>
      </c>
      <c r="F207" s="354">
        <v>0</v>
      </c>
      <c r="G207" s="354">
        <v>0</v>
      </c>
      <c r="H207" s="354">
        <v>0</v>
      </c>
      <c r="I207" s="354">
        <v>0</v>
      </c>
      <c r="J207" s="354">
        <v>0</v>
      </c>
      <c r="K207" s="354">
        <v>0</v>
      </c>
      <c r="L207" s="365">
        <v>0</v>
      </c>
      <c r="M207" s="305">
        <f t="shared" si="105"/>
        <v>0</v>
      </c>
      <c r="N207" s="307">
        <f t="shared" si="106"/>
        <v>0</v>
      </c>
      <c r="O207" s="353">
        <v>0</v>
      </c>
      <c r="P207" s="354">
        <v>0</v>
      </c>
      <c r="Q207" s="354">
        <v>0</v>
      </c>
      <c r="R207" s="354">
        <v>0</v>
      </c>
      <c r="S207" s="354">
        <v>0</v>
      </c>
      <c r="T207" s="354">
        <v>0</v>
      </c>
      <c r="U207" s="354">
        <v>0</v>
      </c>
      <c r="V207" s="354">
        <v>0</v>
      </c>
      <c r="W207" s="354">
        <v>0</v>
      </c>
      <c r="X207" s="354">
        <v>0</v>
      </c>
      <c r="Y207" s="365">
        <v>0</v>
      </c>
      <c r="Z207" s="305">
        <f t="shared" si="107"/>
        <v>0</v>
      </c>
      <c r="AA207" s="307">
        <f t="shared" si="108"/>
        <v>0</v>
      </c>
      <c r="AB207" s="91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1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920">
        <f t="shared" si="112"/>
        <v>0</v>
      </c>
      <c r="AE207" s="897">
        <f t="shared" si="116"/>
        <v>0</v>
      </c>
      <c r="AF207" s="897">
        <f t="shared" si="117"/>
        <v>0</v>
      </c>
      <c r="AG207" s="897">
        <f t="shared" si="118"/>
        <v>0</v>
      </c>
      <c r="AH207" s="1113">
        <f t="shared" si="113"/>
        <v>0</v>
      </c>
      <c r="AI207" s="897">
        <f t="shared" si="114"/>
        <v>0</v>
      </c>
      <c r="AJ207" s="236"/>
      <c r="AK207" s="236"/>
      <c r="AL207" s="236"/>
      <c r="AM207" s="236"/>
    </row>
    <row r="208" spans="1:39" ht="13.5" thickBot="1" x14ac:dyDescent="0.25">
      <c r="A208" s="337">
        <v>2035</v>
      </c>
      <c r="B208" s="355">
        <v>0</v>
      </c>
      <c r="C208" s="356">
        <v>0</v>
      </c>
      <c r="D208" s="356">
        <v>0</v>
      </c>
      <c r="E208" s="356">
        <v>0</v>
      </c>
      <c r="F208" s="356">
        <v>0</v>
      </c>
      <c r="G208" s="356">
        <v>0</v>
      </c>
      <c r="H208" s="356">
        <v>0</v>
      </c>
      <c r="I208" s="356">
        <v>0</v>
      </c>
      <c r="J208" s="356">
        <v>0</v>
      </c>
      <c r="K208" s="356">
        <v>0</v>
      </c>
      <c r="L208" s="366">
        <v>0</v>
      </c>
      <c r="M208" s="319">
        <f t="shared" si="105"/>
        <v>0</v>
      </c>
      <c r="N208" s="321">
        <f t="shared" si="106"/>
        <v>0</v>
      </c>
      <c r="O208" s="355">
        <v>0</v>
      </c>
      <c r="P208" s="356">
        <v>0</v>
      </c>
      <c r="Q208" s="356">
        <v>0</v>
      </c>
      <c r="R208" s="356">
        <v>0</v>
      </c>
      <c r="S208" s="356">
        <v>0</v>
      </c>
      <c r="T208" s="356">
        <v>0</v>
      </c>
      <c r="U208" s="356">
        <v>0</v>
      </c>
      <c r="V208" s="356">
        <v>0</v>
      </c>
      <c r="W208" s="356">
        <v>0</v>
      </c>
      <c r="X208" s="356">
        <v>0</v>
      </c>
      <c r="Y208" s="366">
        <v>0</v>
      </c>
      <c r="Z208" s="319">
        <f t="shared" si="107"/>
        <v>0</v>
      </c>
      <c r="AA208" s="321">
        <f t="shared" si="108"/>
        <v>0</v>
      </c>
      <c r="AB208" s="91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1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920">
        <f t="shared" si="112"/>
        <v>0</v>
      </c>
      <c r="AE208" s="897">
        <f t="shared" si="116"/>
        <v>0</v>
      </c>
      <c r="AF208" s="897">
        <f t="shared" si="117"/>
        <v>0</v>
      </c>
      <c r="AG208" s="897">
        <f t="shared" si="118"/>
        <v>0</v>
      </c>
      <c r="AH208" s="1113">
        <f t="shared" si="113"/>
        <v>0</v>
      </c>
      <c r="AI208" s="897">
        <f t="shared" si="114"/>
        <v>0</v>
      </c>
      <c r="AJ208" s="236"/>
      <c r="AK208" s="236"/>
      <c r="AL208" s="236"/>
      <c r="AM208" s="236"/>
    </row>
    <row r="209" spans="1:39" x14ac:dyDescent="0.2">
      <c r="A209" s="338">
        <v>2036</v>
      </c>
      <c r="B209" s="351">
        <v>0</v>
      </c>
      <c r="C209" s="352">
        <v>0</v>
      </c>
      <c r="D209" s="352">
        <v>0</v>
      </c>
      <c r="E209" s="352">
        <v>0</v>
      </c>
      <c r="F209" s="352">
        <v>0</v>
      </c>
      <c r="G209" s="352">
        <v>0</v>
      </c>
      <c r="H209" s="352">
        <v>0</v>
      </c>
      <c r="I209" s="352">
        <v>0</v>
      </c>
      <c r="J209" s="352">
        <v>0</v>
      </c>
      <c r="K209" s="352">
        <v>0</v>
      </c>
      <c r="L209" s="364">
        <v>0</v>
      </c>
      <c r="M209" s="291">
        <f t="shared" si="105"/>
        <v>0</v>
      </c>
      <c r="N209" s="293">
        <f t="shared" si="106"/>
        <v>0</v>
      </c>
      <c r="O209" s="351">
        <v>0</v>
      </c>
      <c r="P209" s="352">
        <v>0</v>
      </c>
      <c r="Q209" s="352">
        <v>0</v>
      </c>
      <c r="R209" s="352">
        <v>0</v>
      </c>
      <c r="S209" s="352">
        <v>0</v>
      </c>
      <c r="T209" s="352">
        <v>0</v>
      </c>
      <c r="U209" s="352">
        <v>0</v>
      </c>
      <c r="V209" s="352">
        <v>0</v>
      </c>
      <c r="W209" s="352">
        <v>0</v>
      </c>
      <c r="X209" s="352">
        <v>0</v>
      </c>
      <c r="Y209" s="364">
        <v>0</v>
      </c>
      <c r="Z209" s="291">
        <f t="shared" si="107"/>
        <v>0</v>
      </c>
      <c r="AA209" s="293">
        <f t="shared" si="108"/>
        <v>0</v>
      </c>
      <c r="AB209" s="91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1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920">
        <f t="shared" si="112"/>
        <v>0</v>
      </c>
      <c r="AE209" s="897">
        <f t="shared" si="116"/>
        <v>0</v>
      </c>
      <c r="AF209" s="897">
        <f t="shared" si="117"/>
        <v>0</v>
      </c>
      <c r="AG209" s="897">
        <f t="shared" si="118"/>
        <v>0</v>
      </c>
      <c r="AH209" s="1113">
        <f t="shared" si="113"/>
        <v>0</v>
      </c>
      <c r="AI209" s="897">
        <f t="shared" si="114"/>
        <v>0</v>
      </c>
      <c r="AJ209" s="236"/>
      <c r="AK209" s="236"/>
      <c r="AL209" s="236"/>
      <c r="AM209" s="236"/>
    </row>
    <row r="210" spans="1:39" x14ac:dyDescent="0.2">
      <c r="A210" s="339">
        <v>2037</v>
      </c>
      <c r="B210" s="353">
        <v>0</v>
      </c>
      <c r="C210" s="354">
        <v>0</v>
      </c>
      <c r="D210" s="354">
        <v>0</v>
      </c>
      <c r="E210" s="354">
        <v>0</v>
      </c>
      <c r="F210" s="354">
        <v>0</v>
      </c>
      <c r="G210" s="354">
        <v>0</v>
      </c>
      <c r="H210" s="354">
        <v>0</v>
      </c>
      <c r="I210" s="354">
        <v>0</v>
      </c>
      <c r="J210" s="354">
        <v>0</v>
      </c>
      <c r="K210" s="354">
        <v>0</v>
      </c>
      <c r="L210" s="365">
        <v>0</v>
      </c>
      <c r="M210" s="305">
        <f t="shared" si="105"/>
        <v>0</v>
      </c>
      <c r="N210" s="307">
        <f t="shared" si="106"/>
        <v>0</v>
      </c>
      <c r="O210" s="353">
        <v>0</v>
      </c>
      <c r="P210" s="354">
        <v>0</v>
      </c>
      <c r="Q210" s="354">
        <v>0</v>
      </c>
      <c r="R210" s="354">
        <v>0</v>
      </c>
      <c r="S210" s="354">
        <v>0</v>
      </c>
      <c r="T210" s="354">
        <v>0</v>
      </c>
      <c r="U210" s="354">
        <v>0</v>
      </c>
      <c r="V210" s="354">
        <v>0</v>
      </c>
      <c r="W210" s="354">
        <v>0</v>
      </c>
      <c r="X210" s="354">
        <v>0</v>
      </c>
      <c r="Y210" s="365">
        <v>0</v>
      </c>
      <c r="Z210" s="305">
        <f t="shared" si="107"/>
        <v>0</v>
      </c>
      <c r="AA210" s="307">
        <f t="shared" si="108"/>
        <v>0</v>
      </c>
      <c r="AB210" s="91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1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920">
        <f t="shared" si="112"/>
        <v>0</v>
      </c>
      <c r="AE210" s="897">
        <f t="shared" si="116"/>
        <v>0</v>
      </c>
      <c r="AF210" s="897">
        <f t="shared" si="117"/>
        <v>0</v>
      </c>
      <c r="AG210" s="897">
        <f t="shared" si="118"/>
        <v>0</v>
      </c>
      <c r="AH210" s="1113">
        <f t="shared" si="113"/>
        <v>0</v>
      </c>
      <c r="AI210" s="897">
        <f t="shared" si="114"/>
        <v>0</v>
      </c>
      <c r="AJ210" s="236"/>
      <c r="AK210" s="236"/>
      <c r="AL210" s="236"/>
      <c r="AM210" s="236"/>
    </row>
    <row r="211" spans="1:39" x14ac:dyDescent="0.2">
      <c r="A211" s="339">
        <v>2038</v>
      </c>
      <c r="B211" s="353">
        <v>0</v>
      </c>
      <c r="C211" s="354">
        <v>0</v>
      </c>
      <c r="D211" s="354">
        <v>0</v>
      </c>
      <c r="E211" s="354">
        <v>0</v>
      </c>
      <c r="F211" s="354">
        <v>0</v>
      </c>
      <c r="G211" s="354">
        <v>0</v>
      </c>
      <c r="H211" s="354">
        <v>0</v>
      </c>
      <c r="I211" s="354">
        <v>0</v>
      </c>
      <c r="J211" s="354">
        <v>0</v>
      </c>
      <c r="K211" s="354">
        <v>0</v>
      </c>
      <c r="L211" s="365">
        <v>0</v>
      </c>
      <c r="M211" s="305">
        <f t="shared" si="105"/>
        <v>0</v>
      </c>
      <c r="N211" s="307">
        <f t="shared" si="106"/>
        <v>0</v>
      </c>
      <c r="O211" s="353">
        <v>0</v>
      </c>
      <c r="P211" s="354">
        <v>0</v>
      </c>
      <c r="Q211" s="354">
        <v>0</v>
      </c>
      <c r="R211" s="354">
        <v>0</v>
      </c>
      <c r="S211" s="354">
        <v>0</v>
      </c>
      <c r="T211" s="354">
        <v>0</v>
      </c>
      <c r="U211" s="354">
        <v>0</v>
      </c>
      <c r="V211" s="354">
        <v>0</v>
      </c>
      <c r="W211" s="354">
        <v>0</v>
      </c>
      <c r="X211" s="354">
        <v>0</v>
      </c>
      <c r="Y211" s="365">
        <v>0</v>
      </c>
      <c r="Z211" s="305">
        <f t="shared" si="107"/>
        <v>0</v>
      </c>
      <c r="AA211" s="307">
        <f t="shared" si="108"/>
        <v>0</v>
      </c>
      <c r="AB211" s="91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1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920">
        <f t="shared" si="112"/>
        <v>0</v>
      </c>
      <c r="AE211" s="897">
        <f t="shared" si="116"/>
        <v>0</v>
      </c>
      <c r="AF211" s="897">
        <f t="shared" si="117"/>
        <v>0</v>
      </c>
      <c r="AG211" s="897">
        <f t="shared" si="118"/>
        <v>0</v>
      </c>
      <c r="AH211" s="1113">
        <f t="shared" si="113"/>
        <v>0</v>
      </c>
      <c r="AI211" s="897">
        <f t="shared" si="114"/>
        <v>0</v>
      </c>
      <c r="AJ211" s="236"/>
      <c r="AK211" s="236"/>
      <c r="AL211" s="236"/>
      <c r="AM211" s="236"/>
    </row>
    <row r="212" spans="1:39" x14ac:dyDescent="0.2">
      <c r="A212" s="339">
        <v>2039</v>
      </c>
      <c r="B212" s="353">
        <v>0</v>
      </c>
      <c r="C212" s="354">
        <v>0</v>
      </c>
      <c r="D212" s="354">
        <v>0</v>
      </c>
      <c r="E212" s="354">
        <v>0</v>
      </c>
      <c r="F212" s="354">
        <v>0</v>
      </c>
      <c r="G212" s="354">
        <v>0</v>
      </c>
      <c r="H212" s="354">
        <v>0</v>
      </c>
      <c r="I212" s="354">
        <v>0</v>
      </c>
      <c r="J212" s="354">
        <v>0</v>
      </c>
      <c r="K212" s="354">
        <v>0</v>
      </c>
      <c r="L212" s="365">
        <v>0</v>
      </c>
      <c r="M212" s="305">
        <f t="shared" si="105"/>
        <v>0</v>
      </c>
      <c r="N212" s="307">
        <f t="shared" si="106"/>
        <v>0</v>
      </c>
      <c r="O212" s="353">
        <v>0</v>
      </c>
      <c r="P212" s="354">
        <v>0</v>
      </c>
      <c r="Q212" s="354">
        <v>0</v>
      </c>
      <c r="R212" s="354">
        <v>0</v>
      </c>
      <c r="S212" s="354">
        <v>0</v>
      </c>
      <c r="T212" s="354">
        <v>0</v>
      </c>
      <c r="U212" s="354">
        <v>0</v>
      </c>
      <c r="V212" s="354">
        <v>0</v>
      </c>
      <c r="W212" s="354">
        <v>0</v>
      </c>
      <c r="X212" s="354">
        <v>0</v>
      </c>
      <c r="Y212" s="365">
        <v>0</v>
      </c>
      <c r="Z212" s="305">
        <f t="shared" si="107"/>
        <v>0</v>
      </c>
      <c r="AA212" s="307">
        <f t="shared" si="108"/>
        <v>0</v>
      </c>
      <c r="AB212" s="91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1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920">
        <f t="shared" si="112"/>
        <v>0</v>
      </c>
      <c r="AE212" s="897">
        <f t="shared" si="116"/>
        <v>0</v>
      </c>
      <c r="AF212" s="897">
        <f t="shared" si="117"/>
        <v>0</v>
      </c>
      <c r="AG212" s="897">
        <f t="shared" si="118"/>
        <v>0</v>
      </c>
      <c r="AH212" s="1113">
        <f t="shared" si="113"/>
        <v>0</v>
      </c>
      <c r="AI212" s="897">
        <f t="shared" si="114"/>
        <v>0</v>
      </c>
      <c r="AJ212" s="236"/>
      <c r="AK212" s="236"/>
      <c r="AL212" s="236"/>
      <c r="AM212" s="236"/>
    </row>
    <row r="213" spans="1:39" ht="13.5" thickBot="1" x14ac:dyDescent="0.25">
      <c r="A213" s="337">
        <v>2040</v>
      </c>
      <c r="B213" s="355">
        <v>0</v>
      </c>
      <c r="C213" s="356">
        <v>0</v>
      </c>
      <c r="D213" s="356">
        <v>0</v>
      </c>
      <c r="E213" s="356">
        <v>0</v>
      </c>
      <c r="F213" s="356">
        <v>0</v>
      </c>
      <c r="G213" s="356">
        <v>0</v>
      </c>
      <c r="H213" s="356">
        <v>0</v>
      </c>
      <c r="I213" s="356">
        <v>0</v>
      </c>
      <c r="J213" s="356">
        <v>0</v>
      </c>
      <c r="K213" s="356">
        <v>0</v>
      </c>
      <c r="L213" s="366">
        <v>0</v>
      </c>
      <c r="M213" s="319">
        <f t="shared" si="105"/>
        <v>0</v>
      </c>
      <c r="N213" s="321">
        <f t="shared" si="106"/>
        <v>0</v>
      </c>
      <c r="O213" s="355">
        <v>0</v>
      </c>
      <c r="P213" s="356">
        <v>0</v>
      </c>
      <c r="Q213" s="356">
        <v>0</v>
      </c>
      <c r="R213" s="356">
        <v>0</v>
      </c>
      <c r="S213" s="356">
        <v>0</v>
      </c>
      <c r="T213" s="356">
        <v>0</v>
      </c>
      <c r="U213" s="356">
        <v>0</v>
      </c>
      <c r="V213" s="356">
        <v>0</v>
      </c>
      <c r="W213" s="356">
        <v>0</v>
      </c>
      <c r="X213" s="356">
        <v>0</v>
      </c>
      <c r="Y213" s="366">
        <v>0</v>
      </c>
      <c r="Z213" s="319">
        <f t="shared" si="107"/>
        <v>0</v>
      </c>
      <c r="AA213" s="321">
        <f t="shared" si="108"/>
        <v>0</v>
      </c>
      <c r="AB213" s="91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1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920">
        <f t="shared" si="112"/>
        <v>0</v>
      </c>
      <c r="AE213" s="897">
        <f t="shared" si="116"/>
        <v>0</v>
      </c>
      <c r="AF213" s="897">
        <f t="shared" si="117"/>
        <v>0</v>
      </c>
      <c r="AG213" s="897">
        <f t="shared" si="118"/>
        <v>0</v>
      </c>
      <c r="AH213" s="1113">
        <f t="shared" si="113"/>
        <v>0</v>
      </c>
      <c r="AI213" s="897">
        <f t="shared" si="114"/>
        <v>0</v>
      </c>
      <c r="AJ213" s="236"/>
      <c r="AK213" s="236"/>
      <c r="AL213" s="236"/>
      <c r="AM213" s="236"/>
    </row>
    <row r="214" spans="1:39" x14ac:dyDescent="0.2">
      <c r="A214" s="338">
        <v>2041</v>
      </c>
      <c r="B214" s="351">
        <v>0</v>
      </c>
      <c r="C214" s="352">
        <v>0</v>
      </c>
      <c r="D214" s="352">
        <v>0</v>
      </c>
      <c r="E214" s="352">
        <v>0</v>
      </c>
      <c r="F214" s="352">
        <v>0</v>
      </c>
      <c r="G214" s="352">
        <v>0</v>
      </c>
      <c r="H214" s="352">
        <v>0</v>
      </c>
      <c r="I214" s="352">
        <v>0</v>
      </c>
      <c r="J214" s="352">
        <v>0</v>
      </c>
      <c r="K214" s="352">
        <v>0</v>
      </c>
      <c r="L214" s="364">
        <v>0</v>
      </c>
      <c r="M214" s="291">
        <f t="shared" si="105"/>
        <v>0</v>
      </c>
      <c r="N214" s="293">
        <f t="shared" si="106"/>
        <v>0</v>
      </c>
      <c r="O214" s="351">
        <v>0</v>
      </c>
      <c r="P214" s="352">
        <v>0</v>
      </c>
      <c r="Q214" s="352">
        <v>0</v>
      </c>
      <c r="R214" s="352">
        <v>0</v>
      </c>
      <c r="S214" s="352">
        <v>0</v>
      </c>
      <c r="T214" s="352">
        <v>0</v>
      </c>
      <c r="U214" s="352">
        <v>0</v>
      </c>
      <c r="V214" s="352">
        <v>0</v>
      </c>
      <c r="W214" s="352">
        <v>0</v>
      </c>
      <c r="X214" s="352">
        <v>0</v>
      </c>
      <c r="Y214" s="364">
        <v>0</v>
      </c>
      <c r="Z214" s="291">
        <f t="shared" si="107"/>
        <v>0</v>
      </c>
      <c r="AA214" s="293">
        <f t="shared" si="108"/>
        <v>0</v>
      </c>
      <c r="AB214" s="91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1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920">
        <f t="shared" si="112"/>
        <v>0</v>
      </c>
      <c r="AE214" s="897">
        <f t="shared" si="116"/>
        <v>0</v>
      </c>
      <c r="AF214" s="897">
        <f t="shared" si="117"/>
        <v>0</v>
      </c>
      <c r="AG214" s="897">
        <f t="shared" si="118"/>
        <v>0</v>
      </c>
      <c r="AH214" s="1113">
        <f t="shared" si="113"/>
        <v>0</v>
      </c>
      <c r="AI214" s="897">
        <f t="shared" si="114"/>
        <v>0</v>
      </c>
      <c r="AJ214" s="236"/>
      <c r="AK214" s="236"/>
      <c r="AL214" s="236"/>
      <c r="AM214" s="236"/>
    </row>
    <row r="215" spans="1:39" x14ac:dyDescent="0.2">
      <c r="A215" s="339">
        <v>2042</v>
      </c>
      <c r="B215" s="353">
        <v>0</v>
      </c>
      <c r="C215" s="354">
        <v>0</v>
      </c>
      <c r="D215" s="354">
        <v>0</v>
      </c>
      <c r="E215" s="354">
        <v>0</v>
      </c>
      <c r="F215" s="354">
        <v>0</v>
      </c>
      <c r="G215" s="354">
        <v>0</v>
      </c>
      <c r="H215" s="354">
        <v>0</v>
      </c>
      <c r="I215" s="354">
        <v>0</v>
      </c>
      <c r="J215" s="354">
        <v>0</v>
      </c>
      <c r="K215" s="354">
        <v>0</v>
      </c>
      <c r="L215" s="365">
        <v>0</v>
      </c>
      <c r="M215" s="305">
        <f t="shared" si="105"/>
        <v>0</v>
      </c>
      <c r="N215" s="307">
        <f t="shared" si="106"/>
        <v>0</v>
      </c>
      <c r="O215" s="353">
        <v>0</v>
      </c>
      <c r="P215" s="354">
        <v>0</v>
      </c>
      <c r="Q215" s="354">
        <v>0</v>
      </c>
      <c r="R215" s="354">
        <v>0</v>
      </c>
      <c r="S215" s="354">
        <v>0</v>
      </c>
      <c r="T215" s="354">
        <v>0</v>
      </c>
      <c r="U215" s="354">
        <v>0</v>
      </c>
      <c r="V215" s="354">
        <v>0</v>
      </c>
      <c r="W215" s="354">
        <v>0</v>
      </c>
      <c r="X215" s="354">
        <v>0</v>
      </c>
      <c r="Y215" s="365">
        <v>0</v>
      </c>
      <c r="Z215" s="305">
        <f t="shared" si="107"/>
        <v>0</v>
      </c>
      <c r="AA215" s="307">
        <f t="shared" si="108"/>
        <v>0</v>
      </c>
      <c r="AB215" s="91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1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920">
        <f t="shared" si="112"/>
        <v>0</v>
      </c>
      <c r="AE215" s="897">
        <f t="shared" si="116"/>
        <v>0</v>
      </c>
      <c r="AF215" s="897">
        <f t="shared" si="117"/>
        <v>0</v>
      </c>
      <c r="AG215" s="897">
        <f t="shared" si="118"/>
        <v>0</v>
      </c>
      <c r="AH215" s="1113">
        <f t="shared" si="113"/>
        <v>0</v>
      </c>
      <c r="AI215" s="897">
        <f t="shared" si="114"/>
        <v>0</v>
      </c>
      <c r="AJ215" s="236"/>
      <c r="AK215" s="236"/>
      <c r="AL215" s="236"/>
      <c r="AM215" s="236"/>
    </row>
    <row r="216" spans="1:39" x14ac:dyDescent="0.2">
      <c r="A216" s="339">
        <v>2043</v>
      </c>
      <c r="B216" s="353">
        <v>0</v>
      </c>
      <c r="C216" s="354">
        <v>0</v>
      </c>
      <c r="D216" s="354">
        <v>0</v>
      </c>
      <c r="E216" s="354">
        <v>0</v>
      </c>
      <c r="F216" s="354">
        <v>0</v>
      </c>
      <c r="G216" s="354">
        <v>0</v>
      </c>
      <c r="H216" s="354">
        <v>0</v>
      </c>
      <c r="I216" s="354">
        <v>0</v>
      </c>
      <c r="J216" s="354">
        <v>0</v>
      </c>
      <c r="K216" s="354">
        <v>0</v>
      </c>
      <c r="L216" s="365">
        <v>0</v>
      </c>
      <c r="M216" s="305">
        <f t="shared" si="105"/>
        <v>0</v>
      </c>
      <c r="N216" s="307">
        <f t="shared" si="106"/>
        <v>0</v>
      </c>
      <c r="O216" s="353">
        <v>0</v>
      </c>
      <c r="P216" s="354">
        <v>0</v>
      </c>
      <c r="Q216" s="354">
        <v>0</v>
      </c>
      <c r="R216" s="354">
        <v>0</v>
      </c>
      <c r="S216" s="354">
        <v>0</v>
      </c>
      <c r="T216" s="354">
        <v>0</v>
      </c>
      <c r="U216" s="354">
        <v>0</v>
      </c>
      <c r="V216" s="354">
        <v>0</v>
      </c>
      <c r="W216" s="354">
        <v>0</v>
      </c>
      <c r="X216" s="354">
        <v>0</v>
      </c>
      <c r="Y216" s="365">
        <v>0</v>
      </c>
      <c r="Z216" s="305">
        <f t="shared" si="107"/>
        <v>0</v>
      </c>
      <c r="AA216" s="307">
        <f t="shared" si="108"/>
        <v>0</v>
      </c>
      <c r="AB216" s="91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1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920">
        <f t="shared" si="112"/>
        <v>0</v>
      </c>
      <c r="AE216" s="897">
        <f t="shared" si="116"/>
        <v>0</v>
      </c>
      <c r="AF216" s="897">
        <f t="shared" si="117"/>
        <v>0</v>
      </c>
      <c r="AG216" s="897">
        <f t="shared" si="118"/>
        <v>0</v>
      </c>
      <c r="AH216" s="1113">
        <f t="shared" si="113"/>
        <v>0</v>
      </c>
      <c r="AI216" s="897">
        <f t="shared" si="114"/>
        <v>0</v>
      </c>
      <c r="AJ216" s="236"/>
      <c r="AK216" s="236"/>
      <c r="AL216" s="236"/>
      <c r="AM216" s="236"/>
    </row>
    <row r="217" spans="1:39" x14ac:dyDescent="0.2">
      <c r="A217" s="339">
        <v>2044</v>
      </c>
      <c r="B217" s="353">
        <v>0</v>
      </c>
      <c r="C217" s="354">
        <v>0</v>
      </c>
      <c r="D217" s="354">
        <v>0</v>
      </c>
      <c r="E217" s="354">
        <v>0</v>
      </c>
      <c r="F217" s="354">
        <v>0</v>
      </c>
      <c r="G217" s="354">
        <v>0</v>
      </c>
      <c r="H217" s="354">
        <v>0</v>
      </c>
      <c r="I217" s="354">
        <v>0</v>
      </c>
      <c r="J217" s="354">
        <v>0</v>
      </c>
      <c r="K217" s="354">
        <v>0</v>
      </c>
      <c r="L217" s="365">
        <v>0</v>
      </c>
      <c r="M217" s="305">
        <f t="shared" si="105"/>
        <v>0</v>
      </c>
      <c r="N217" s="307">
        <f t="shared" si="106"/>
        <v>0</v>
      </c>
      <c r="O217" s="353">
        <v>0</v>
      </c>
      <c r="P217" s="354">
        <v>0</v>
      </c>
      <c r="Q217" s="354">
        <v>0</v>
      </c>
      <c r="R217" s="354">
        <v>0</v>
      </c>
      <c r="S217" s="354">
        <v>0</v>
      </c>
      <c r="T217" s="354">
        <v>0</v>
      </c>
      <c r="U217" s="354">
        <v>0</v>
      </c>
      <c r="V217" s="354">
        <v>0</v>
      </c>
      <c r="W217" s="354">
        <v>0</v>
      </c>
      <c r="X217" s="354">
        <v>0</v>
      </c>
      <c r="Y217" s="365">
        <v>0</v>
      </c>
      <c r="Z217" s="305">
        <f t="shared" si="107"/>
        <v>0</v>
      </c>
      <c r="AA217" s="307">
        <f t="shared" si="108"/>
        <v>0</v>
      </c>
      <c r="AB217" s="91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1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920">
        <f t="shared" si="112"/>
        <v>0</v>
      </c>
      <c r="AE217" s="897">
        <f t="shared" si="116"/>
        <v>0</v>
      </c>
      <c r="AF217" s="897">
        <f t="shared" si="117"/>
        <v>0</v>
      </c>
      <c r="AG217" s="897">
        <f t="shared" si="118"/>
        <v>0</v>
      </c>
      <c r="AH217" s="1113">
        <f t="shared" si="113"/>
        <v>0</v>
      </c>
      <c r="AI217" s="897">
        <f t="shared" si="114"/>
        <v>0</v>
      </c>
      <c r="AJ217" s="236"/>
      <c r="AK217" s="236"/>
      <c r="AL217" s="236"/>
      <c r="AM217" s="236"/>
    </row>
    <row r="218" spans="1:39" ht="13.5" thickBot="1" x14ac:dyDescent="0.25">
      <c r="A218" s="337">
        <v>2045</v>
      </c>
      <c r="B218" s="355">
        <v>0</v>
      </c>
      <c r="C218" s="356">
        <v>0</v>
      </c>
      <c r="D218" s="356">
        <v>0</v>
      </c>
      <c r="E218" s="356">
        <v>0</v>
      </c>
      <c r="F218" s="356">
        <v>0</v>
      </c>
      <c r="G218" s="356">
        <v>0</v>
      </c>
      <c r="H218" s="356">
        <v>0</v>
      </c>
      <c r="I218" s="356">
        <v>0</v>
      </c>
      <c r="J218" s="356">
        <v>0</v>
      </c>
      <c r="K218" s="356">
        <v>0</v>
      </c>
      <c r="L218" s="366">
        <v>0</v>
      </c>
      <c r="M218" s="319">
        <f t="shared" si="105"/>
        <v>0</v>
      </c>
      <c r="N218" s="321">
        <f t="shared" si="106"/>
        <v>0</v>
      </c>
      <c r="O218" s="355">
        <v>0</v>
      </c>
      <c r="P218" s="356">
        <v>0</v>
      </c>
      <c r="Q218" s="356">
        <v>0</v>
      </c>
      <c r="R218" s="356">
        <v>0</v>
      </c>
      <c r="S218" s="356">
        <v>0</v>
      </c>
      <c r="T218" s="356">
        <v>0</v>
      </c>
      <c r="U218" s="356">
        <v>0</v>
      </c>
      <c r="V218" s="356">
        <v>0</v>
      </c>
      <c r="W218" s="356">
        <v>0</v>
      </c>
      <c r="X218" s="356">
        <v>0</v>
      </c>
      <c r="Y218" s="366">
        <v>0</v>
      </c>
      <c r="Z218" s="319">
        <f t="shared" si="107"/>
        <v>0</v>
      </c>
      <c r="AA218" s="321">
        <f t="shared" si="108"/>
        <v>0</v>
      </c>
      <c r="AB218" s="91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1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920">
        <f t="shared" si="112"/>
        <v>0</v>
      </c>
      <c r="AE218" s="897">
        <f t="shared" si="116"/>
        <v>0</v>
      </c>
      <c r="AF218" s="897">
        <f t="shared" si="117"/>
        <v>0</v>
      </c>
      <c r="AG218" s="897">
        <f t="shared" si="118"/>
        <v>0</v>
      </c>
      <c r="AH218" s="1113">
        <f t="shared" si="113"/>
        <v>0</v>
      </c>
      <c r="AI218" s="897">
        <f t="shared" si="114"/>
        <v>0</v>
      </c>
      <c r="AJ218" s="236"/>
      <c r="AK218" s="236"/>
      <c r="AL218" s="236"/>
      <c r="AM218" s="236"/>
    </row>
    <row r="219" spans="1:39" x14ac:dyDescent="0.2">
      <c r="A219" s="338">
        <v>2046</v>
      </c>
      <c r="B219" s="351">
        <v>0</v>
      </c>
      <c r="C219" s="352">
        <v>0</v>
      </c>
      <c r="D219" s="352">
        <v>0</v>
      </c>
      <c r="E219" s="352">
        <v>0</v>
      </c>
      <c r="F219" s="352">
        <v>0</v>
      </c>
      <c r="G219" s="352">
        <v>0</v>
      </c>
      <c r="H219" s="352">
        <v>0</v>
      </c>
      <c r="I219" s="352">
        <v>0</v>
      </c>
      <c r="J219" s="352">
        <v>0</v>
      </c>
      <c r="K219" s="352">
        <v>0</v>
      </c>
      <c r="L219" s="364">
        <v>0</v>
      </c>
      <c r="M219" s="291">
        <f t="shared" si="105"/>
        <v>0</v>
      </c>
      <c r="N219" s="293">
        <f t="shared" si="106"/>
        <v>0</v>
      </c>
      <c r="O219" s="351">
        <v>0</v>
      </c>
      <c r="P219" s="352">
        <v>0</v>
      </c>
      <c r="Q219" s="352">
        <v>0</v>
      </c>
      <c r="R219" s="352">
        <v>0</v>
      </c>
      <c r="S219" s="352">
        <v>0</v>
      </c>
      <c r="T219" s="352">
        <v>0</v>
      </c>
      <c r="U219" s="352">
        <v>0</v>
      </c>
      <c r="V219" s="352">
        <v>0</v>
      </c>
      <c r="W219" s="352">
        <v>0</v>
      </c>
      <c r="X219" s="352">
        <v>0</v>
      </c>
      <c r="Y219" s="364">
        <v>0</v>
      </c>
      <c r="Z219" s="291">
        <f t="shared" si="107"/>
        <v>0</v>
      </c>
      <c r="AA219" s="293">
        <f t="shared" si="108"/>
        <v>0</v>
      </c>
      <c r="AB219" s="91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1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920">
        <f t="shared" si="112"/>
        <v>0</v>
      </c>
      <c r="AE219" s="897">
        <f t="shared" si="116"/>
        <v>0</v>
      </c>
      <c r="AF219" s="897">
        <f t="shared" si="117"/>
        <v>0</v>
      </c>
      <c r="AG219" s="897">
        <f t="shared" si="118"/>
        <v>0</v>
      </c>
      <c r="AH219" s="1113">
        <f t="shared" si="113"/>
        <v>0</v>
      </c>
      <c r="AI219" s="897">
        <f t="shared" si="114"/>
        <v>0</v>
      </c>
      <c r="AJ219" s="236"/>
      <c r="AK219" s="236"/>
      <c r="AL219" s="236"/>
      <c r="AM219" s="236"/>
    </row>
    <row r="220" spans="1:39" x14ac:dyDescent="0.2">
      <c r="A220" s="339">
        <v>2047</v>
      </c>
      <c r="B220" s="353">
        <v>0</v>
      </c>
      <c r="C220" s="354">
        <v>0</v>
      </c>
      <c r="D220" s="354">
        <v>0</v>
      </c>
      <c r="E220" s="354">
        <v>0</v>
      </c>
      <c r="F220" s="354">
        <v>0</v>
      </c>
      <c r="G220" s="354">
        <v>0</v>
      </c>
      <c r="H220" s="354">
        <v>0</v>
      </c>
      <c r="I220" s="354">
        <v>0</v>
      </c>
      <c r="J220" s="354">
        <v>0</v>
      </c>
      <c r="K220" s="354">
        <v>0</v>
      </c>
      <c r="L220" s="365">
        <v>0</v>
      </c>
      <c r="M220" s="305">
        <f t="shared" si="105"/>
        <v>0</v>
      </c>
      <c r="N220" s="307">
        <f t="shared" si="106"/>
        <v>0</v>
      </c>
      <c r="O220" s="353">
        <v>0</v>
      </c>
      <c r="P220" s="354">
        <v>0</v>
      </c>
      <c r="Q220" s="354">
        <v>0</v>
      </c>
      <c r="R220" s="354">
        <v>0</v>
      </c>
      <c r="S220" s="354">
        <v>0</v>
      </c>
      <c r="T220" s="354">
        <v>0</v>
      </c>
      <c r="U220" s="354">
        <v>0</v>
      </c>
      <c r="V220" s="354">
        <v>0</v>
      </c>
      <c r="W220" s="354">
        <v>0</v>
      </c>
      <c r="X220" s="354">
        <v>0</v>
      </c>
      <c r="Y220" s="365">
        <v>0</v>
      </c>
      <c r="Z220" s="305">
        <f t="shared" si="107"/>
        <v>0</v>
      </c>
      <c r="AA220" s="307">
        <f t="shared" si="108"/>
        <v>0</v>
      </c>
      <c r="AB220" s="91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1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920">
        <f t="shared" si="112"/>
        <v>0</v>
      </c>
      <c r="AE220" s="897">
        <f t="shared" si="116"/>
        <v>0</v>
      </c>
      <c r="AF220" s="897">
        <f t="shared" si="117"/>
        <v>0</v>
      </c>
      <c r="AG220" s="897">
        <f t="shared" si="118"/>
        <v>0</v>
      </c>
      <c r="AH220" s="1113">
        <f t="shared" si="113"/>
        <v>0</v>
      </c>
      <c r="AI220" s="897">
        <f t="shared" si="114"/>
        <v>0</v>
      </c>
      <c r="AJ220" s="236"/>
      <c r="AK220" s="236"/>
      <c r="AL220" s="236"/>
      <c r="AM220" s="236"/>
    </row>
    <row r="221" spans="1:39" x14ac:dyDescent="0.2">
      <c r="A221" s="339">
        <v>2048</v>
      </c>
      <c r="B221" s="353">
        <v>0</v>
      </c>
      <c r="C221" s="354">
        <v>0</v>
      </c>
      <c r="D221" s="354">
        <v>0</v>
      </c>
      <c r="E221" s="354">
        <v>0</v>
      </c>
      <c r="F221" s="354">
        <v>0</v>
      </c>
      <c r="G221" s="354">
        <v>0</v>
      </c>
      <c r="H221" s="354">
        <v>0</v>
      </c>
      <c r="I221" s="354">
        <v>0</v>
      </c>
      <c r="J221" s="354">
        <v>0</v>
      </c>
      <c r="K221" s="354">
        <v>0</v>
      </c>
      <c r="L221" s="365">
        <v>0</v>
      </c>
      <c r="M221" s="305">
        <f t="shared" si="105"/>
        <v>0</v>
      </c>
      <c r="N221" s="307">
        <f t="shared" si="106"/>
        <v>0</v>
      </c>
      <c r="O221" s="353">
        <v>0</v>
      </c>
      <c r="P221" s="354">
        <v>0</v>
      </c>
      <c r="Q221" s="354">
        <v>0</v>
      </c>
      <c r="R221" s="354">
        <v>0</v>
      </c>
      <c r="S221" s="354">
        <v>0</v>
      </c>
      <c r="T221" s="354">
        <v>0</v>
      </c>
      <c r="U221" s="354">
        <v>0</v>
      </c>
      <c r="V221" s="354">
        <v>0</v>
      </c>
      <c r="W221" s="354">
        <v>0</v>
      </c>
      <c r="X221" s="354">
        <v>0</v>
      </c>
      <c r="Y221" s="365">
        <v>0</v>
      </c>
      <c r="Z221" s="305">
        <f t="shared" si="107"/>
        <v>0</v>
      </c>
      <c r="AA221" s="307">
        <f t="shared" si="108"/>
        <v>0</v>
      </c>
      <c r="AB221" s="91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1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920">
        <f t="shared" si="112"/>
        <v>0</v>
      </c>
      <c r="AE221" s="897">
        <f t="shared" si="116"/>
        <v>0</v>
      </c>
      <c r="AF221" s="897">
        <f t="shared" si="117"/>
        <v>0</v>
      </c>
      <c r="AG221" s="897">
        <f t="shared" si="118"/>
        <v>0</v>
      </c>
      <c r="AH221" s="1113">
        <f t="shared" si="113"/>
        <v>0</v>
      </c>
      <c r="AI221" s="897">
        <f t="shared" si="114"/>
        <v>0</v>
      </c>
      <c r="AJ221" s="236"/>
      <c r="AK221" s="236"/>
      <c r="AL221" s="236"/>
      <c r="AM221" s="236"/>
    </row>
    <row r="222" spans="1:39" x14ac:dyDescent="0.2">
      <c r="A222" s="339">
        <v>2049</v>
      </c>
      <c r="B222" s="353">
        <v>0</v>
      </c>
      <c r="C222" s="354">
        <v>0</v>
      </c>
      <c r="D222" s="354">
        <v>0</v>
      </c>
      <c r="E222" s="354">
        <v>0</v>
      </c>
      <c r="F222" s="354">
        <v>0</v>
      </c>
      <c r="G222" s="354">
        <v>0</v>
      </c>
      <c r="H222" s="354">
        <v>0</v>
      </c>
      <c r="I222" s="354">
        <v>0</v>
      </c>
      <c r="J222" s="354">
        <v>0</v>
      </c>
      <c r="K222" s="354">
        <v>0</v>
      </c>
      <c r="L222" s="365">
        <v>0</v>
      </c>
      <c r="M222" s="305">
        <f t="shared" si="105"/>
        <v>0</v>
      </c>
      <c r="N222" s="307">
        <f t="shared" si="106"/>
        <v>0</v>
      </c>
      <c r="O222" s="353">
        <v>0</v>
      </c>
      <c r="P222" s="354">
        <v>0</v>
      </c>
      <c r="Q222" s="354">
        <v>0</v>
      </c>
      <c r="R222" s="354">
        <v>0</v>
      </c>
      <c r="S222" s="354">
        <v>0</v>
      </c>
      <c r="T222" s="354">
        <v>0</v>
      </c>
      <c r="U222" s="354">
        <v>0</v>
      </c>
      <c r="V222" s="354">
        <v>0</v>
      </c>
      <c r="W222" s="354">
        <v>0</v>
      </c>
      <c r="X222" s="354">
        <v>0</v>
      </c>
      <c r="Y222" s="365">
        <v>0</v>
      </c>
      <c r="Z222" s="305">
        <f t="shared" si="107"/>
        <v>0</v>
      </c>
      <c r="AA222" s="307">
        <f t="shared" si="108"/>
        <v>0</v>
      </c>
      <c r="AB222" s="91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1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920">
        <f t="shared" si="112"/>
        <v>0</v>
      </c>
      <c r="AE222" s="897">
        <f t="shared" si="116"/>
        <v>0</v>
      </c>
      <c r="AF222" s="897">
        <f t="shared" si="117"/>
        <v>0</v>
      </c>
      <c r="AG222" s="897">
        <f t="shared" si="118"/>
        <v>0</v>
      </c>
      <c r="AH222" s="1113">
        <f t="shared" si="113"/>
        <v>0</v>
      </c>
      <c r="AI222" s="897">
        <f t="shared" si="114"/>
        <v>0</v>
      </c>
      <c r="AJ222" s="236"/>
      <c r="AK222" s="236"/>
      <c r="AL222" s="236"/>
      <c r="AM222" s="236"/>
    </row>
    <row r="223" spans="1:39" ht="13.5" thickBot="1" x14ac:dyDescent="0.25">
      <c r="A223" s="337">
        <v>2050</v>
      </c>
      <c r="B223" s="355">
        <v>0</v>
      </c>
      <c r="C223" s="356">
        <v>0</v>
      </c>
      <c r="D223" s="356">
        <v>0</v>
      </c>
      <c r="E223" s="356">
        <v>0</v>
      </c>
      <c r="F223" s="356">
        <v>0</v>
      </c>
      <c r="G223" s="356">
        <v>0</v>
      </c>
      <c r="H223" s="356">
        <v>0</v>
      </c>
      <c r="I223" s="356">
        <v>0</v>
      </c>
      <c r="J223" s="356">
        <v>0</v>
      </c>
      <c r="K223" s="356">
        <v>0</v>
      </c>
      <c r="L223" s="366">
        <v>0</v>
      </c>
      <c r="M223" s="319">
        <f t="shared" si="105"/>
        <v>0</v>
      </c>
      <c r="N223" s="321">
        <f t="shared" si="106"/>
        <v>0</v>
      </c>
      <c r="O223" s="355">
        <v>0</v>
      </c>
      <c r="P223" s="356">
        <v>0</v>
      </c>
      <c r="Q223" s="356">
        <v>0</v>
      </c>
      <c r="R223" s="356">
        <v>0</v>
      </c>
      <c r="S223" s="356">
        <v>0</v>
      </c>
      <c r="T223" s="356">
        <v>0</v>
      </c>
      <c r="U223" s="356">
        <v>0</v>
      </c>
      <c r="V223" s="356">
        <v>0</v>
      </c>
      <c r="W223" s="356">
        <v>0</v>
      </c>
      <c r="X223" s="356">
        <v>0</v>
      </c>
      <c r="Y223" s="366">
        <v>0</v>
      </c>
      <c r="Z223" s="319">
        <f t="shared" si="107"/>
        <v>0</v>
      </c>
      <c r="AA223" s="321">
        <f t="shared" si="108"/>
        <v>0</v>
      </c>
      <c r="AB223" s="921">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22">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923">
        <f t="shared" si="112"/>
        <v>0</v>
      </c>
      <c r="AE223" s="897">
        <f t="shared" si="116"/>
        <v>0</v>
      </c>
      <c r="AF223" s="897">
        <f t="shared" si="117"/>
        <v>0</v>
      </c>
      <c r="AG223" s="897">
        <f t="shared" si="118"/>
        <v>0</v>
      </c>
      <c r="AH223" s="1113">
        <f t="shared" si="113"/>
        <v>0</v>
      </c>
      <c r="AI223" s="897">
        <f t="shared" si="114"/>
        <v>0</v>
      </c>
      <c r="AJ223" s="236"/>
      <c r="AK223" s="236"/>
      <c r="AL223" s="236"/>
      <c r="AM223" s="236"/>
    </row>
    <row r="224" spans="1:39" x14ac:dyDescent="0.2">
      <c r="B224" s="236" t="str">
        <f>B$120</f>
        <v>Output generated: 11/04/2020 14:43</v>
      </c>
      <c r="U224" s="236" t="str">
        <f>U$120</f>
        <v>Output generated: 11/04/2020 14:43</v>
      </c>
      <c r="AC224" s="897"/>
      <c r="AE224" s="897"/>
      <c r="AF224" s="897"/>
      <c r="AG224" s="897"/>
      <c r="AH224" s="897"/>
      <c r="AI224" s="897"/>
      <c r="AJ224" s="236"/>
      <c r="AK224" s="236"/>
      <c r="AL224" s="236"/>
      <c r="AM224" s="236"/>
    </row>
    <row r="225" spans="1:39" x14ac:dyDescent="0.2">
      <c r="AE225" s="897"/>
      <c r="AF225" s="897"/>
      <c r="AG225" s="897"/>
      <c r="AH225" s="897"/>
      <c r="AI225" s="897"/>
    </row>
    <row r="226" spans="1:39" ht="13.5" thickBot="1" x14ac:dyDescent="0.25">
      <c r="AE226" s="897"/>
      <c r="AF226" s="897"/>
      <c r="AG226" s="897"/>
      <c r="AH226" s="897"/>
      <c r="AI226" s="897"/>
    </row>
    <row r="227" spans="1:39" ht="15" x14ac:dyDescent="0.25">
      <c r="A227" s="342"/>
      <c r="B227" s="1643" t="s">
        <v>275</v>
      </c>
      <c r="C227" s="1644"/>
      <c r="D227" s="1644"/>
      <c r="E227" s="1644"/>
      <c r="F227" s="1644"/>
      <c r="G227" s="1644"/>
      <c r="H227" s="1644"/>
      <c r="I227" s="1644"/>
      <c r="J227" s="1644"/>
      <c r="K227" s="1644"/>
      <c r="L227" s="1644"/>
      <c r="M227" s="584"/>
      <c r="N227" s="585"/>
      <c r="O227" s="1643" t="s">
        <v>276</v>
      </c>
      <c r="P227" s="1644"/>
      <c r="Q227" s="1644"/>
      <c r="R227" s="1644"/>
      <c r="S227" s="1644"/>
      <c r="T227" s="1644"/>
      <c r="U227" s="1644"/>
      <c r="V227" s="1644"/>
      <c r="W227" s="1644"/>
      <c r="X227" s="1644"/>
      <c r="Y227" s="1644"/>
      <c r="Z227" s="584"/>
      <c r="AA227" s="585"/>
      <c r="AE227" s="897"/>
      <c r="AF227" s="897"/>
      <c r="AG227" s="897"/>
      <c r="AH227" s="897"/>
      <c r="AI227" s="897"/>
    </row>
    <row r="228" spans="1:39" x14ac:dyDescent="0.2">
      <c r="A228" s="333"/>
      <c r="B228" s="586" t="s">
        <v>125</v>
      </c>
      <c r="C228" s="587"/>
      <c r="D228" s="587"/>
      <c r="E228" s="587"/>
      <c r="F228" s="587"/>
      <c r="G228" s="587"/>
      <c r="H228" s="587"/>
      <c r="I228" s="587"/>
      <c r="J228" s="587"/>
      <c r="K228" s="587"/>
      <c r="L228" s="587"/>
      <c r="M228" s="367"/>
      <c r="N228" s="334"/>
      <c r="O228" s="586" t="s">
        <v>125</v>
      </c>
      <c r="P228" s="587"/>
      <c r="Q228" s="587"/>
      <c r="R228" s="587"/>
      <c r="S228" s="587"/>
      <c r="T228" s="587"/>
      <c r="U228" s="587"/>
      <c r="V228" s="587"/>
      <c r="W228" s="587"/>
      <c r="X228" s="587"/>
      <c r="Y228" s="587"/>
      <c r="Z228" s="367"/>
      <c r="AA228" s="334"/>
      <c r="AE228" s="897"/>
      <c r="AF228" s="897"/>
      <c r="AG228" s="897"/>
      <c r="AH228" s="897"/>
      <c r="AI228" s="897"/>
    </row>
    <row r="229" spans="1:39" ht="13.5" thickBot="1" x14ac:dyDescent="0.25">
      <c r="A229" s="340"/>
      <c r="B229" s="347" t="s">
        <v>31</v>
      </c>
      <c r="C229" s="348" t="s">
        <v>32</v>
      </c>
      <c r="D229" s="348" t="s">
        <v>33</v>
      </c>
      <c r="E229" s="348" t="s">
        <v>34</v>
      </c>
      <c r="F229" s="348" t="s">
        <v>35</v>
      </c>
      <c r="G229" s="348" t="s">
        <v>36</v>
      </c>
      <c r="H229" s="348" t="s">
        <v>37</v>
      </c>
      <c r="I229" s="348" t="s">
        <v>38</v>
      </c>
      <c r="J229" s="348" t="s">
        <v>39</v>
      </c>
      <c r="K229" s="348" t="s">
        <v>40</v>
      </c>
      <c r="L229" s="362" t="s">
        <v>41</v>
      </c>
      <c r="M229" s="368" t="s">
        <v>126</v>
      </c>
      <c r="N229" s="341" t="s">
        <v>127</v>
      </c>
      <c r="O229" s="347" t="s">
        <v>31</v>
      </c>
      <c r="P229" s="348" t="s">
        <v>32</v>
      </c>
      <c r="Q229" s="348" t="s">
        <v>33</v>
      </c>
      <c r="R229" s="348" t="s">
        <v>34</v>
      </c>
      <c r="S229" s="348" t="s">
        <v>35</v>
      </c>
      <c r="T229" s="348" t="s">
        <v>36</v>
      </c>
      <c r="U229" s="348" t="s">
        <v>37</v>
      </c>
      <c r="V229" s="348" t="s">
        <v>38</v>
      </c>
      <c r="W229" s="348" t="s">
        <v>39</v>
      </c>
      <c r="X229" s="348" t="s">
        <v>40</v>
      </c>
      <c r="Y229" s="362" t="s">
        <v>41</v>
      </c>
      <c r="Z229" s="368" t="s">
        <v>126</v>
      </c>
      <c r="AA229" s="341" t="s">
        <v>127</v>
      </c>
      <c r="AC229" s="869" t="s">
        <v>211</v>
      </c>
      <c r="AD229" s="243" t="b">
        <f>INDEX(TECH_OPT_FUEL2_Cls1,MATCH(RIGHT(O227),TECH_OPT_ROWS_Cls1,0))&lt;&gt;"N/A"</f>
        <v>0</v>
      </c>
      <c r="AE229" s="897"/>
      <c r="AF229" s="897"/>
      <c r="AG229" s="897"/>
      <c r="AH229" s="897"/>
      <c r="AI229" s="897"/>
    </row>
    <row r="230" spans="1:39" ht="14.25" thickTop="1" thickBot="1" x14ac:dyDescent="0.25">
      <c r="A230" s="357" t="s">
        <v>128</v>
      </c>
      <c r="B230" s="349">
        <f t="array" ref="B230:L230">TRANSPOSE(Cls1CentTruckShr)</f>
        <v>0.19351049492932548</v>
      </c>
      <c r="C230" s="350">
        <v>0.2501505093300298</v>
      </c>
      <c r="D230" s="350">
        <v>4.1900540200962323E-3</v>
      </c>
      <c r="E230" s="350">
        <v>0</v>
      </c>
      <c r="F230" s="350">
        <v>0</v>
      </c>
      <c r="G230" s="350">
        <v>0</v>
      </c>
      <c r="H230" s="350">
        <v>0</v>
      </c>
      <c r="I230" s="350">
        <v>0</v>
      </c>
      <c r="J230" s="350">
        <v>0</v>
      </c>
      <c r="K230" s="350">
        <v>0</v>
      </c>
      <c r="L230" s="363">
        <v>0</v>
      </c>
      <c r="M230" s="369"/>
      <c r="N230" s="345"/>
      <c r="O230" s="349">
        <f t="array" ref="O230:Y230">TRANSPOSE(Cls1NCentTruckShr)</f>
        <v>0.30789040692318376</v>
      </c>
      <c r="P230" s="350">
        <v>0.21073814200859928</v>
      </c>
      <c r="Q230" s="350">
        <v>3.3520392788765403E-2</v>
      </c>
      <c r="R230" s="350">
        <v>0</v>
      </c>
      <c r="S230" s="350">
        <v>0</v>
      </c>
      <c r="T230" s="350">
        <v>0</v>
      </c>
      <c r="U230" s="350">
        <v>0</v>
      </c>
      <c r="V230" s="350">
        <v>0</v>
      </c>
      <c r="W230" s="350">
        <v>0</v>
      </c>
      <c r="X230" s="350">
        <v>0</v>
      </c>
      <c r="Y230" s="363">
        <v>0</v>
      </c>
      <c r="Z230" s="370"/>
      <c r="AA230" s="343"/>
      <c r="AB230" s="896"/>
      <c r="AC230" s="869" t="s">
        <v>212</v>
      </c>
      <c r="AD230" s="243">
        <f>MATCH(RIGHT(O227),TECH_OPT_ROWS_Cls1,0)</f>
        <v>5</v>
      </c>
      <c r="AE230" s="897"/>
      <c r="AF230" s="897"/>
      <c r="AG230" s="897"/>
      <c r="AH230" s="897"/>
      <c r="AI230" s="897"/>
    </row>
    <row r="231" spans="1:39" x14ac:dyDescent="0.2">
      <c r="A231" s="340" t="s">
        <v>129</v>
      </c>
      <c r="B231" s="898">
        <f t="array" ref="B231:L231">TRANSPOSE(Cls1CentVMTShr)</f>
        <v>9.273212178681503E-2</v>
      </c>
      <c r="C231" s="899">
        <v>0.32242235704181188</v>
      </c>
      <c r="D231" s="899">
        <v>9.1542250355295205E-3</v>
      </c>
      <c r="E231" s="899">
        <v>0</v>
      </c>
      <c r="F231" s="899">
        <v>0</v>
      </c>
      <c r="G231" s="899">
        <v>0</v>
      </c>
      <c r="H231" s="899">
        <v>0</v>
      </c>
      <c r="I231" s="899">
        <v>0</v>
      </c>
      <c r="J231" s="899">
        <v>0</v>
      </c>
      <c r="K231" s="899">
        <v>0</v>
      </c>
      <c r="L231" s="900">
        <v>0</v>
      </c>
      <c r="M231" s="373"/>
      <c r="N231" s="343"/>
      <c r="O231" s="898">
        <f t="array" ref="O231:Y231">TRANSPOSE(Cls1NCentVMTShr)</f>
        <v>0.16874553744672482</v>
      </c>
      <c r="P231" s="899">
        <v>0.32500949786451999</v>
      </c>
      <c r="Q231" s="899">
        <v>8.1936260824598706E-2</v>
      </c>
      <c r="R231" s="899">
        <v>0</v>
      </c>
      <c r="S231" s="899">
        <v>0</v>
      </c>
      <c r="T231" s="899">
        <v>0</v>
      </c>
      <c r="U231" s="899">
        <v>0</v>
      </c>
      <c r="V231" s="899">
        <v>0</v>
      </c>
      <c r="W231" s="899">
        <v>0</v>
      </c>
      <c r="X231" s="899">
        <v>0</v>
      </c>
      <c r="Y231" s="900">
        <v>0</v>
      </c>
      <c r="Z231" s="373"/>
      <c r="AA231" s="343"/>
      <c r="AB231" s="1630" t="str">
        <f>"% of miles on f2 for Tech "&amp; RIGHT(O227)&amp;" adopters"</f>
        <v>% of miles on f2 for Tech D adopters</v>
      </c>
      <c r="AC231" s="1631"/>
      <c r="AD231" s="1632"/>
      <c r="AE231" s="897" t="s">
        <v>246</v>
      </c>
      <c r="AF231" s="897"/>
      <c r="AG231" s="897"/>
      <c r="AH231" s="1113" t="s">
        <v>255</v>
      </c>
      <c r="AI231" s="897"/>
    </row>
    <row r="232" spans="1:39" ht="13.5" thickBot="1" x14ac:dyDescent="0.25">
      <c r="A232" s="902" t="s">
        <v>210</v>
      </c>
      <c r="B232" s="893">
        <f t="array" ref="B232:L232">TRANSPOSE(Cls1CentVMT/OPDAYS_Cls1)</f>
        <v>37.00142799703638</v>
      </c>
      <c r="C232" s="894">
        <v>99.521421131036902</v>
      </c>
      <c r="D232" s="894">
        <v>168.69211144921252</v>
      </c>
      <c r="E232" s="894">
        <v>280</v>
      </c>
      <c r="F232" s="894">
        <v>360</v>
      </c>
      <c r="G232" s="894">
        <v>440</v>
      </c>
      <c r="H232" s="894">
        <v>520</v>
      </c>
      <c r="I232" s="894">
        <v>600</v>
      </c>
      <c r="J232" s="894">
        <v>680</v>
      </c>
      <c r="K232" s="894">
        <v>760</v>
      </c>
      <c r="L232" s="895">
        <v>800</v>
      </c>
      <c r="M232" s="891"/>
      <c r="N232" s="892"/>
      <c r="O232" s="893">
        <f t="array" ref="O232:Y232">TRANSPOSE(Cls1NCentVMT/OPDAYS_Cls1)</f>
        <v>42.318371896217066</v>
      </c>
      <c r="P232" s="894">
        <v>119.08188972092167</v>
      </c>
      <c r="Q232" s="894">
        <v>188.73821956526081</v>
      </c>
      <c r="R232" s="894">
        <v>280</v>
      </c>
      <c r="S232" s="894">
        <v>360</v>
      </c>
      <c r="T232" s="894">
        <v>440</v>
      </c>
      <c r="U232" s="894">
        <v>520</v>
      </c>
      <c r="V232" s="894">
        <v>600</v>
      </c>
      <c r="W232" s="894">
        <v>680</v>
      </c>
      <c r="X232" s="894">
        <v>760</v>
      </c>
      <c r="Y232" s="895">
        <v>800</v>
      </c>
      <c r="Z232" s="903"/>
      <c r="AA232" s="892"/>
      <c r="AB232" s="915" t="s">
        <v>174</v>
      </c>
      <c r="AC232" s="916" t="s">
        <v>15</v>
      </c>
      <c r="AD232" s="917" t="s">
        <v>20</v>
      </c>
      <c r="AE232" s="897" t="s">
        <v>174</v>
      </c>
      <c r="AF232" s="897" t="s">
        <v>15</v>
      </c>
      <c r="AG232" s="897" t="s">
        <v>20</v>
      </c>
      <c r="AH232" s="1113" t="s">
        <v>174</v>
      </c>
      <c r="AI232" s="897" t="s">
        <v>15</v>
      </c>
    </row>
    <row r="233" spans="1:39" ht="13.5" thickTop="1" x14ac:dyDescent="0.2">
      <c r="A233" s="901">
        <v>2007</v>
      </c>
      <c r="B233" s="351">
        <v>0</v>
      </c>
      <c r="C233" s="352">
        <v>0</v>
      </c>
      <c r="D233" s="352">
        <v>0</v>
      </c>
      <c r="E233" s="352">
        <v>0</v>
      </c>
      <c r="F233" s="352">
        <v>0</v>
      </c>
      <c r="G233" s="352">
        <v>0</v>
      </c>
      <c r="H233" s="352">
        <v>0</v>
      </c>
      <c r="I233" s="352">
        <v>0</v>
      </c>
      <c r="J233" s="352">
        <v>0</v>
      </c>
      <c r="K233" s="352">
        <v>0</v>
      </c>
      <c r="L233" s="364">
        <v>0</v>
      </c>
      <c r="M233" s="291">
        <f t="shared" ref="M233:M276" si="119">SUMPRODUCT($B$178:$L$178,$B233:$L233)</f>
        <v>0</v>
      </c>
      <c r="N233" s="293">
        <f t="shared" ref="N233:N276" si="120">SUMPRODUCT($B$177:$L$177,$B233:$L233)</f>
        <v>0</v>
      </c>
      <c r="O233" s="351">
        <v>0</v>
      </c>
      <c r="P233" s="352">
        <v>0</v>
      </c>
      <c r="Q233" s="352">
        <v>0</v>
      </c>
      <c r="R233" s="352">
        <v>0</v>
      </c>
      <c r="S233" s="352">
        <v>0</v>
      </c>
      <c r="T233" s="352">
        <v>0</v>
      </c>
      <c r="U233" s="352">
        <v>0</v>
      </c>
      <c r="V233" s="352">
        <v>0</v>
      </c>
      <c r="W233" s="352">
        <v>0</v>
      </c>
      <c r="X233" s="352">
        <v>0</v>
      </c>
      <c r="Y233" s="364">
        <v>0</v>
      </c>
      <c r="Z233" s="291">
        <f t="shared" ref="Z233:Z276" si="121">SUMPRODUCT($O$178:$Y$178,$O233:$Y233)</f>
        <v>0</v>
      </c>
      <c r="AA233" s="293">
        <f t="shared" ref="AA233:AA276" si="122">SUMPRODUCT($O$177:$Y$177,$O233:$Y233)</f>
        <v>0</v>
      </c>
      <c r="AB233" s="91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1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174">
        <f>AB233*AH233+AC233*AI233</f>
        <v>0</v>
      </c>
      <c r="AE233" s="897">
        <f t="shared" ref="AE233:AE247" si="123">SUMPRODUCT($B$74:$L$74,B233:L233)</f>
        <v>0</v>
      </c>
      <c r="AF233" s="897">
        <f t="shared" ref="AF233:AF247" si="124">SUMPRODUCT($O$74:$Y$74,O233:Y233)</f>
        <v>0</v>
      </c>
      <c r="AG233" s="897">
        <f t="shared" ref="AG233:AG247" si="125">SUM(AE233:AF233)</f>
        <v>0</v>
      </c>
      <c r="AH233" s="1113">
        <f>IF(AG233&gt;0,AE233/AG233,0)</f>
        <v>0</v>
      </c>
      <c r="AI233" s="897">
        <f>IF(AG233&gt;0,AF233/AG233,0)</f>
        <v>0</v>
      </c>
      <c r="AJ233" s="236"/>
      <c r="AK233" s="236"/>
      <c r="AL233" s="236"/>
      <c r="AM233" s="236"/>
    </row>
    <row r="234" spans="1:39" x14ac:dyDescent="0.2">
      <c r="A234" s="336">
        <v>2008</v>
      </c>
      <c r="B234" s="353">
        <v>0</v>
      </c>
      <c r="C234" s="354">
        <v>0</v>
      </c>
      <c r="D234" s="354">
        <v>0</v>
      </c>
      <c r="E234" s="354">
        <v>0</v>
      </c>
      <c r="F234" s="354">
        <v>0</v>
      </c>
      <c r="G234" s="354">
        <v>0</v>
      </c>
      <c r="H234" s="354">
        <v>0</v>
      </c>
      <c r="I234" s="354">
        <v>0</v>
      </c>
      <c r="J234" s="354">
        <v>0</v>
      </c>
      <c r="K234" s="354">
        <v>0</v>
      </c>
      <c r="L234" s="365">
        <v>0</v>
      </c>
      <c r="M234" s="305">
        <f t="shared" si="119"/>
        <v>0</v>
      </c>
      <c r="N234" s="307">
        <f t="shared" si="120"/>
        <v>0</v>
      </c>
      <c r="O234" s="353">
        <v>0</v>
      </c>
      <c r="P234" s="354">
        <v>0</v>
      </c>
      <c r="Q234" s="354">
        <v>0</v>
      </c>
      <c r="R234" s="354">
        <v>0</v>
      </c>
      <c r="S234" s="354">
        <v>0</v>
      </c>
      <c r="T234" s="354">
        <v>0</v>
      </c>
      <c r="U234" s="354">
        <v>0</v>
      </c>
      <c r="V234" s="354">
        <v>0</v>
      </c>
      <c r="W234" s="354">
        <v>0</v>
      </c>
      <c r="X234" s="354">
        <v>0</v>
      </c>
      <c r="Y234" s="365">
        <v>0</v>
      </c>
      <c r="Z234" s="305">
        <f t="shared" si="121"/>
        <v>0</v>
      </c>
      <c r="AA234" s="307">
        <f t="shared" si="122"/>
        <v>0</v>
      </c>
      <c r="AB234" s="91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1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920">
        <f t="shared" ref="AD234:AD276" si="126">AB234*AH234+AC234*AI234</f>
        <v>0</v>
      </c>
      <c r="AE234" s="897">
        <f t="shared" si="123"/>
        <v>0</v>
      </c>
      <c r="AF234" s="897">
        <f t="shared" si="124"/>
        <v>0</v>
      </c>
      <c r="AG234" s="897">
        <f t="shared" si="125"/>
        <v>0</v>
      </c>
      <c r="AH234" s="1113">
        <f t="shared" ref="AH234:AH276" si="127">IF(AG234&gt;0,AE234/AG234,0)</f>
        <v>0</v>
      </c>
      <c r="AI234" s="897">
        <f t="shared" ref="AI234:AI276" si="128">IF(AG234&gt;0,AF234/AG234,0)</f>
        <v>0</v>
      </c>
    </row>
    <row r="235" spans="1:39" x14ac:dyDescent="0.2">
      <c r="A235" s="336">
        <v>2009</v>
      </c>
      <c r="B235" s="353">
        <v>0</v>
      </c>
      <c r="C235" s="354">
        <v>0</v>
      </c>
      <c r="D235" s="354">
        <v>0</v>
      </c>
      <c r="E235" s="354">
        <v>0</v>
      </c>
      <c r="F235" s="354">
        <v>0</v>
      </c>
      <c r="G235" s="354">
        <v>0</v>
      </c>
      <c r="H235" s="354">
        <v>0</v>
      </c>
      <c r="I235" s="354">
        <v>0</v>
      </c>
      <c r="J235" s="354">
        <v>0</v>
      </c>
      <c r="K235" s="354">
        <v>0</v>
      </c>
      <c r="L235" s="365">
        <v>0</v>
      </c>
      <c r="M235" s="305">
        <f t="shared" si="119"/>
        <v>0</v>
      </c>
      <c r="N235" s="307">
        <f t="shared" si="120"/>
        <v>0</v>
      </c>
      <c r="O235" s="353">
        <v>0</v>
      </c>
      <c r="P235" s="354">
        <v>0</v>
      </c>
      <c r="Q235" s="354">
        <v>0</v>
      </c>
      <c r="R235" s="354">
        <v>0</v>
      </c>
      <c r="S235" s="354">
        <v>0</v>
      </c>
      <c r="T235" s="354">
        <v>0</v>
      </c>
      <c r="U235" s="354">
        <v>0</v>
      </c>
      <c r="V235" s="354">
        <v>0</v>
      </c>
      <c r="W235" s="354">
        <v>0</v>
      </c>
      <c r="X235" s="354">
        <v>0</v>
      </c>
      <c r="Y235" s="365">
        <v>0</v>
      </c>
      <c r="Z235" s="305">
        <f t="shared" si="121"/>
        <v>0</v>
      </c>
      <c r="AA235" s="307">
        <f t="shared" si="122"/>
        <v>0</v>
      </c>
      <c r="AB235" s="91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1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920">
        <f t="shared" si="126"/>
        <v>0</v>
      </c>
      <c r="AE235" s="897">
        <f t="shared" si="123"/>
        <v>0</v>
      </c>
      <c r="AF235" s="897">
        <f t="shared" si="124"/>
        <v>0</v>
      </c>
      <c r="AG235" s="897">
        <f t="shared" si="125"/>
        <v>0</v>
      </c>
      <c r="AH235" s="1113">
        <f t="shared" si="127"/>
        <v>0</v>
      </c>
      <c r="AI235" s="897">
        <f t="shared" si="128"/>
        <v>0</v>
      </c>
    </row>
    <row r="236" spans="1:39" ht="13.5" thickBot="1" x14ac:dyDescent="0.25">
      <c r="A236" s="337">
        <v>2010</v>
      </c>
      <c r="B236" s="355">
        <v>0</v>
      </c>
      <c r="C236" s="356">
        <v>0</v>
      </c>
      <c r="D236" s="356">
        <v>0</v>
      </c>
      <c r="E236" s="356">
        <v>0</v>
      </c>
      <c r="F236" s="356">
        <v>0</v>
      </c>
      <c r="G236" s="356">
        <v>0</v>
      </c>
      <c r="H236" s="356">
        <v>0</v>
      </c>
      <c r="I236" s="356">
        <v>0</v>
      </c>
      <c r="J236" s="356">
        <v>0</v>
      </c>
      <c r="K236" s="356">
        <v>0</v>
      </c>
      <c r="L236" s="366">
        <v>0</v>
      </c>
      <c r="M236" s="319">
        <f t="shared" si="119"/>
        <v>0</v>
      </c>
      <c r="N236" s="321">
        <f t="shared" si="120"/>
        <v>0</v>
      </c>
      <c r="O236" s="355">
        <v>0</v>
      </c>
      <c r="P236" s="356">
        <v>0</v>
      </c>
      <c r="Q236" s="356">
        <v>0</v>
      </c>
      <c r="R236" s="356">
        <v>0</v>
      </c>
      <c r="S236" s="356">
        <v>0</v>
      </c>
      <c r="T236" s="356">
        <v>0</v>
      </c>
      <c r="U236" s="356">
        <v>0</v>
      </c>
      <c r="V236" s="356">
        <v>0</v>
      </c>
      <c r="W236" s="356">
        <v>0</v>
      </c>
      <c r="X236" s="356">
        <v>0</v>
      </c>
      <c r="Y236" s="366">
        <v>0</v>
      </c>
      <c r="Z236" s="319">
        <f t="shared" si="121"/>
        <v>0</v>
      </c>
      <c r="AA236" s="321">
        <f t="shared" si="122"/>
        <v>0</v>
      </c>
      <c r="AB236" s="91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1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920">
        <f t="shared" si="126"/>
        <v>0</v>
      </c>
      <c r="AE236" s="897">
        <f t="shared" si="123"/>
        <v>0</v>
      </c>
      <c r="AF236" s="897">
        <f t="shared" si="124"/>
        <v>0</v>
      </c>
      <c r="AG236" s="897">
        <f t="shared" si="125"/>
        <v>0</v>
      </c>
      <c r="AH236" s="1113">
        <f t="shared" si="127"/>
        <v>0</v>
      </c>
      <c r="AI236" s="897">
        <f t="shared" si="128"/>
        <v>0</v>
      </c>
    </row>
    <row r="237" spans="1:39" x14ac:dyDescent="0.2">
      <c r="A237" s="338">
        <v>2011</v>
      </c>
      <c r="B237" s="351">
        <v>0</v>
      </c>
      <c r="C237" s="352">
        <v>0</v>
      </c>
      <c r="D237" s="352">
        <v>0</v>
      </c>
      <c r="E237" s="352">
        <v>0</v>
      </c>
      <c r="F237" s="352">
        <v>0</v>
      </c>
      <c r="G237" s="352">
        <v>0</v>
      </c>
      <c r="H237" s="352">
        <v>0</v>
      </c>
      <c r="I237" s="352">
        <v>0</v>
      </c>
      <c r="J237" s="352">
        <v>0</v>
      </c>
      <c r="K237" s="352">
        <v>0</v>
      </c>
      <c r="L237" s="364">
        <v>0</v>
      </c>
      <c r="M237" s="291">
        <f t="shared" si="119"/>
        <v>0</v>
      </c>
      <c r="N237" s="293">
        <f t="shared" si="120"/>
        <v>0</v>
      </c>
      <c r="O237" s="351">
        <v>0</v>
      </c>
      <c r="P237" s="352">
        <v>0</v>
      </c>
      <c r="Q237" s="352">
        <v>0</v>
      </c>
      <c r="R237" s="352">
        <v>0</v>
      </c>
      <c r="S237" s="352">
        <v>0</v>
      </c>
      <c r="T237" s="352">
        <v>0</v>
      </c>
      <c r="U237" s="352">
        <v>0</v>
      </c>
      <c r="V237" s="352">
        <v>0</v>
      </c>
      <c r="W237" s="352">
        <v>0</v>
      </c>
      <c r="X237" s="352">
        <v>0</v>
      </c>
      <c r="Y237" s="364">
        <v>0</v>
      </c>
      <c r="Z237" s="291">
        <f t="shared" si="121"/>
        <v>0</v>
      </c>
      <c r="AA237" s="293">
        <f t="shared" si="122"/>
        <v>0</v>
      </c>
      <c r="AB237" s="91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1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920">
        <f t="shared" si="126"/>
        <v>0</v>
      </c>
      <c r="AE237" s="897">
        <f t="shared" si="123"/>
        <v>0</v>
      </c>
      <c r="AF237" s="897">
        <f t="shared" si="124"/>
        <v>0</v>
      </c>
      <c r="AG237" s="897">
        <f t="shared" si="125"/>
        <v>0</v>
      </c>
      <c r="AH237" s="1113">
        <f t="shared" si="127"/>
        <v>0</v>
      </c>
      <c r="AI237" s="897">
        <f t="shared" si="128"/>
        <v>0</v>
      </c>
    </row>
    <row r="238" spans="1:39" x14ac:dyDescent="0.2">
      <c r="A238" s="339">
        <v>2012</v>
      </c>
      <c r="B238" s="353">
        <v>0</v>
      </c>
      <c r="C238" s="354">
        <v>0</v>
      </c>
      <c r="D238" s="354">
        <v>0</v>
      </c>
      <c r="E238" s="354">
        <v>0</v>
      </c>
      <c r="F238" s="354">
        <v>0</v>
      </c>
      <c r="G238" s="354">
        <v>0</v>
      </c>
      <c r="H238" s="354">
        <v>0</v>
      </c>
      <c r="I238" s="354">
        <v>0</v>
      </c>
      <c r="J238" s="354">
        <v>0</v>
      </c>
      <c r="K238" s="354">
        <v>0</v>
      </c>
      <c r="L238" s="365">
        <v>0</v>
      </c>
      <c r="M238" s="305">
        <f t="shared" si="119"/>
        <v>0</v>
      </c>
      <c r="N238" s="307">
        <f t="shared" si="120"/>
        <v>0</v>
      </c>
      <c r="O238" s="353">
        <v>0</v>
      </c>
      <c r="P238" s="354">
        <v>0</v>
      </c>
      <c r="Q238" s="354">
        <v>0</v>
      </c>
      <c r="R238" s="354">
        <v>0</v>
      </c>
      <c r="S238" s="354">
        <v>0</v>
      </c>
      <c r="T238" s="354">
        <v>0</v>
      </c>
      <c r="U238" s="354">
        <v>0</v>
      </c>
      <c r="V238" s="354">
        <v>0</v>
      </c>
      <c r="W238" s="354">
        <v>0</v>
      </c>
      <c r="X238" s="354">
        <v>0</v>
      </c>
      <c r="Y238" s="365">
        <v>0</v>
      </c>
      <c r="Z238" s="305">
        <f t="shared" si="121"/>
        <v>0</v>
      </c>
      <c r="AA238" s="307">
        <f t="shared" si="122"/>
        <v>0</v>
      </c>
      <c r="AB238" s="91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1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920">
        <f t="shared" si="126"/>
        <v>0</v>
      </c>
      <c r="AE238" s="897">
        <f t="shared" si="123"/>
        <v>0</v>
      </c>
      <c r="AF238" s="897">
        <f t="shared" si="124"/>
        <v>0</v>
      </c>
      <c r="AG238" s="897">
        <f t="shared" si="125"/>
        <v>0</v>
      </c>
      <c r="AH238" s="1113">
        <f t="shared" si="127"/>
        <v>0</v>
      </c>
      <c r="AI238" s="897">
        <f t="shared" si="128"/>
        <v>0</v>
      </c>
    </row>
    <row r="239" spans="1:39" x14ac:dyDescent="0.2">
      <c r="A239" s="339">
        <v>2013</v>
      </c>
      <c r="B239" s="353">
        <v>0</v>
      </c>
      <c r="C239" s="354">
        <v>0</v>
      </c>
      <c r="D239" s="354">
        <v>0</v>
      </c>
      <c r="E239" s="354">
        <v>0</v>
      </c>
      <c r="F239" s="354">
        <v>0</v>
      </c>
      <c r="G239" s="354">
        <v>0</v>
      </c>
      <c r="H239" s="354">
        <v>0</v>
      </c>
      <c r="I239" s="354">
        <v>0</v>
      </c>
      <c r="J239" s="354">
        <v>0</v>
      </c>
      <c r="K239" s="354">
        <v>0</v>
      </c>
      <c r="L239" s="365">
        <v>0</v>
      </c>
      <c r="M239" s="305">
        <f t="shared" si="119"/>
        <v>0</v>
      </c>
      <c r="N239" s="307">
        <f t="shared" si="120"/>
        <v>0</v>
      </c>
      <c r="O239" s="353">
        <v>0</v>
      </c>
      <c r="P239" s="354">
        <v>0</v>
      </c>
      <c r="Q239" s="354">
        <v>0</v>
      </c>
      <c r="R239" s="354">
        <v>0</v>
      </c>
      <c r="S239" s="354">
        <v>0</v>
      </c>
      <c r="T239" s="354">
        <v>0</v>
      </c>
      <c r="U239" s="354">
        <v>0</v>
      </c>
      <c r="V239" s="354">
        <v>0</v>
      </c>
      <c r="W239" s="354">
        <v>0</v>
      </c>
      <c r="X239" s="354">
        <v>0</v>
      </c>
      <c r="Y239" s="365">
        <v>0</v>
      </c>
      <c r="Z239" s="305">
        <f t="shared" si="121"/>
        <v>0</v>
      </c>
      <c r="AA239" s="307">
        <f t="shared" si="122"/>
        <v>0</v>
      </c>
      <c r="AB239" s="91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1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920">
        <f t="shared" si="126"/>
        <v>0</v>
      </c>
      <c r="AE239" s="897">
        <f t="shared" si="123"/>
        <v>0</v>
      </c>
      <c r="AF239" s="897">
        <f t="shared" si="124"/>
        <v>0</v>
      </c>
      <c r="AG239" s="897">
        <f t="shared" si="125"/>
        <v>0</v>
      </c>
      <c r="AH239" s="1113">
        <f t="shared" si="127"/>
        <v>0</v>
      </c>
      <c r="AI239" s="897">
        <f t="shared" si="128"/>
        <v>0</v>
      </c>
    </row>
    <row r="240" spans="1:39" x14ac:dyDescent="0.2">
      <c r="A240" s="339">
        <v>2014</v>
      </c>
      <c r="B240" s="353">
        <v>0</v>
      </c>
      <c r="C240" s="354">
        <v>0</v>
      </c>
      <c r="D240" s="354">
        <v>0</v>
      </c>
      <c r="E240" s="354">
        <v>0</v>
      </c>
      <c r="F240" s="354">
        <v>0</v>
      </c>
      <c r="G240" s="354">
        <v>0</v>
      </c>
      <c r="H240" s="354">
        <v>0</v>
      </c>
      <c r="I240" s="354">
        <v>0</v>
      </c>
      <c r="J240" s="354">
        <v>0</v>
      </c>
      <c r="K240" s="354">
        <v>0</v>
      </c>
      <c r="L240" s="365">
        <v>0</v>
      </c>
      <c r="M240" s="305">
        <f t="shared" si="119"/>
        <v>0</v>
      </c>
      <c r="N240" s="307">
        <f t="shared" si="120"/>
        <v>0</v>
      </c>
      <c r="O240" s="353">
        <v>0</v>
      </c>
      <c r="P240" s="354">
        <v>0</v>
      </c>
      <c r="Q240" s="354">
        <v>0</v>
      </c>
      <c r="R240" s="354">
        <v>0</v>
      </c>
      <c r="S240" s="354">
        <v>0</v>
      </c>
      <c r="T240" s="354">
        <v>0</v>
      </c>
      <c r="U240" s="354">
        <v>0</v>
      </c>
      <c r="V240" s="354">
        <v>0</v>
      </c>
      <c r="W240" s="354">
        <v>0</v>
      </c>
      <c r="X240" s="354">
        <v>0</v>
      </c>
      <c r="Y240" s="365">
        <v>0</v>
      </c>
      <c r="Z240" s="305">
        <f t="shared" si="121"/>
        <v>0</v>
      </c>
      <c r="AA240" s="307">
        <f t="shared" si="122"/>
        <v>0</v>
      </c>
      <c r="AB240" s="91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1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920">
        <f t="shared" si="126"/>
        <v>0</v>
      </c>
      <c r="AE240" s="897">
        <f t="shared" si="123"/>
        <v>0</v>
      </c>
      <c r="AF240" s="897">
        <f t="shared" si="124"/>
        <v>0</v>
      </c>
      <c r="AG240" s="897">
        <f t="shared" si="125"/>
        <v>0</v>
      </c>
      <c r="AH240" s="1113">
        <f t="shared" si="127"/>
        <v>0</v>
      </c>
      <c r="AI240" s="897">
        <f t="shared" si="128"/>
        <v>0</v>
      </c>
    </row>
    <row r="241" spans="1:35" ht="13.5" thickBot="1" x14ac:dyDescent="0.25">
      <c r="A241" s="337">
        <v>2015</v>
      </c>
      <c r="B241" s="355">
        <v>0</v>
      </c>
      <c r="C241" s="356">
        <v>0</v>
      </c>
      <c r="D241" s="356">
        <v>0</v>
      </c>
      <c r="E241" s="356">
        <v>0</v>
      </c>
      <c r="F241" s="356">
        <v>0</v>
      </c>
      <c r="G241" s="356">
        <v>0</v>
      </c>
      <c r="H241" s="356">
        <v>0</v>
      </c>
      <c r="I241" s="356">
        <v>0</v>
      </c>
      <c r="J241" s="356">
        <v>0</v>
      </c>
      <c r="K241" s="356">
        <v>0</v>
      </c>
      <c r="L241" s="366">
        <v>0</v>
      </c>
      <c r="M241" s="319">
        <f t="shared" si="119"/>
        <v>0</v>
      </c>
      <c r="N241" s="321">
        <f t="shared" si="120"/>
        <v>0</v>
      </c>
      <c r="O241" s="355">
        <v>0</v>
      </c>
      <c r="P241" s="356">
        <v>0</v>
      </c>
      <c r="Q241" s="356">
        <v>0</v>
      </c>
      <c r="R241" s="356">
        <v>0</v>
      </c>
      <c r="S241" s="356">
        <v>0</v>
      </c>
      <c r="T241" s="356">
        <v>0</v>
      </c>
      <c r="U241" s="356">
        <v>0</v>
      </c>
      <c r="V241" s="356">
        <v>0</v>
      </c>
      <c r="W241" s="356">
        <v>0</v>
      </c>
      <c r="X241" s="356">
        <v>0</v>
      </c>
      <c r="Y241" s="366">
        <v>0</v>
      </c>
      <c r="Z241" s="319">
        <f t="shared" si="121"/>
        <v>0</v>
      </c>
      <c r="AA241" s="321">
        <f t="shared" si="122"/>
        <v>0</v>
      </c>
      <c r="AB241" s="91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1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920">
        <f t="shared" si="126"/>
        <v>0</v>
      </c>
      <c r="AE241" s="897">
        <f t="shared" si="123"/>
        <v>0</v>
      </c>
      <c r="AF241" s="897">
        <f t="shared" si="124"/>
        <v>0</v>
      </c>
      <c r="AG241" s="897">
        <f t="shared" si="125"/>
        <v>0</v>
      </c>
      <c r="AH241" s="1113">
        <f t="shared" si="127"/>
        <v>0</v>
      </c>
      <c r="AI241" s="897">
        <f t="shared" si="128"/>
        <v>0</v>
      </c>
    </row>
    <row r="242" spans="1:35" x14ac:dyDescent="0.2">
      <c r="A242" s="338">
        <v>2016</v>
      </c>
      <c r="B242" s="351">
        <v>0</v>
      </c>
      <c r="C242" s="352">
        <v>0</v>
      </c>
      <c r="D242" s="352">
        <v>0</v>
      </c>
      <c r="E242" s="352">
        <v>0</v>
      </c>
      <c r="F242" s="352">
        <v>0</v>
      </c>
      <c r="G242" s="352">
        <v>0</v>
      </c>
      <c r="H242" s="352">
        <v>0</v>
      </c>
      <c r="I242" s="352">
        <v>0</v>
      </c>
      <c r="J242" s="352">
        <v>0</v>
      </c>
      <c r="K242" s="352">
        <v>0</v>
      </c>
      <c r="L242" s="364">
        <v>0</v>
      </c>
      <c r="M242" s="291">
        <f t="shared" si="119"/>
        <v>0</v>
      </c>
      <c r="N242" s="293">
        <f t="shared" si="120"/>
        <v>0</v>
      </c>
      <c r="O242" s="351">
        <v>0</v>
      </c>
      <c r="P242" s="352">
        <v>0</v>
      </c>
      <c r="Q242" s="352">
        <v>0</v>
      </c>
      <c r="R242" s="352">
        <v>0</v>
      </c>
      <c r="S242" s="352">
        <v>0</v>
      </c>
      <c r="T242" s="352">
        <v>0</v>
      </c>
      <c r="U242" s="352">
        <v>0</v>
      </c>
      <c r="V242" s="352">
        <v>0</v>
      </c>
      <c r="W242" s="352">
        <v>0</v>
      </c>
      <c r="X242" s="352">
        <v>0</v>
      </c>
      <c r="Y242" s="364">
        <v>0</v>
      </c>
      <c r="Z242" s="291">
        <f t="shared" si="121"/>
        <v>0</v>
      </c>
      <c r="AA242" s="293">
        <f t="shared" si="122"/>
        <v>0</v>
      </c>
      <c r="AB242" s="91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1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920">
        <f t="shared" si="126"/>
        <v>0</v>
      </c>
      <c r="AE242" s="897">
        <f t="shared" si="123"/>
        <v>0</v>
      </c>
      <c r="AF242" s="897">
        <f t="shared" si="124"/>
        <v>0</v>
      </c>
      <c r="AG242" s="897">
        <f t="shared" si="125"/>
        <v>0</v>
      </c>
      <c r="AH242" s="1113">
        <f t="shared" si="127"/>
        <v>0</v>
      </c>
      <c r="AI242" s="897">
        <f t="shared" si="128"/>
        <v>0</v>
      </c>
    </row>
    <row r="243" spans="1:35" x14ac:dyDescent="0.2">
      <c r="A243" s="339">
        <v>2017</v>
      </c>
      <c r="B243" s="353">
        <v>0</v>
      </c>
      <c r="C243" s="354">
        <v>0</v>
      </c>
      <c r="D243" s="354">
        <v>0</v>
      </c>
      <c r="E243" s="354">
        <v>0</v>
      </c>
      <c r="F243" s="354">
        <v>0</v>
      </c>
      <c r="G243" s="354">
        <v>0</v>
      </c>
      <c r="H243" s="354">
        <v>0</v>
      </c>
      <c r="I243" s="354">
        <v>0</v>
      </c>
      <c r="J243" s="354">
        <v>0</v>
      </c>
      <c r="K243" s="354">
        <v>0</v>
      </c>
      <c r="L243" s="365">
        <v>0</v>
      </c>
      <c r="M243" s="305">
        <f t="shared" si="119"/>
        <v>0</v>
      </c>
      <c r="N243" s="307">
        <f t="shared" si="120"/>
        <v>0</v>
      </c>
      <c r="O243" s="353">
        <v>0</v>
      </c>
      <c r="P243" s="354">
        <v>0</v>
      </c>
      <c r="Q243" s="354">
        <v>0</v>
      </c>
      <c r="R243" s="354">
        <v>0</v>
      </c>
      <c r="S243" s="354">
        <v>0</v>
      </c>
      <c r="T243" s="354">
        <v>0</v>
      </c>
      <c r="U243" s="354">
        <v>0</v>
      </c>
      <c r="V243" s="354">
        <v>0</v>
      </c>
      <c r="W243" s="354">
        <v>0</v>
      </c>
      <c r="X243" s="354">
        <v>0</v>
      </c>
      <c r="Y243" s="365">
        <v>0</v>
      </c>
      <c r="Z243" s="305">
        <f t="shared" si="121"/>
        <v>0</v>
      </c>
      <c r="AA243" s="307">
        <f t="shared" si="122"/>
        <v>0</v>
      </c>
      <c r="AB243" s="91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1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920">
        <f t="shared" si="126"/>
        <v>0</v>
      </c>
      <c r="AE243" s="897">
        <f t="shared" si="123"/>
        <v>0</v>
      </c>
      <c r="AF243" s="897">
        <f t="shared" si="124"/>
        <v>0</v>
      </c>
      <c r="AG243" s="897">
        <f t="shared" si="125"/>
        <v>0</v>
      </c>
      <c r="AH243" s="1113">
        <f t="shared" si="127"/>
        <v>0</v>
      </c>
      <c r="AI243" s="897">
        <f t="shared" si="128"/>
        <v>0</v>
      </c>
    </row>
    <row r="244" spans="1:35" x14ac:dyDescent="0.2">
      <c r="A244" s="339">
        <v>2018</v>
      </c>
      <c r="B244" s="353">
        <v>0</v>
      </c>
      <c r="C244" s="354">
        <v>0</v>
      </c>
      <c r="D244" s="354">
        <v>0</v>
      </c>
      <c r="E244" s="354">
        <v>0</v>
      </c>
      <c r="F244" s="354">
        <v>0</v>
      </c>
      <c r="G244" s="354">
        <v>0</v>
      </c>
      <c r="H244" s="354">
        <v>0</v>
      </c>
      <c r="I244" s="354">
        <v>0</v>
      </c>
      <c r="J244" s="354">
        <v>0</v>
      </c>
      <c r="K244" s="354">
        <v>0</v>
      </c>
      <c r="L244" s="365">
        <v>0</v>
      </c>
      <c r="M244" s="305">
        <f t="shared" si="119"/>
        <v>0</v>
      </c>
      <c r="N244" s="307">
        <f t="shared" si="120"/>
        <v>0</v>
      </c>
      <c r="O244" s="353">
        <v>0</v>
      </c>
      <c r="P244" s="354">
        <v>0</v>
      </c>
      <c r="Q244" s="354">
        <v>0</v>
      </c>
      <c r="R244" s="354">
        <v>0</v>
      </c>
      <c r="S244" s="354">
        <v>0</v>
      </c>
      <c r="T244" s="354">
        <v>0</v>
      </c>
      <c r="U244" s="354">
        <v>0</v>
      </c>
      <c r="V244" s="354">
        <v>0</v>
      </c>
      <c r="W244" s="354">
        <v>0</v>
      </c>
      <c r="X244" s="354">
        <v>0</v>
      </c>
      <c r="Y244" s="365">
        <v>0</v>
      </c>
      <c r="Z244" s="305">
        <f t="shared" si="121"/>
        <v>0</v>
      </c>
      <c r="AA244" s="307">
        <f t="shared" si="122"/>
        <v>0</v>
      </c>
      <c r="AB244" s="91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1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920">
        <f t="shared" si="126"/>
        <v>0</v>
      </c>
      <c r="AE244" s="897">
        <f t="shared" si="123"/>
        <v>0</v>
      </c>
      <c r="AF244" s="897">
        <f t="shared" si="124"/>
        <v>0</v>
      </c>
      <c r="AG244" s="897">
        <f t="shared" si="125"/>
        <v>0</v>
      </c>
      <c r="AH244" s="1113">
        <f t="shared" si="127"/>
        <v>0</v>
      </c>
      <c r="AI244" s="897">
        <f t="shared" si="128"/>
        <v>0</v>
      </c>
    </row>
    <row r="245" spans="1:35" x14ac:dyDescent="0.2">
      <c r="A245" s="339">
        <v>2019</v>
      </c>
      <c r="B245" s="353">
        <v>0</v>
      </c>
      <c r="C245" s="354">
        <v>0</v>
      </c>
      <c r="D245" s="354">
        <v>0</v>
      </c>
      <c r="E245" s="354">
        <v>0</v>
      </c>
      <c r="F245" s="354">
        <v>0</v>
      </c>
      <c r="G245" s="354">
        <v>0</v>
      </c>
      <c r="H245" s="354">
        <v>0</v>
      </c>
      <c r="I245" s="354">
        <v>0</v>
      </c>
      <c r="J245" s="354">
        <v>0</v>
      </c>
      <c r="K245" s="354">
        <v>0</v>
      </c>
      <c r="L245" s="365">
        <v>0</v>
      </c>
      <c r="M245" s="305">
        <f t="shared" si="119"/>
        <v>0</v>
      </c>
      <c r="N245" s="307">
        <f t="shared" si="120"/>
        <v>0</v>
      </c>
      <c r="O245" s="353">
        <v>0</v>
      </c>
      <c r="P245" s="354">
        <v>0</v>
      </c>
      <c r="Q245" s="354">
        <v>0</v>
      </c>
      <c r="R245" s="354">
        <v>0</v>
      </c>
      <c r="S245" s="354">
        <v>0</v>
      </c>
      <c r="T245" s="354">
        <v>0</v>
      </c>
      <c r="U245" s="354">
        <v>0</v>
      </c>
      <c r="V245" s="354">
        <v>0</v>
      </c>
      <c r="W245" s="354">
        <v>0</v>
      </c>
      <c r="X245" s="354">
        <v>0</v>
      </c>
      <c r="Y245" s="365">
        <v>0</v>
      </c>
      <c r="Z245" s="305">
        <f t="shared" si="121"/>
        <v>0</v>
      </c>
      <c r="AA245" s="307">
        <f t="shared" si="122"/>
        <v>0</v>
      </c>
      <c r="AB245" s="91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1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920">
        <f t="shared" si="126"/>
        <v>0</v>
      </c>
      <c r="AE245" s="897">
        <f t="shared" si="123"/>
        <v>0</v>
      </c>
      <c r="AF245" s="897">
        <f t="shared" si="124"/>
        <v>0</v>
      </c>
      <c r="AG245" s="897">
        <f t="shared" si="125"/>
        <v>0</v>
      </c>
      <c r="AH245" s="1113">
        <f t="shared" si="127"/>
        <v>0</v>
      </c>
      <c r="AI245" s="897">
        <f t="shared" si="128"/>
        <v>0</v>
      </c>
    </row>
    <row r="246" spans="1:35" ht="13.5" thickBot="1" x14ac:dyDescent="0.25">
      <c r="A246" s="337">
        <v>2020</v>
      </c>
      <c r="B246" s="355">
        <v>0</v>
      </c>
      <c r="C246" s="356">
        <v>0</v>
      </c>
      <c r="D246" s="356">
        <v>0</v>
      </c>
      <c r="E246" s="356">
        <v>0</v>
      </c>
      <c r="F246" s="356">
        <v>0</v>
      </c>
      <c r="G246" s="356">
        <v>0</v>
      </c>
      <c r="H246" s="356">
        <v>0</v>
      </c>
      <c r="I246" s="356">
        <v>0</v>
      </c>
      <c r="J246" s="356">
        <v>0</v>
      </c>
      <c r="K246" s="356">
        <v>0</v>
      </c>
      <c r="L246" s="366">
        <v>0</v>
      </c>
      <c r="M246" s="319">
        <f t="shared" si="119"/>
        <v>0</v>
      </c>
      <c r="N246" s="321">
        <f t="shared" si="120"/>
        <v>0</v>
      </c>
      <c r="O246" s="355">
        <v>0</v>
      </c>
      <c r="P246" s="356">
        <v>0</v>
      </c>
      <c r="Q246" s="356">
        <v>0</v>
      </c>
      <c r="R246" s="356">
        <v>0</v>
      </c>
      <c r="S246" s="356">
        <v>0</v>
      </c>
      <c r="T246" s="356">
        <v>0</v>
      </c>
      <c r="U246" s="356">
        <v>0</v>
      </c>
      <c r="V246" s="356">
        <v>0</v>
      </c>
      <c r="W246" s="356">
        <v>0</v>
      </c>
      <c r="X246" s="356">
        <v>0</v>
      </c>
      <c r="Y246" s="366">
        <v>0</v>
      </c>
      <c r="Z246" s="319">
        <f t="shared" si="121"/>
        <v>0</v>
      </c>
      <c r="AA246" s="321">
        <f t="shared" si="122"/>
        <v>0</v>
      </c>
      <c r="AB246" s="91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1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920">
        <f t="shared" si="126"/>
        <v>0</v>
      </c>
      <c r="AE246" s="897">
        <f t="shared" si="123"/>
        <v>0</v>
      </c>
      <c r="AF246" s="897">
        <f t="shared" si="124"/>
        <v>0</v>
      </c>
      <c r="AG246" s="897">
        <f t="shared" si="125"/>
        <v>0</v>
      </c>
      <c r="AH246" s="1113">
        <f t="shared" si="127"/>
        <v>0</v>
      </c>
      <c r="AI246" s="897">
        <f t="shared" si="128"/>
        <v>0</v>
      </c>
    </row>
    <row r="247" spans="1:35" x14ac:dyDescent="0.2">
      <c r="A247" s="338">
        <v>2021</v>
      </c>
      <c r="B247" s="351">
        <v>0</v>
      </c>
      <c r="C247" s="352">
        <v>0</v>
      </c>
      <c r="D247" s="352">
        <v>0</v>
      </c>
      <c r="E247" s="352">
        <v>0</v>
      </c>
      <c r="F247" s="352">
        <v>0</v>
      </c>
      <c r="G247" s="352">
        <v>0</v>
      </c>
      <c r="H247" s="352">
        <v>0</v>
      </c>
      <c r="I247" s="352">
        <v>0</v>
      </c>
      <c r="J247" s="352">
        <v>0</v>
      </c>
      <c r="K247" s="352">
        <v>0</v>
      </c>
      <c r="L247" s="364">
        <v>0</v>
      </c>
      <c r="M247" s="291">
        <f t="shared" si="119"/>
        <v>0</v>
      </c>
      <c r="N247" s="293">
        <f t="shared" si="120"/>
        <v>0</v>
      </c>
      <c r="O247" s="351">
        <v>0</v>
      </c>
      <c r="P247" s="352">
        <v>0</v>
      </c>
      <c r="Q247" s="352">
        <v>0</v>
      </c>
      <c r="R247" s="352">
        <v>0</v>
      </c>
      <c r="S247" s="352">
        <v>0</v>
      </c>
      <c r="T247" s="352">
        <v>0</v>
      </c>
      <c r="U247" s="352">
        <v>0</v>
      </c>
      <c r="V247" s="352">
        <v>0</v>
      </c>
      <c r="W247" s="352">
        <v>0</v>
      </c>
      <c r="X247" s="352">
        <v>0</v>
      </c>
      <c r="Y247" s="364">
        <v>0</v>
      </c>
      <c r="Z247" s="291">
        <f t="shared" si="121"/>
        <v>0</v>
      </c>
      <c r="AA247" s="293">
        <f t="shared" si="122"/>
        <v>0</v>
      </c>
      <c r="AB247" s="91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1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920">
        <f t="shared" si="126"/>
        <v>0</v>
      </c>
      <c r="AE247" s="897">
        <f t="shared" si="123"/>
        <v>0</v>
      </c>
      <c r="AF247" s="897">
        <f t="shared" si="124"/>
        <v>0</v>
      </c>
      <c r="AG247" s="897">
        <f t="shared" si="125"/>
        <v>0</v>
      </c>
      <c r="AH247" s="1113">
        <f t="shared" si="127"/>
        <v>0</v>
      </c>
      <c r="AI247" s="897">
        <f t="shared" si="128"/>
        <v>0</v>
      </c>
    </row>
    <row r="248" spans="1:35" x14ac:dyDescent="0.2">
      <c r="A248" s="339">
        <v>2022</v>
      </c>
      <c r="B248" s="353">
        <v>0</v>
      </c>
      <c r="C248" s="354">
        <v>0</v>
      </c>
      <c r="D248" s="354">
        <v>0</v>
      </c>
      <c r="E248" s="354">
        <v>0</v>
      </c>
      <c r="F248" s="354">
        <v>0</v>
      </c>
      <c r="G248" s="354">
        <v>0</v>
      </c>
      <c r="H248" s="354">
        <v>0</v>
      </c>
      <c r="I248" s="354">
        <v>0</v>
      </c>
      <c r="J248" s="354">
        <v>0</v>
      </c>
      <c r="K248" s="354">
        <v>0</v>
      </c>
      <c r="L248" s="365">
        <v>0</v>
      </c>
      <c r="M248" s="305">
        <f t="shared" si="119"/>
        <v>0</v>
      </c>
      <c r="N248" s="307">
        <f t="shared" si="120"/>
        <v>0</v>
      </c>
      <c r="O248" s="353">
        <v>0</v>
      </c>
      <c r="P248" s="354">
        <v>0</v>
      </c>
      <c r="Q248" s="354">
        <v>0</v>
      </c>
      <c r="R248" s="354">
        <v>0</v>
      </c>
      <c r="S248" s="354">
        <v>0</v>
      </c>
      <c r="T248" s="354">
        <v>0</v>
      </c>
      <c r="U248" s="354">
        <v>0</v>
      </c>
      <c r="V248" s="354">
        <v>0</v>
      </c>
      <c r="W248" s="354">
        <v>0</v>
      </c>
      <c r="X248" s="354">
        <v>0</v>
      </c>
      <c r="Y248" s="365">
        <v>0</v>
      </c>
      <c r="Z248" s="305">
        <f t="shared" si="121"/>
        <v>0</v>
      </c>
      <c r="AA248" s="307">
        <f t="shared" si="122"/>
        <v>0</v>
      </c>
      <c r="AB248" s="91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1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920">
        <f t="shared" si="126"/>
        <v>0</v>
      </c>
      <c r="AE248" s="897">
        <f>SUMPRODUCT($B$74:$L$74,B248:L248)</f>
        <v>0</v>
      </c>
      <c r="AF248" s="897">
        <f>SUMPRODUCT($O$74:$Y$74,O248:Y248)</f>
        <v>0</v>
      </c>
      <c r="AG248" s="897">
        <f>SUM(AE248:AF248)</f>
        <v>0</v>
      </c>
      <c r="AH248" s="1113">
        <f t="shared" si="127"/>
        <v>0</v>
      </c>
      <c r="AI248" s="897">
        <f t="shared" si="128"/>
        <v>0</v>
      </c>
    </row>
    <row r="249" spans="1:35" x14ac:dyDescent="0.2">
      <c r="A249" s="339">
        <v>2023</v>
      </c>
      <c r="B249" s="353">
        <v>0</v>
      </c>
      <c r="C249" s="354">
        <v>0</v>
      </c>
      <c r="D249" s="354">
        <v>0</v>
      </c>
      <c r="E249" s="354">
        <v>0</v>
      </c>
      <c r="F249" s="354">
        <v>0</v>
      </c>
      <c r="G249" s="354">
        <v>0</v>
      </c>
      <c r="H249" s="354">
        <v>0</v>
      </c>
      <c r="I249" s="354">
        <v>0</v>
      </c>
      <c r="J249" s="354">
        <v>0</v>
      </c>
      <c r="K249" s="354">
        <v>0</v>
      </c>
      <c r="L249" s="365">
        <v>0</v>
      </c>
      <c r="M249" s="305">
        <f t="shared" si="119"/>
        <v>0</v>
      </c>
      <c r="N249" s="307">
        <f t="shared" si="120"/>
        <v>0</v>
      </c>
      <c r="O249" s="353">
        <v>0</v>
      </c>
      <c r="P249" s="354">
        <v>0</v>
      </c>
      <c r="Q249" s="354">
        <v>0</v>
      </c>
      <c r="R249" s="354">
        <v>0</v>
      </c>
      <c r="S249" s="354">
        <v>0</v>
      </c>
      <c r="T249" s="354">
        <v>0</v>
      </c>
      <c r="U249" s="354">
        <v>0</v>
      </c>
      <c r="V249" s="354">
        <v>0</v>
      </c>
      <c r="W249" s="354">
        <v>0</v>
      </c>
      <c r="X249" s="354">
        <v>0</v>
      </c>
      <c r="Y249" s="365">
        <v>0</v>
      </c>
      <c r="Z249" s="305">
        <f t="shared" si="121"/>
        <v>0</v>
      </c>
      <c r="AA249" s="307">
        <f t="shared" si="122"/>
        <v>0</v>
      </c>
      <c r="AB249" s="91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1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920">
        <f t="shared" si="126"/>
        <v>0</v>
      </c>
      <c r="AE249" s="897">
        <f t="shared" ref="AE249:AE276" si="129">SUMPRODUCT($B$74:$L$74,B249:L249)</f>
        <v>0</v>
      </c>
      <c r="AF249" s="897">
        <f t="shared" ref="AF249:AF276" si="130">SUMPRODUCT($O$74:$Y$74,O249:Y249)</f>
        <v>0</v>
      </c>
      <c r="AG249" s="897">
        <f t="shared" ref="AG249:AG276" si="131">SUM(AE249:AF249)</f>
        <v>0</v>
      </c>
      <c r="AH249" s="1113">
        <f t="shared" si="127"/>
        <v>0</v>
      </c>
      <c r="AI249" s="897">
        <f t="shared" si="128"/>
        <v>0</v>
      </c>
    </row>
    <row r="250" spans="1:35" x14ac:dyDescent="0.2">
      <c r="A250" s="339">
        <v>2024</v>
      </c>
      <c r="B250" s="353">
        <v>0</v>
      </c>
      <c r="C250" s="354">
        <v>0</v>
      </c>
      <c r="D250" s="354">
        <v>0</v>
      </c>
      <c r="E250" s="354">
        <v>0</v>
      </c>
      <c r="F250" s="354">
        <v>0</v>
      </c>
      <c r="G250" s="354">
        <v>0</v>
      </c>
      <c r="H250" s="354">
        <v>0</v>
      </c>
      <c r="I250" s="354">
        <v>0</v>
      </c>
      <c r="J250" s="354">
        <v>0</v>
      </c>
      <c r="K250" s="354">
        <v>0</v>
      </c>
      <c r="L250" s="365">
        <v>0</v>
      </c>
      <c r="M250" s="305">
        <f t="shared" si="119"/>
        <v>0</v>
      </c>
      <c r="N250" s="307">
        <f t="shared" si="120"/>
        <v>0</v>
      </c>
      <c r="O250" s="353">
        <v>0</v>
      </c>
      <c r="P250" s="354">
        <v>0</v>
      </c>
      <c r="Q250" s="354">
        <v>0</v>
      </c>
      <c r="R250" s="354">
        <v>0</v>
      </c>
      <c r="S250" s="354">
        <v>0</v>
      </c>
      <c r="T250" s="354">
        <v>0</v>
      </c>
      <c r="U250" s="354">
        <v>0</v>
      </c>
      <c r="V250" s="354">
        <v>0</v>
      </c>
      <c r="W250" s="354">
        <v>0</v>
      </c>
      <c r="X250" s="354">
        <v>0</v>
      </c>
      <c r="Y250" s="365">
        <v>0</v>
      </c>
      <c r="Z250" s="305">
        <f t="shared" si="121"/>
        <v>0</v>
      </c>
      <c r="AA250" s="307">
        <f t="shared" si="122"/>
        <v>0</v>
      </c>
      <c r="AB250" s="91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1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920">
        <f t="shared" si="126"/>
        <v>0</v>
      </c>
      <c r="AE250" s="897">
        <f t="shared" si="129"/>
        <v>0</v>
      </c>
      <c r="AF250" s="897">
        <f t="shared" si="130"/>
        <v>0</v>
      </c>
      <c r="AG250" s="897">
        <f t="shared" si="131"/>
        <v>0</v>
      </c>
      <c r="AH250" s="1113">
        <f t="shared" si="127"/>
        <v>0</v>
      </c>
      <c r="AI250" s="897">
        <f t="shared" si="128"/>
        <v>0</v>
      </c>
    </row>
    <row r="251" spans="1:35" ht="13.5" thickBot="1" x14ac:dyDescent="0.25">
      <c r="A251" s="337">
        <v>2025</v>
      </c>
      <c r="B251" s="355">
        <v>0</v>
      </c>
      <c r="C251" s="356">
        <v>0</v>
      </c>
      <c r="D251" s="356">
        <v>0</v>
      </c>
      <c r="E251" s="356">
        <v>0</v>
      </c>
      <c r="F251" s="356">
        <v>0</v>
      </c>
      <c r="G251" s="356">
        <v>0</v>
      </c>
      <c r="H251" s="356">
        <v>0</v>
      </c>
      <c r="I251" s="356">
        <v>0</v>
      </c>
      <c r="J251" s="356">
        <v>0</v>
      </c>
      <c r="K251" s="356">
        <v>0</v>
      </c>
      <c r="L251" s="366">
        <v>0</v>
      </c>
      <c r="M251" s="319">
        <f t="shared" si="119"/>
        <v>0</v>
      </c>
      <c r="N251" s="321">
        <f t="shared" si="120"/>
        <v>0</v>
      </c>
      <c r="O251" s="355">
        <v>0</v>
      </c>
      <c r="P251" s="356">
        <v>0</v>
      </c>
      <c r="Q251" s="356">
        <v>0</v>
      </c>
      <c r="R251" s="356">
        <v>0</v>
      </c>
      <c r="S251" s="356">
        <v>0</v>
      </c>
      <c r="T251" s="356">
        <v>0</v>
      </c>
      <c r="U251" s="356">
        <v>0</v>
      </c>
      <c r="V251" s="356">
        <v>0</v>
      </c>
      <c r="W251" s="356">
        <v>0</v>
      </c>
      <c r="X251" s="356">
        <v>0</v>
      </c>
      <c r="Y251" s="366">
        <v>0</v>
      </c>
      <c r="Z251" s="319">
        <f t="shared" si="121"/>
        <v>0</v>
      </c>
      <c r="AA251" s="321">
        <f t="shared" si="122"/>
        <v>0</v>
      </c>
      <c r="AB251" s="91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1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920">
        <f t="shared" si="126"/>
        <v>0</v>
      </c>
      <c r="AE251" s="897">
        <f t="shared" si="129"/>
        <v>0</v>
      </c>
      <c r="AF251" s="897">
        <f t="shared" si="130"/>
        <v>0</v>
      </c>
      <c r="AG251" s="897">
        <f t="shared" si="131"/>
        <v>0</v>
      </c>
      <c r="AH251" s="1113">
        <f t="shared" si="127"/>
        <v>0</v>
      </c>
      <c r="AI251" s="897">
        <f t="shared" si="128"/>
        <v>0</v>
      </c>
    </row>
    <row r="252" spans="1:35" x14ac:dyDescent="0.2">
      <c r="A252" s="338">
        <v>2026</v>
      </c>
      <c r="B252" s="351">
        <v>0</v>
      </c>
      <c r="C252" s="352">
        <v>0</v>
      </c>
      <c r="D252" s="352">
        <v>0</v>
      </c>
      <c r="E252" s="352">
        <v>0</v>
      </c>
      <c r="F252" s="352">
        <v>0</v>
      </c>
      <c r="G252" s="352">
        <v>0</v>
      </c>
      <c r="H252" s="352">
        <v>0</v>
      </c>
      <c r="I252" s="352">
        <v>0</v>
      </c>
      <c r="J252" s="352">
        <v>0</v>
      </c>
      <c r="K252" s="352">
        <v>0</v>
      </c>
      <c r="L252" s="364">
        <v>0</v>
      </c>
      <c r="M252" s="291">
        <f t="shared" si="119"/>
        <v>0</v>
      </c>
      <c r="N252" s="293">
        <f t="shared" si="120"/>
        <v>0</v>
      </c>
      <c r="O252" s="351">
        <v>0</v>
      </c>
      <c r="P252" s="352">
        <v>0</v>
      </c>
      <c r="Q252" s="352">
        <v>0</v>
      </c>
      <c r="R252" s="352">
        <v>0</v>
      </c>
      <c r="S252" s="352">
        <v>0</v>
      </c>
      <c r="T252" s="352">
        <v>0</v>
      </c>
      <c r="U252" s="352">
        <v>0</v>
      </c>
      <c r="V252" s="352">
        <v>0</v>
      </c>
      <c r="W252" s="352">
        <v>0</v>
      </c>
      <c r="X252" s="352">
        <v>0</v>
      </c>
      <c r="Y252" s="364">
        <v>0</v>
      </c>
      <c r="Z252" s="291">
        <f t="shared" si="121"/>
        <v>0</v>
      </c>
      <c r="AA252" s="293">
        <f t="shared" si="122"/>
        <v>0</v>
      </c>
      <c r="AB252" s="91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1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920">
        <f t="shared" si="126"/>
        <v>0</v>
      </c>
      <c r="AE252" s="897">
        <f t="shared" si="129"/>
        <v>0</v>
      </c>
      <c r="AF252" s="897">
        <f t="shared" si="130"/>
        <v>0</v>
      </c>
      <c r="AG252" s="897">
        <f t="shared" si="131"/>
        <v>0</v>
      </c>
      <c r="AH252" s="1113">
        <f t="shared" si="127"/>
        <v>0</v>
      </c>
      <c r="AI252" s="897">
        <f t="shared" si="128"/>
        <v>0</v>
      </c>
    </row>
    <row r="253" spans="1:35" x14ac:dyDescent="0.2">
      <c r="A253" s="339">
        <v>2027</v>
      </c>
      <c r="B253" s="353">
        <v>0</v>
      </c>
      <c r="C253" s="354">
        <v>0</v>
      </c>
      <c r="D253" s="354">
        <v>0</v>
      </c>
      <c r="E253" s="354">
        <v>0</v>
      </c>
      <c r="F253" s="354">
        <v>0</v>
      </c>
      <c r="G253" s="354">
        <v>0</v>
      </c>
      <c r="H253" s="354">
        <v>0</v>
      </c>
      <c r="I253" s="354">
        <v>0</v>
      </c>
      <c r="J253" s="354">
        <v>0</v>
      </c>
      <c r="K253" s="354">
        <v>0</v>
      </c>
      <c r="L253" s="365">
        <v>0</v>
      </c>
      <c r="M253" s="305">
        <f t="shared" si="119"/>
        <v>0</v>
      </c>
      <c r="N253" s="307">
        <f t="shared" si="120"/>
        <v>0</v>
      </c>
      <c r="O253" s="353">
        <v>0</v>
      </c>
      <c r="P253" s="354">
        <v>0</v>
      </c>
      <c r="Q253" s="354">
        <v>0</v>
      </c>
      <c r="R253" s="354">
        <v>0</v>
      </c>
      <c r="S253" s="354">
        <v>0</v>
      </c>
      <c r="T253" s="354">
        <v>0</v>
      </c>
      <c r="U253" s="354">
        <v>0</v>
      </c>
      <c r="V253" s="354">
        <v>0</v>
      </c>
      <c r="W253" s="354">
        <v>0</v>
      </c>
      <c r="X253" s="354">
        <v>0</v>
      </c>
      <c r="Y253" s="365">
        <v>0</v>
      </c>
      <c r="Z253" s="305">
        <f t="shared" si="121"/>
        <v>0</v>
      </c>
      <c r="AA253" s="307">
        <f t="shared" si="122"/>
        <v>0</v>
      </c>
      <c r="AB253" s="91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1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920">
        <f t="shared" si="126"/>
        <v>0</v>
      </c>
      <c r="AE253" s="897">
        <f t="shared" si="129"/>
        <v>0</v>
      </c>
      <c r="AF253" s="897">
        <f t="shared" si="130"/>
        <v>0</v>
      </c>
      <c r="AG253" s="897">
        <f t="shared" si="131"/>
        <v>0</v>
      </c>
      <c r="AH253" s="1113">
        <f t="shared" si="127"/>
        <v>0</v>
      </c>
      <c r="AI253" s="897">
        <f t="shared" si="128"/>
        <v>0</v>
      </c>
    </row>
    <row r="254" spans="1:35" x14ac:dyDescent="0.2">
      <c r="A254" s="339">
        <v>2028</v>
      </c>
      <c r="B254" s="353">
        <v>0</v>
      </c>
      <c r="C254" s="354">
        <v>0</v>
      </c>
      <c r="D254" s="354">
        <v>0</v>
      </c>
      <c r="E254" s="354">
        <v>0</v>
      </c>
      <c r="F254" s="354">
        <v>0</v>
      </c>
      <c r="G254" s="354">
        <v>0</v>
      </c>
      <c r="H254" s="354">
        <v>0</v>
      </c>
      <c r="I254" s="354">
        <v>0</v>
      </c>
      <c r="J254" s="354">
        <v>0</v>
      </c>
      <c r="K254" s="354">
        <v>0</v>
      </c>
      <c r="L254" s="365">
        <v>0</v>
      </c>
      <c r="M254" s="305">
        <f t="shared" si="119"/>
        <v>0</v>
      </c>
      <c r="N254" s="307">
        <f t="shared" si="120"/>
        <v>0</v>
      </c>
      <c r="O254" s="353">
        <v>0</v>
      </c>
      <c r="P254" s="354">
        <v>0</v>
      </c>
      <c r="Q254" s="354">
        <v>0</v>
      </c>
      <c r="R254" s="354">
        <v>0</v>
      </c>
      <c r="S254" s="354">
        <v>0</v>
      </c>
      <c r="T254" s="354">
        <v>0</v>
      </c>
      <c r="U254" s="354">
        <v>0</v>
      </c>
      <c r="V254" s="354">
        <v>0</v>
      </c>
      <c r="W254" s="354">
        <v>0</v>
      </c>
      <c r="X254" s="354">
        <v>0</v>
      </c>
      <c r="Y254" s="365">
        <v>0</v>
      </c>
      <c r="Z254" s="305">
        <f t="shared" si="121"/>
        <v>0</v>
      </c>
      <c r="AA254" s="307">
        <f t="shared" si="122"/>
        <v>0</v>
      </c>
      <c r="AB254" s="91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1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920">
        <f t="shared" si="126"/>
        <v>0</v>
      </c>
      <c r="AE254" s="897">
        <f t="shared" si="129"/>
        <v>0</v>
      </c>
      <c r="AF254" s="897">
        <f t="shared" si="130"/>
        <v>0</v>
      </c>
      <c r="AG254" s="897">
        <f t="shared" si="131"/>
        <v>0</v>
      </c>
      <c r="AH254" s="1113">
        <f t="shared" si="127"/>
        <v>0</v>
      </c>
      <c r="AI254" s="897">
        <f t="shared" si="128"/>
        <v>0</v>
      </c>
    </row>
    <row r="255" spans="1:35" x14ac:dyDescent="0.2">
      <c r="A255" s="339">
        <v>2029</v>
      </c>
      <c r="B255" s="353">
        <v>0</v>
      </c>
      <c r="C255" s="354">
        <v>0</v>
      </c>
      <c r="D255" s="354">
        <v>0</v>
      </c>
      <c r="E255" s="354">
        <v>0</v>
      </c>
      <c r="F255" s="354">
        <v>0</v>
      </c>
      <c r="G255" s="354">
        <v>0</v>
      </c>
      <c r="H255" s="354">
        <v>0</v>
      </c>
      <c r="I255" s="354">
        <v>0</v>
      </c>
      <c r="J255" s="354">
        <v>0</v>
      </c>
      <c r="K255" s="354">
        <v>0</v>
      </c>
      <c r="L255" s="365">
        <v>0</v>
      </c>
      <c r="M255" s="305">
        <f t="shared" si="119"/>
        <v>0</v>
      </c>
      <c r="N255" s="307">
        <f t="shared" si="120"/>
        <v>0</v>
      </c>
      <c r="O255" s="353">
        <v>0</v>
      </c>
      <c r="P255" s="354">
        <v>0</v>
      </c>
      <c r="Q255" s="354">
        <v>0</v>
      </c>
      <c r="R255" s="354">
        <v>0</v>
      </c>
      <c r="S255" s="354">
        <v>0</v>
      </c>
      <c r="T255" s="354">
        <v>0</v>
      </c>
      <c r="U255" s="354">
        <v>0</v>
      </c>
      <c r="V255" s="354">
        <v>0</v>
      </c>
      <c r="W255" s="354">
        <v>0</v>
      </c>
      <c r="X255" s="354">
        <v>0</v>
      </c>
      <c r="Y255" s="365">
        <v>0</v>
      </c>
      <c r="Z255" s="305">
        <f t="shared" si="121"/>
        <v>0</v>
      </c>
      <c r="AA255" s="307">
        <f t="shared" si="122"/>
        <v>0</v>
      </c>
      <c r="AB255" s="91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1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920">
        <f t="shared" si="126"/>
        <v>0</v>
      </c>
      <c r="AE255" s="897">
        <f t="shared" si="129"/>
        <v>0</v>
      </c>
      <c r="AF255" s="897">
        <f t="shared" si="130"/>
        <v>0</v>
      </c>
      <c r="AG255" s="897">
        <f t="shared" si="131"/>
        <v>0</v>
      </c>
      <c r="AH255" s="1113">
        <f t="shared" si="127"/>
        <v>0</v>
      </c>
      <c r="AI255" s="897">
        <f t="shared" si="128"/>
        <v>0</v>
      </c>
    </row>
    <row r="256" spans="1:35" ht="13.5" thickBot="1" x14ac:dyDescent="0.25">
      <c r="A256" s="337">
        <v>2030</v>
      </c>
      <c r="B256" s="355">
        <v>0</v>
      </c>
      <c r="C256" s="356">
        <v>0</v>
      </c>
      <c r="D256" s="356">
        <v>0</v>
      </c>
      <c r="E256" s="356">
        <v>0</v>
      </c>
      <c r="F256" s="356">
        <v>0</v>
      </c>
      <c r="G256" s="356">
        <v>0</v>
      </c>
      <c r="H256" s="356">
        <v>0</v>
      </c>
      <c r="I256" s="356">
        <v>0</v>
      </c>
      <c r="J256" s="356">
        <v>0</v>
      </c>
      <c r="K256" s="356">
        <v>0</v>
      </c>
      <c r="L256" s="366">
        <v>0</v>
      </c>
      <c r="M256" s="319">
        <f t="shared" si="119"/>
        <v>0</v>
      </c>
      <c r="N256" s="321">
        <f t="shared" si="120"/>
        <v>0</v>
      </c>
      <c r="O256" s="355">
        <v>0</v>
      </c>
      <c r="P256" s="356">
        <v>0</v>
      </c>
      <c r="Q256" s="356">
        <v>0</v>
      </c>
      <c r="R256" s="356">
        <v>0</v>
      </c>
      <c r="S256" s="356">
        <v>0</v>
      </c>
      <c r="T256" s="356">
        <v>0</v>
      </c>
      <c r="U256" s="356">
        <v>0</v>
      </c>
      <c r="V256" s="356">
        <v>0</v>
      </c>
      <c r="W256" s="356">
        <v>0</v>
      </c>
      <c r="X256" s="356">
        <v>0</v>
      </c>
      <c r="Y256" s="366">
        <v>0</v>
      </c>
      <c r="Z256" s="319">
        <f t="shared" si="121"/>
        <v>0</v>
      </c>
      <c r="AA256" s="321">
        <f t="shared" si="122"/>
        <v>0</v>
      </c>
      <c r="AB256" s="91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1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920">
        <f t="shared" si="126"/>
        <v>0</v>
      </c>
      <c r="AE256" s="897">
        <f t="shared" si="129"/>
        <v>0</v>
      </c>
      <c r="AF256" s="897">
        <f t="shared" si="130"/>
        <v>0</v>
      </c>
      <c r="AG256" s="897">
        <f t="shared" si="131"/>
        <v>0</v>
      </c>
      <c r="AH256" s="1113">
        <f t="shared" si="127"/>
        <v>0</v>
      </c>
      <c r="AI256" s="897">
        <f t="shared" si="128"/>
        <v>0</v>
      </c>
    </row>
    <row r="257" spans="1:35" x14ac:dyDescent="0.2">
      <c r="A257" s="338">
        <v>2031</v>
      </c>
      <c r="B257" s="351">
        <v>0</v>
      </c>
      <c r="C257" s="352">
        <v>0</v>
      </c>
      <c r="D257" s="352">
        <v>0</v>
      </c>
      <c r="E257" s="352">
        <v>0</v>
      </c>
      <c r="F257" s="352">
        <v>0</v>
      </c>
      <c r="G257" s="352">
        <v>0</v>
      </c>
      <c r="H257" s="352">
        <v>0</v>
      </c>
      <c r="I257" s="352">
        <v>0</v>
      </c>
      <c r="J257" s="352">
        <v>0</v>
      </c>
      <c r="K257" s="352">
        <v>0</v>
      </c>
      <c r="L257" s="364">
        <v>0</v>
      </c>
      <c r="M257" s="291">
        <f t="shared" si="119"/>
        <v>0</v>
      </c>
      <c r="N257" s="293">
        <f t="shared" si="120"/>
        <v>0</v>
      </c>
      <c r="O257" s="351">
        <v>0</v>
      </c>
      <c r="P257" s="352">
        <v>0</v>
      </c>
      <c r="Q257" s="352">
        <v>0</v>
      </c>
      <c r="R257" s="352">
        <v>0</v>
      </c>
      <c r="S257" s="352">
        <v>0</v>
      </c>
      <c r="T257" s="352">
        <v>0</v>
      </c>
      <c r="U257" s="352">
        <v>0</v>
      </c>
      <c r="V257" s="352">
        <v>0</v>
      </c>
      <c r="W257" s="352">
        <v>0</v>
      </c>
      <c r="X257" s="352">
        <v>0</v>
      </c>
      <c r="Y257" s="364">
        <v>0</v>
      </c>
      <c r="Z257" s="291">
        <f t="shared" si="121"/>
        <v>0</v>
      </c>
      <c r="AA257" s="293">
        <f t="shared" si="122"/>
        <v>0</v>
      </c>
      <c r="AB257" s="91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1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920">
        <f t="shared" si="126"/>
        <v>0</v>
      </c>
      <c r="AE257" s="897">
        <f t="shared" si="129"/>
        <v>0</v>
      </c>
      <c r="AF257" s="897">
        <f t="shared" si="130"/>
        <v>0</v>
      </c>
      <c r="AG257" s="897">
        <f t="shared" si="131"/>
        <v>0</v>
      </c>
      <c r="AH257" s="1113">
        <f t="shared" si="127"/>
        <v>0</v>
      </c>
      <c r="AI257" s="897">
        <f t="shared" si="128"/>
        <v>0</v>
      </c>
    </row>
    <row r="258" spans="1:35" x14ac:dyDescent="0.2">
      <c r="A258" s="339">
        <v>2032</v>
      </c>
      <c r="B258" s="353">
        <v>0</v>
      </c>
      <c r="C258" s="354">
        <v>0</v>
      </c>
      <c r="D258" s="354">
        <v>0</v>
      </c>
      <c r="E258" s="354">
        <v>0</v>
      </c>
      <c r="F258" s="354">
        <v>0</v>
      </c>
      <c r="G258" s="354">
        <v>0</v>
      </c>
      <c r="H258" s="354">
        <v>0</v>
      </c>
      <c r="I258" s="354">
        <v>0</v>
      </c>
      <c r="J258" s="354">
        <v>0</v>
      </c>
      <c r="K258" s="354">
        <v>0</v>
      </c>
      <c r="L258" s="365">
        <v>0</v>
      </c>
      <c r="M258" s="305">
        <f t="shared" si="119"/>
        <v>0</v>
      </c>
      <c r="N258" s="307">
        <f t="shared" si="120"/>
        <v>0</v>
      </c>
      <c r="O258" s="353">
        <v>0</v>
      </c>
      <c r="P258" s="354">
        <v>0</v>
      </c>
      <c r="Q258" s="354">
        <v>0</v>
      </c>
      <c r="R258" s="354">
        <v>0</v>
      </c>
      <c r="S258" s="354">
        <v>0</v>
      </c>
      <c r="T258" s="354">
        <v>0</v>
      </c>
      <c r="U258" s="354">
        <v>0</v>
      </c>
      <c r="V258" s="354">
        <v>0</v>
      </c>
      <c r="W258" s="354">
        <v>0</v>
      </c>
      <c r="X258" s="354">
        <v>0</v>
      </c>
      <c r="Y258" s="365">
        <v>0</v>
      </c>
      <c r="Z258" s="305">
        <f t="shared" si="121"/>
        <v>0</v>
      </c>
      <c r="AA258" s="307">
        <f t="shared" si="122"/>
        <v>0</v>
      </c>
      <c r="AB258" s="91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1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920">
        <f t="shared" si="126"/>
        <v>0</v>
      </c>
      <c r="AE258" s="897">
        <f t="shared" si="129"/>
        <v>0</v>
      </c>
      <c r="AF258" s="897">
        <f t="shared" si="130"/>
        <v>0</v>
      </c>
      <c r="AG258" s="897">
        <f t="shared" si="131"/>
        <v>0</v>
      </c>
      <c r="AH258" s="1113">
        <f t="shared" si="127"/>
        <v>0</v>
      </c>
      <c r="AI258" s="897">
        <f t="shared" si="128"/>
        <v>0</v>
      </c>
    </row>
    <row r="259" spans="1:35" x14ac:dyDescent="0.2">
      <c r="A259" s="339">
        <v>2033</v>
      </c>
      <c r="B259" s="353">
        <v>0</v>
      </c>
      <c r="C259" s="354">
        <v>0</v>
      </c>
      <c r="D259" s="354">
        <v>0</v>
      </c>
      <c r="E259" s="354">
        <v>0</v>
      </c>
      <c r="F259" s="354">
        <v>0</v>
      </c>
      <c r="G259" s="354">
        <v>0</v>
      </c>
      <c r="H259" s="354">
        <v>0</v>
      </c>
      <c r="I259" s="354">
        <v>0</v>
      </c>
      <c r="J259" s="354">
        <v>0</v>
      </c>
      <c r="K259" s="354">
        <v>0</v>
      </c>
      <c r="L259" s="365">
        <v>0</v>
      </c>
      <c r="M259" s="305">
        <f t="shared" si="119"/>
        <v>0</v>
      </c>
      <c r="N259" s="307">
        <f t="shared" si="120"/>
        <v>0</v>
      </c>
      <c r="O259" s="353">
        <v>0</v>
      </c>
      <c r="P259" s="354">
        <v>0</v>
      </c>
      <c r="Q259" s="354">
        <v>0</v>
      </c>
      <c r="R259" s="354">
        <v>0</v>
      </c>
      <c r="S259" s="354">
        <v>0</v>
      </c>
      <c r="T259" s="354">
        <v>0</v>
      </c>
      <c r="U259" s="354">
        <v>0</v>
      </c>
      <c r="V259" s="354">
        <v>0</v>
      </c>
      <c r="W259" s="354">
        <v>0</v>
      </c>
      <c r="X259" s="354">
        <v>0</v>
      </c>
      <c r="Y259" s="365">
        <v>0</v>
      </c>
      <c r="Z259" s="305">
        <f t="shared" si="121"/>
        <v>0</v>
      </c>
      <c r="AA259" s="307">
        <f t="shared" si="122"/>
        <v>0</v>
      </c>
      <c r="AB259" s="91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1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920">
        <f t="shared" si="126"/>
        <v>0</v>
      </c>
      <c r="AE259" s="897">
        <f t="shared" si="129"/>
        <v>0</v>
      </c>
      <c r="AF259" s="897">
        <f t="shared" si="130"/>
        <v>0</v>
      </c>
      <c r="AG259" s="897">
        <f t="shared" si="131"/>
        <v>0</v>
      </c>
      <c r="AH259" s="1113">
        <f t="shared" si="127"/>
        <v>0</v>
      </c>
      <c r="AI259" s="897">
        <f t="shared" si="128"/>
        <v>0</v>
      </c>
    </row>
    <row r="260" spans="1:35" x14ac:dyDescent="0.2">
      <c r="A260" s="339">
        <v>2034</v>
      </c>
      <c r="B260" s="353">
        <v>0</v>
      </c>
      <c r="C260" s="354">
        <v>0</v>
      </c>
      <c r="D260" s="354">
        <v>0</v>
      </c>
      <c r="E260" s="354">
        <v>0</v>
      </c>
      <c r="F260" s="354">
        <v>0</v>
      </c>
      <c r="G260" s="354">
        <v>0</v>
      </c>
      <c r="H260" s="354">
        <v>0</v>
      </c>
      <c r="I260" s="354">
        <v>0</v>
      </c>
      <c r="J260" s="354">
        <v>0</v>
      </c>
      <c r="K260" s="354">
        <v>0</v>
      </c>
      <c r="L260" s="365">
        <v>0</v>
      </c>
      <c r="M260" s="305">
        <f t="shared" si="119"/>
        <v>0</v>
      </c>
      <c r="N260" s="307">
        <f t="shared" si="120"/>
        <v>0</v>
      </c>
      <c r="O260" s="353">
        <v>0</v>
      </c>
      <c r="P260" s="354">
        <v>0</v>
      </c>
      <c r="Q260" s="354">
        <v>0</v>
      </c>
      <c r="R260" s="354">
        <v>0</v>
      </c>
      <c r="S260" s="354">
        <v>0</v>
      </c>
      <c r="T260" s="354">
        <v>0</v>
      </c>
      <c r="U260" s="354">
        <v>0</v>
      </c>
      <c r="V260" s="354">
        <v>0</v>
      </c>
      <c r="W260" s="354">
        <v>0</v>
      </c>
      <c r="X260" s="354">
        <v>0</v>
      </c>
      <c r="Y260" s="365">
        <v>0</v>
      </c>
      <c r="Z260" s="305">
        <f t="shared" si="121"/>
        <v>0</v>
      </c>
      <c r="AA260" s="307">
        <f t="shared" si="122"/>
        <v>0</v>
      </c>
      <c r="AB260" s="91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1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920">
        <f t="shared" si="126"/>
        <v>0</v>
      </c>
      <c r="AE260" s="897">
        <f t="shared" si="129"/>
        <v>0</v>
      </c>
      <c r="AF260" s="897">
        <f t="shared" si="130"/>
        <v>0</v>
      </c>
      <c r="AG260" s="897">
        <f t="shared" si="131"/>
        <v>0</v>
      </c>
      <c r="AH260" s="1113">
        <f t="shared" si="127"/>
        <v>0</v>
      </c>
      <c r="AI260" s="897">
        <f t="shared" si="128"/>
        <v>0</v>
      </c>
    </row>
    <row r="261" spans="1:35" ht="13.5" thickBot="1" x14ac:dyDescent="0.25">
      <c r="A261" s="337">
        <v>2035</v>
      </c>
      <c r="B261" s="355">
        <v>0</v>
      </c>
      <c r="C261" s="356">
        <v>0</v>
      </c>
      <c r="D261" s="356">
        <v>0</v>
      </c>
      <c r="E261" s="356">
        <v>0</v>
      </c>
      <c r="F261" s="356">
        <v>0</v>
      </c>
      <c r="G261" s="356">
        <v>0</v>
      </c>
      <c r="H261" s="356">
        <v>0</v>
      </c>
      <c r="I261" s="356">
        <v>0</v>
      </c>
      <c r="J261" s="356">
        <v>0</v>
      </c>
      <c r="K261" s="356">
        <v>0</v>
      </c>
      <c r="L261" s="366">
        <v>0</v>
      </c>
      <c r="M261" s="319">
        <f t="shared" si="119"/>
        <v>0</v>
      </c>
      <c r="N261" s="321">
        <f t="shared" si="120"/>
        <v>0</v>
      </c>
      <c r="O261" s="355">
        <v>0</v>
      </c>
      <c r="P261" s="356">
        <v>0</v>
      </c>
      <c r="Q261" s="356">
        <v>0</v>
      </c>
      <c r="R261" s="356">
        <v>0</v>
      </c>
      <c r="S261" s="356">
        <v>0</v>
      </c>
      <c r="T261" s="356">
        <v>0</v>
      </c>
      <c r="U261" s="356">
        <v>0</v>
      </c>
      <c r="V261" s="356">
        <v>0</v>
      </c>
      <c r="W261" s="356">
        <v>0</v>
      </c>
      <c r="X261" s="356">
        <v>0</v>
      </c>
      <c r="Y261" s="366">
        <v>0</v>
      </c>
      <c r="Z261" s="319">
        <f t="shared" si="121"/>
        <v>0</v>
      </c>
      <c r="AA261" s="321">
        <f t="shared" si="122"/>
        <v>0</v>
      </c>
      <c r="AB261" s="91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1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920">
        <f t="shared" si="126"/>
        <v>0</v>
      </c>
      <c r="AE261" s="897">
        <f t="shared" si="129"/>
        <v>0</v>
      </c>
      <c r="AF261" s="897">
        <f t="shared" si="130"/>
        <v>0</v>
      </c>
      <c r="AG261" s="897">
        <f t="shared" si="131"/>
        <v>0</v>
      </c>
      <c r="AH261" s="1113">
        <f t="shared" si="127"/>
        <v>0</v>
      </c>
      <c r="AI261" s="897">
        <f t="shared" si="128"/>
        <v>0</v>
      </c>
    </row>
    <row r="262" spans="1:35" x14ac:dyDescent="0.2">
      <c r="A262" s="338">
        <v>2036</v>
      </c>
      <c r="B262" s="351">
        <v>0</v>
      </c>
      <c r="C262" s="352">
        <v>0</v>
      </c>
      <c r="D262" s="352">
        <v>0</v>
      </c>
      <c r="E262" s="352">
        <v>0</v>
      </c>
      <c r="F262" s="352">
        <v>0</v>
      </c>
      <c r="G262" s="352">
        <v>0</v>
      </c>
      <c r="H262" s="352">
        <v>0</v>
      </c>
      <c r="I262" s="352">
        <v>0</v>
      </c>
      <c r="J262" s="352">
        <v>0</v>
      </c>
      <c r="K262" s="352">
        <v>0</v>
      </c>
      <c r="L262" s="364">
        <v>0</v>
      </c>
      <c r="M262" s="291">
        <f t="shared" si="119"/>
        <v>0</v>
      </c>
      <c r="N262" s="293">
        <f t="shared" si="120"/>
        <v>0</v>
      </c>
      <c r="O262" s="351">
        <v>0</v>
      </c>
      <c r="P262" s="352">
        <v>0</v>
      </c>
      <c r="Q262" s="352">
        <v>0</v>
      </c>
      <c r="R262" s="352">
        <v>0</v>
      </c>
      <c r="S262" s="352">
        <v>0</v>
      </c>
      <c r="T262" s="352">
        <v>0</v>
      </c>
      <c r="U262" s="352">
        <v>0</v>
      </c>
      <c r="V262" s="352">
        <v>0</v>
      </c>
      <c r="W262" s="352">
        <v>0</v>
      </c>
      <c r="X262" s="352">
        <v>0</v>
      </c>
      <c r="Y262" s="364">
        <v>0</v>
      </c>
      <c r="Z262" s="291">
        <f t="shared" si="121"/>
        <v>0</v>
      </c>
      <c r="AA262" s="293">
        <f t="shared" si="122"/>
        <v>0</v>
      </c>
      <c r="AB262" s="91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1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920">
        <f t="shared" si="126"/>
        <v>0</v>
      </c>
      <c r="AE262" s="897">
        <f t="shared" si="129"/>
        <v>0</v>
      </c>
      <c r="AF262" s="897">
        <f t="shared" si="130"/>
        <v>0</v>
      </c>
      <c r="AG262" s="897">
        <f t="shared" si="131"/>
        <v>0</v>
      </c>
      <c r="AH262" s="1113">
        <f t="shared" si="127"/>
        <v>0</v>
      </c>
      <c r="AI262" s="897">
        <f t="shared" si="128"/>
        <v>0</v>
      </c>
    </row>
    <row r="263" spans="1:35" x14ac:dyDescent="0.2">
      <c r="A263" s="339">
        <v>2037</v>
      </c>
      <c r="B263" s="353">
        <v>0</v>
      </c>
      <c r="C263" s="354">
        <v>0</v>
      </c>
      <c r="D263" s="354">
        <v>0</v>
      </c>
      <c r="E263" s="354">
        <v>0</v>
      </c>
      <c r="F263" s="354">
        <v>0</v>
      </c>
      <c r="G263" s="354">
        <v>0</v>
      </c>
      <c r="H263" s="354">
        <v>0</v>
      </c>
      <c r="I263" s="354">
        <v>0</v>
      </c>
      <c r="J263" s="354">
        <v>0</v>
      </c>
      <c r="K263" s="354">
        <v>0</v>
      </c>
      <c r="L263" s="365">
        <v>0</v>
      </c>
      <c r="M263" s="305">
        <f t="shared" si="119"/>
        <v>0</v>
      </c>
      <c r="N263" s="307">
        <f t="shared" si="120"/>
        <v>0</v>
      </c>
      <c r="O263" s="353">
        <v>0</v>
      </c>
      <c r="P263" s="354">
        <v>0</v>
      </c>
      <c r="Q263" s="354">
        <v>0</v>
      </c>
      <c r="R263" s="354">
        <v>0</v>
      </c>
      <c r="S263" s="354">
        <v>0</v>
      </c>
      <c r="T263" s="354">
        <v>0</v>
      </c>
      <c r="U263" s="354">
        <v>0</v>
      </c>
      <c r="V263" s="354">
        <v>0</v>
      </c>
      <c r="W263" s="354">
        <v>0</v>
      </c>
      <c r="X263" s="354">
        <v>0</v>
      </c>
      <c r="Y263" s="365">
        <v>0</v>
      </c>
      <c r="Z263" s="305">
        <f t="shared" si="121"/>
        <v>0</v>
      </c>
      <c r="AA263" s="307">
        <f t="shared" si="122"/>
        <v>0</v>
      </c>
      <c r="AB263" s="91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1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920">
        <f t="shared" si="126"/>
        <v>0</v>
      </c>
      <c r="AE263" s="897">
        <f t="shared" si="129"/>
        <v>0</v>
      </c>
      <c r="AF263" s="897">
        <f t="shared" si="130"/>
        <v>0</v>
      </c>
      <c r="AG263" s="897">
        <f t="shared" si="131"/>
        <v>0</v>
      </c>
      <c r="AH263" s="1113">
        <f t="shared" si="127"/>
        <v>0</v>
      </c>
      <c r="AI263" s="897">
        <f t="shared" si="128"/>
        <v>0</v>
      </c>
    </row>
    <row r="264" spans="1:35" x14ac:dyDescent="0.2">
      <c r="A264" s="339">
        <v>2038</v>
      </c>
      <c r="B264" s="353">
        <v>0</v>
      </c>
      <c r="C264" s="354">
        <v>0</v>
      </c>
      <c r="D264" s="354">
        <v>0</v>
      </c>
      <c r="E264" s="354">
        <v>0</v>
      </c>
      <c r="F264" s="354">
        <v>0</v>
      </c>
      <c r="G264" s="354">
        <v>0</v>
      </c>
      <c r="H264" s="354">
        <v>0</v>
      </c>
      <c r="I264" s="354">
        <v>0</v>
      </c>
      <c r="J264" s="354">
        <v>0</v>
      </c>
      <c r="K264" s="354">
        <v>0</v>
      </c>
      <c r="L264" s="365">
        <v>0</v>
      </c>
      <c r="M264" s="305">
        <f t="shared" si="119"/>
        <v>0</v>
      </c>
      <c r="N264" s="307">
        <f t="shared" si="120"/>
        <v>0</v>
      </c>
      <c r="O264" s="353">
        <v>0</v>
      </c>
      <c r="P264" s="354">
        <v>0</v>
      </c>
      <c r="Q264" s="354">
        <v>0</v>
      </c>
      <c r="R264" s="354">
        <v>0</v>
      </c>
      <c r="S264" s="354">
        <v>0</v>
      </c>
      <c r="T264" s="354">
        <v>0</v>
      </c>
      <c r="U264" s="354">
        <v>0</v>
      </c>
      <c r="V264" s="354">
        <v>0</v>
      </c>
      <c r="W264" s="354">
        <v>0</v>
      </c>
      <c r="X264" s="354">
        <v>0</v>
      </c>
      <c r="Y264" s="365">
        <v>0</v>
      </c>
      <c r="Z264" s="305">
        <f t="shared" si="121"/>
        <v>0</v>
      </c>
      <c r="AA264" s="307">
        <f t="shared" si="122"/>
        <v>0</v>
      </c>
      <c r="AB264" s="91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1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920">
        <f t="shared" si="126"/>
        <v>0</v>
      </c>
      <c r="AE264" s="897">
        <f t="shared" si="129"/>
        <v>0</v>
      </c>
      <c r="AF264" s="897">
        <f t="shared" si="130"/>
        <v>0</v>
      </c>
      <c r="AG264" s="897">
        <f t="shared" si="131"/>
        <v>0</v>
      </c>
      <c r="AH264" s="1113">
        <f t="shared" si="127"/>
        <v>0</v>
      </c>
      <c r="AI264" s="897">
        <f t="shared" si="128"/>
        <v>0</v>
      </c>
    </row>
    <row r="265" spans="1:35" x14ac:dyDescent="0.2">
      <c r="A265" s="339">
        <v>2039</v>
      </c>
      <c r="B265" s="353">
        <v>0</v>
      </c>
      <c r="C265" s="354">
        <v>0</v>
      </c>
      <c r="D265" s="354">
        <v>0</v>
      </c>
      <c r="E265" s="354">
        <v>0</v>
      </c>
      <c r="F265" s="354">
        <v>0</v>
      </c>
      <c r="G265" s="354">
        <v>0</v>
      </c>
      <c r="H265" s="354">
        <v>0</v>
      </c>
      <c r="I265" s="354">
        <v>0</v>
      </c>
      <c r="J265" s="354">
        <v>0</v>
      </c>
      <c r="K265" s="354">
        <v>0</v>
      </c>
      <c r="L265" s="365">
        <v>0</v>
      </c>
      <c r="M265" s="305">
        <f t="shared" si="119"/>
        <v>0</v>
      </c>
      <c r="N265" s="307">
        <f t="shared" si="120"/>
        <v>0</v>
      </c>
      <c r="O265" s="353">
        <v>0</v>
      </c>
      <c r="P265" s="354">
        <v>0</v>
      </c>
      <c r="Q265" s="354">
        <v>0</v>
      </c>
      <c r="R265" s="354">
        <v>0</v>
      </c>
      <c r="S265" s="354">
        <v>0</v>
      </c>
      <c r="T265" s="354">
        <v>0</v>
      </c>
      <c r="U265" s="354">
        <v>0</v>
      </c>
      <c r="V265" s="354">
        <v>0</v>
      </c>
      <c r="W265" s="354">
        <v>0</v>
      </c>
      <c r="X265" s="354">
        <v>0</v>
      </c>
      <c r="Y265" s="365">
        <v>0</v>
      </c>
      <c r="Z265" s="305">
        <f t="shared" si="121"/>
        <v>0</v>
      </c>
      <c r="AA265" s="307">
        <f t="shared" si="122"/>
        <v>0</v>
      </c>
      <c r="AB265" s="91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1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920">
        <f t="shared" si="126"/>
        <v>0</v>
      </c>
      <c r="AE265" s="897">
        <f t="shared" si="129"/>
        <v>0</v>
      </c>
      <c r="AF265" s="897">
        <f t="shared" si="130"/>
        <v>0</v>
      </c>
      <c r="AG265" s="897">
        <f t="shared" si="131"/>
        <v>0</v>
      </c>
      <c r="AH265" s="1113">
        <f t="shared" si="127"/>
        <v>0</v>
      </c>
      <c r="AI265" s="897">
        <f t="shared" si="128"/>
        <v>0</v>
      </c>
    </row>
    <row r="266" spans="1:35" ht="13.5" thickBot="1" x14ac:dyDescent="0.25">
      <c r="A266" s="337">
        <v>2040</v>
      </c>
      <c r="B266" s="355">
        <v>0</v>
      </c>
      <c r="C266" s="356">
        <v>0</v>
      </c>
      <c r="D266" s="356">
        <v>0</v>
      </c>
      <c r="E266" s="356">
        <v>0</v>
      </c>
      <c r="F266" s="356">
        <v>0</v>
      </c>
      <c r="G266" s="356">
        <v>0</v>
      </c>
      <c r="H266" s="356">
        <v>0</v>
      </c>
      <c r="I266" s="356">
        <v>0</v>
      </c>
      <c r="J266" s="356">
        <v>0</v>
      </c>
      <c r="K266" s="356">
        <v>0</v>
      </c>
      <c r="L266" s="366">
        <v>0</v>
      </c>
      <c r="M266" s="319">
        <f t="shared" si="119"/>
        <v>0</v>
      </c>
      <c r="N266" s="321">
        <f t="shared" si="120"/>
        <v>0</v>
      </c>
      <c r="O266" s="355">
        <v>0</v>
      </c>
      <c r="P266" s="356">
        <v>0</v>
      </c>
      <c r="Q266" s="356">
        <v>0</v>
      </c>
      <c r="R266" s="356">
        <v>0</v>
      </c>
      <c r="S266" s="356">
        <v>0</v>
      </c>
      <c r="T266" s="356">
        <v>0</v>
      </c>
      <c r="U266" s="356">
        <v>0</v>
      </c>
      <c r="V266" s="356">
        <v>0</v>
      </c>
      <c r="W266" s="356">
        <v>0</v>
      </c>
      <c r="X266" s="356">
        <v>0</v>
      </c>
      <c r="Y266" s="366">
        <v>0</v>
      </c>
      <c r="Z266" s="319">
        <f t="shared" si="121"/>
        <v>0</v>
      </c>
      <c r="AA266" s="321">
        <f t="shared" si="122"/>
        <v>0</v>
      </c>
      <c r="AB266" s="91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1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920">
        <f t="shared" si="126"/>
        <v>0</v>
      </c>
      <c r="AE266" s="897">
        <f t="shared" si="129"/>
        <v>0</v>
      </c>
      <c r="AF266" s="897">
        <f t="shared" si="130"/>
        <v>0</v>
      </c>
      <c r="AG266" s="897">
        <f t="shared" si="131"/>
        <v>0</v>
      </c>
      <c r="AH266" s="1113">
        <f t="shared" si="127"/>
        <v>0</v>
      </c>
      <c r="AI266" s="897">
        <f t="shared" si="128"/>
        <v>0</v>
      </c>
    </row>
    <row r="267" spans="1:35" x14ac:dyDescent="0.2">
      <c r="A267" s="338">
        <v>2041</v>
      </c>
      <c r="B267" s="351">
        <v>0</v>
      </c>
      <c r="C267" s="352">
        <v>0</v>
      </c>
      <c r="D267" s="352">
        <v>0</v>
      </c>
      <c r="E267" s="352">
        <v>0</v>
      </c>
      <c r="F267" s="352">
        <v>0</v>
      </c>
      <c r="G267" s="352">
        <v>0</v>
      </c>
      <c r="H267" s="352">
        <v>0</v>
      </c>
      <c r="I267" s="352">
        <v>0</v>
      </c>
      <c r="J267" s="352">
        <v>0</v>
      </c>
      <c r="K267" s="352">
        <v>0</v>
      </c>
      <c r="L267" s="364">
        <v>0</v>
      </c>
      <c r="M267" s="291">
        <f t="shared" si="119"/>
        <v>0</v>
      </c>
      <c r="N267" s="293">
        <f t="shared" si="120"/>
        <v>0</v>
      </c>
      <c r="O267" s="351">
        <v>0</v>
      </c>
      <c r="P267" s="352">
        <v>0</v>
      </c>
      <c r="Q267" s="352">
        <v>0</v>
      </c>
      <c r="R267" s="352">
        <v>0</v>
      </c>
      <c r="S267" s="352">
        <v>0</v>
      </c>
      <c r="T267" s="352">
        <v>0</v>
      </c>
      <c r="U267" s="352">
        <v>0</v>
      </c>
      <c r="V267" s="352">
        <v>0</v>
      </c>
      <c r="W267" s="352">
        <v>0</v>
      </c>
      <c r="X267" s="352">
        <v>0</v>
      </c>
      <c r="Y267" s="364">
        <v>0</v>
      </c>
      <c r="Z267" s="291">
        <f t="shared" si="121"/>
        <v>0</v>
      </c>
      <c r="AA267" s="293">
        <f t="shared" si="122"/>
        <v>0</v>
      </c>
      <c r="AB267" s="91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1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920">
        <f t="shared" si="126"/>
        <v>0</v>
      </c>
      <c r="AE267" s="897">
        <f t="shared" si="129"/>
        <v>0</v>
      </c>
      <c r="AF267" s="897">
        <f t="shared" si="130"/>
        <v>0</v>
      </c>
      <c r="AG267" s="897">
        <f t="shared" si="131"/>
        <v>0</v>
      </c>
      <c r="AH267" s="1113">
        <f t="shared" si="127"/>
        <v>0</v>
      </c>
      <c r="AI267" s="897">
        <f t="shared" si="128"/>
        <v>0</v>
      </c>
    </row>
    <row r="268" spans="1:35" x14ac:dyDescent="0.2">
      <c r="A268" s="339">
        <v>2042</v>
      </c>
      <c r="B268" s="353">
        <v>0</v>
      </c>
      <c r="C268" s="354">
        <v>0</v>
      </c>
      <c r="D268" s="354">
        <v>0</v>
      </c>
      <c r="E268" s="354">
        <v>0</v>
      </c>
      <c r="F268" s="354">
        <v>0</v>
      </c>
      <c r="G268" s="354">
        <v>0</v>
      </c>
      <c r="H268" s="354">
        <v>0</v>
      </c>
      <c r="I268" s="354">
        <v>0</v>
      </c>
      <c r="J268" s="354">
        <v>0</v>
      </c>
      <c r="K268" s="354">
        <v>0</v>
      </c>
      <c r="L268" s="365">
        <v>0</v>
      </c>
      <c r="M268" s="305">
        <f t="shared" si="119"/>
        <v>0</v>
      </c>
      <c r="N268" s="307">
        <f t="shared" si="120"/>
        <v>0</v>
      </c>
      <c r="O268" s="353">
        <v>0</v>
      </c>
      <c r="P268" s="354">
        <v>0</v>
      </c>
      <c r="Q268" s="354">
        <v>0</v>
      </c>
      <c r="R268" s="354">
        <v>0</v>
      </c>
      <c r="S268" s="354">
        <v>0</v>
      </c>
      <c r="T268" s="354">
        <v>0</v>
      </c>
      <c r="U268" s="354">
        <v>0</v>
      </c>
      <c r="V268" s="354">
        <v>0</v>
      </c>
      <c r="W268" s="354">
        <v>0</v>
      </c>
      <c r="X268" s="354">
        <v>0</v>
      </c>
      <c r="Y268" s="365">
        <v>0</v>
      </c>
      <c r="Z268" s="305">
        <f t="shared" si="121"/>
        <v>0</v>
      </c>
      <c r="AA268" s="307">
        <f t="shared" si="122"/>
        <v>0</v>
      </c>
      <c r="AB268" s="91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1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920">
        <f t="shared" si="126"/>
        <v>0</v>
      </c>
      <c r="AE268" s="897">
        <f t="shared" si="129"/>
        <v>0</v>
      </c>
      <c r="AF268" s="897">
        <f t="shared" si="130"/>
        <v>0</v>
      </c>
      <c r="AG268" s="897">
        <f t="shared" si="131"/>
        <v>0</v>
      </c>
      <c r="AH268" s="1113">
        <f t="shared" si="127"/>
        <v>0</v>
      </c>
      <c r="AI268" s="897">
        <f t="shared" si="128"/>
        <v>0</v>
      </c>
    </row>
    <row r="269" spans="1:35" x14ac:dyDescent="0.2">
      <c r="A269" s="339">
        <v>2043</v>
      </c>
      <c r="B269" s="353">
        <v>0</v>
      </c>
      <c r="C269" s="354">
        <v>0</v>
      </c>
      <c r="D269" s="354">
        <v>0</v>
      </c>
      <c r="E269" s="354">
        <v>0</v>
      </c>
      <c r="F269" s="354">
        <v>0</v>
      </c>
      <c r="G269" s="354">
        <v>0</v>
      </c>
      <c r="H269" s="354">
        <v>0</v>
      </c>
      <c r="I269" s="354">
        <v>0</v>
      </c>
      <c r="J269" s="354">
        <v>0</v>
      </c>
      <c r="K269" s="354">
        <v>0</v>
      </c>
      <c r="L269" s="365">
        <v>0</v>
      </c>
      <c r="M269" s="305">
        <f t="shared" si="119"/>
        <v>0</v>
      </c>
      <c r="N269" s="307">
        <f t="shared" si="120"/>
        <v>0</v>
      </c>
      <c r="O269" s="353">
        <v>0</v>
      </c>
      <c r="P269" s="354">
        <v>0</v>
      </c>
      <c r="Q269" s="354">
        <v>0</v>
      </c>
      <c r="R269" s="354">
        <v>0</v>
      </c>
      <c r="S269" s="354">
        <v>0</v>
      </c>
      <c r="T269" s="354">
        <v>0</v>
      </c>
      <c r="U269" s="354">
        <v>0</v>
      </c>
      <c r="V269" s="354">
        <v>0</v>
      </c>
      <c r="W269" s="354">
        <v>0</v>
      </c>
      <c r="X269" s="354">
        <v>0</v>
      </c>
      <c r="Y269" s="365">
        <v>0</v>
      </c>
      <c r="Z269" s="305">
        <f t="shared" si="121"/>
        <v>0</v>
      </c>
      <c r="AA269" s="307">
        <f t="shared" si="122"/>
        <v>0</v>
      </c>
      <c r="AB269" s="91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1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920">
        <f t="shared" si="126"/>
        <v>0</v>
      </c>
      <c r="AE269" s="897">
        <f t="shared" si="129"/>
        <v>0</v>
      </c>
      <c r="AF269" s="897">
        <f t="shared" si="130"/>
        <v>0</v>
      </c>
      <c r="AG269" s="897">
        <f t="shared" si="131"/>
        <v>0</v>
      </c>
      <c r="AH269" s="1113">
        <f t="shared" si="127"/>
        <v>0</v>
      </c>
      <c r="AI269" s="897">
        <f t="shared" si="128"/>
        <v>0</v>
      </c>
    </row>
    <row r="270" spans="1:35" x14ac:dyDescent="0.2">
      <c r="A270" s="339">
        <v>2044</v>
      </c>
      <c r="B270" s="353">
        <v>0</v>
      </c>
      <c r="C270" s="354">
        <v>0</v>
      </c>
      <c r="D270" s="354">
        <v>0</v>
      </c>
      <c r="E270" s="354">
        <v>0</v>
      </c>
      <c r="F270" s="354">
        <v>0</v>
      </c>
      <c r="G270" s="354">
        <v>0</v>
      </c>
      <c r="H270" s="354">
        <v>0</v>
      </c>
      <c r="I270" s="354">
        <v>0</v>
      </c>
      <c r="J270" s="354">
        <v>0</v>
      </c>
      <c r="K270" s="354">
        <v>0</v>
      </c>
      <c r="L270" s="365">
        <v>0</v>
      </c>
      <c r="M270" s="305">
        <f t="shared" si="119"/>
        <v>0</v>
      </c>
      <c r="N270" s="307">
        <f t="shared" si="120"/>
        <v>0</v>
      </c>
      <c r="O270" s="353">
        <v>0</v>
      </c>
      <c r="P270" s="354">
        <v>0</v>
      </c>
      <c r="Q270" s="354">
        <v>0</v>
      </c>
      <c r="R270" s="354">
        <v>0</v>
      </c>
      <c r="S270" s="354">
        <v>0</v>
      </c>
      <c r="T270" s="354">
        <v>0</v>
      </c>
      <c r="U270" s="354">
        <v>0</v>
      </c>
      <c r="V270" s="354">
        <v>0</v>
      </c>
      <c r="W270" s="354">
        <v>0</v>
      </c>
      <c r="X270" s="354">
        <v>0</v>
      </c>
      <c r="Y270" s="365">
        <v>0</v>
      </c>
      <c r="Z270" s="305">
        <f t="shared" si="121"/>
        <v>0</v>
      </c>
      <c r="AA270" s="307">
        <f t="shared" si="122"/>
        <v>0</v>
      </c>
      <c r="AB270" s="91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1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920">
        <f t="shared" si="126"/>
        <v>0</v>
      </c>
      <c r="AE270" s="897">
        <f t="shared" si="129"/>
        <v>0</v>
      </c>
      <c r="AF270" s="897">
        <f t="shared" si="130"/>
        <v>0</v>
      </c>
      <c r="AG270" s="897">
        <f t="shared" si="131"/>
        <v>0</v>
      </c>
      <c r="AH270" s="1113">
        <f t="shared" si="127"/>
        <v>0</v>
      </c>
      <c r="AI270" s="897">
        <f t="shared" si="128"/>
        <v>0</v>
      </c>
    </row>
    <row r="271" spans="1:35" ht="13.5" thickBot="1" x14ac:dyDescent="0.25">
      <c r="A271" s="337">
        <v>2045</v>
      </c>
      <c r="B271" s="355">
        <v>0</v>
      </c>
      <c r="C271" s="356">
        <v>0</v>
      </c>
      <c r="D271" s="356">
        <v>0</v>
      </c>
      <c r="E271" s="356">
        <v>0</v>
      </c>
      <c r="F271" s="356">
        <v>0</v>
      </c>
      <c r="G271" s="356">
        <v>0</v>
      </c>
      <c r="H271" s="356">
        <v>0</v>
      </c>
      <c r="I271" s="356">
        <v>0</v>
      </c>
      <c r="J271" s="356">
        <v>0</v>
      </c>
      <c r="K271" s="356">
        <v>0</v>
      </c>
      <c r="L271" s="366">
        <v>0</v>
      </c>
      <c r="M271" s="319">
        <f t="shared" si="119"/>
        <v>0</v>
      </c>
      <c r="N271" s="321">
        <f t="shared" si="120"/>
        <v>0</v>
      </c>
      <c r="O271" s="355">
        <v>0</v>
      </c>
      <c r="P271" s="356">
        <v>0</v>
      </c>
      <c r="Q271" s="356">
        <v>0</v>
      </c>
      <c r="R271" s="356">
        <v>0</v>
      </c>
      <c r="S271" s="356">
        <v>0</v>
      </c>
      <c r="T271" s="356">
        <v>0</v>
      </c>
      <c r="U271" s="356">
        <v>0</v>
      </c>
      <c r="V271" s="356">
        <v>0</v>
      </c>
      <c r="W271" s="356">
        <v>0</v>
      </c>
      <c r="X271" s="356">
        <v>0</v>
      </c>
      <c r="Y271" s="366">
        <v>0</v>
      </c>
      <c r="Z271" s="319">
        <f t="shared" si="121"/>
        <v>0</v>
      </c>
      <c r="AA271" s="321">
        <f t="shared" si="122"/>
        <v>0</v>
      </c>
      <c r="AB271" s="91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1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920">
        <f t="shared" si="126"/>
        <v>0</v>
      </c>
      <c r="AE271" s="897">
        <f t="shared" si="129"/>
        <v>0</v>
      </c>
      <c r="AF271" s="897">
        <f t="shared" si="130"/>
        <v>0</v>
      </c>
      <c r="AG271" s="897">
        <f t="shared" si="131"/>
        <v>0</v>
      </c>
      <c r="AH271" s="1113">
        <f t="shared" si="127"/>
        <v>0</v>
      </c>
      <c r="AI271" s="897">
        <f t="shared" si="128"/>
        <v>0</v>
      </c>
    </row>
    <row r="272" spans="1:35" x14ac:dyDescent="0.2">
      <c r="A272" s="338">
        <v>2046</v>
      </c>
      <c r="B272" s="351">
        <v>0</v>
      </c>
      <c r="C272" s="352">
        <v>0</v>
      </c>
      <c r="D272" s="352">
        <v>0</v>
      </c>
      <c r="E272" s="352">
        <v>0</v>
      </c>
      <c r="F272" s="352">
        <v>0</v>
      </c>
      <c r="G272" s="352">
        <v>0</v>
      </c>
      <c r="H272" s="352">
        <v>0</v>
      </c>
      <c r="I272" s="352">
        <v>0</v>
      </c>
      <c r="J272" s="352">
        <v>0</v>
      </c>
      <c r="K272" s="352">
        <v>0</v>
      </c>
      <c r="L272" s="364">
        <v>0</v>
      </c>
      <c r="M272" s="291">
        <f t="shared" si="119"/>
        <v>0</v>
      </c>
      <c r="N272" s="293">
        <f t="shared" si="120"/>
        <v>0</v>
      </c>
      <c r="O272" s="351">
        <v>0</v>
      </c>
      <c r="P272" s="352">
        <v>0</v>
      </c>
      <c r="Q272" s="352">
        <v>0</v>
      </c>
      <c r="R272" s="352">
        <v>0</v>
      </c>
      <c r="S272" s="352">
        <v>0</v>
      </c>
      <c r="T272" s="352">
        <v>0</v>
      </c>
      <c r="U272" s="352">
        <v>0</v>
      </c>
      <c r="V272" s="352">
        <v>0</v>
      </c>
      <c r="W272" s="352">
        <v>0</v>
      </c>
      <c r="X272" s="352">
        <v>0</v>
      </c>
      <c r="Y272" s="364">
        <v>0</v>
      </c>
      <c r="Z272" s="291">
        <f t="shared" si="121"/>
        <v>0</v>
      </c>
      <c r="AA272" s="293">
        <f t="shared" si="122"/>
        <v>0</v>
      </c>
      <c r="AB272" s="91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1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920">
        <f t="shared" si="126"/>
        <v>0</v>
      </c>
      <c r="AE272" s="897">
        <f t="shared" si="129"/>
        <v>0</v>
      </c>
      <c r="AF272" s="897">
        <f t="shared" si="130"/>
        <v>0</v>
      </c>
      <c r="AG272" s="897">
        <f t="shared" si="131"/>
        <v>0</v>
      </c>
      <c r="AH272" s="1113">
        <f t="shared" si="127"/>
        <v>0</v>
      </c>
      <c r="AI272" s="897">
        <f t="shared" si="128"/>
        <v>0</v>
      </c>
    </row>
    <row r="273" spans="1:43" x14ac:dyDescent="0.2">
      <c r="A273" s="339">
        <v>2047</v>
      </c>
      <c r="B273" s="353">
        <v>0</v>
      </c>
      <c r="C273" s="354">
        <v>0</v>
      </c>
      <c r="D273" s="354">
        <v>0</v>
      </c>
      <c r="E273" s="354">
        <v>0</v>
      </c>
      <c r="F273" s="354">
        <v>0</v>
      </c>
      <c r="G273" s="354">
        <v>0</v>
      </c>
      <c r="H273" s="354">
        <v>0</v>
      </c>
      <c r="I273" s="354">
        <v>0</v>
      </c>
      <c r="J273" s="354">
        <v>0</v>
      </c>
      <c r="K273" s="354">
        <v>0</v>
      </c>
      <c r="L273" s="365">
        <v>0</v>
      </c>
      <c r="M273" s="305">
        <f t="shared" si="119"/>
        <v>0</v>
      </c>
      <c r="N273" s="307">
        <f t="shared" si="120"/>
        <v>0</v>
      </c>
      <c r="O273" s="353">
        <v>0</v>
      </c>
      <c r="P273" s="354">
        <v>0</v>
      </c>
      <c r="Q273" s="354">
        <v>0</v>
      </c>
      <c r="R273" s="354">
        <v>0</v>
      </c>
      <c r="S273" s="354">
        <v>0</v>
      </c>
      <c r="T273" s="354">
        <v>0</v>
      </c>
      <c r="U273" s="354">
        <v>0</v>
      </c>
      <c r="V273" s="354">
        <v>0</v>
      </c>
      <c r="W273" s="354">
        <v>0</v>
      </c>
      <c r="X273" s="354">
        <v>0</v>
      </c>
      <c r="Y273" s="365">
        <v>0</v>
      </c>
      <c r="Z273" s="305">
        <f t="shared" si="121"/>
        <v>0</v>
      </c>
      <c r="AA273" s="307">
        <f t="shared" si="122"/>
        <v>0</v>
      </c>
      <c r="AB273" s="91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1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920">
        <f t="shared" si="126"/>
        <v>0</v>
      </c>
      <c r="AE273" s="897">
        <f t="shared" si="129"/>
        <v>0</v>
      </c>
      <c r="AF273" s="897">
        <f t="shared" si="130"/>
        <v>0</v>
      </c>
      <c r="AG273" s="897">
        <f t="shared" si="131"/>
        <v>0</v>
      </c>
      <c r="AH273" s="1113">
        <f t="shared" si="127"/>
        <v>0</v>
      </c>
      <c r="AI273" s="897">
        <f t="shared" si="128"/>
        <v>0</v>
      </c>
    </row>
    <row r="274" spans="1:43" x14ac:dyDescent="0.2">
      <c r="A274" s="339">
        <v>2048</v>
      </c>
      <c r="B274" s="353">
        <v>0</v>
      </c>
      <c r="C274" s="354">
        <v>0</v>
      </c>
      <c r="D274" s="354">
        <v>0</v>
      </c>
      <c r="E274" s="354">
        <v>0</v>
      </c>
      <c r="F274" s="354">
        <v>0</v>
      </c>
      <c r="G274" s="354">
        <v>0</v>
      </c>
      <c r="H274" s="354">
        <v>0</v>
      </c>
      <c r="I274" s="354">
        <v>0</v>
      </c>
      <c r="J274" s="354">
        <v>0</v>
      </c>
      <c r="K274" s="354">
        <v>0</v>
      </c>
      <c r="L274" s="365">
        <v>0</v>
      </c>
      <c r="M274" s="305">
        <f t="shared" si="119"/>
        <v>0</v>
      </c>
      <c r="N274" s="307">
        <f t="shared" si="120"/>
        <v>0</v>
      </c>
      <c r="O274" s="353">
        <v>0</v>
      </c>
      <c r="P274" s="354">
        <v>0</v>
      </c>
      <c r="Q274" s="354">
        <v>0</v>
      </c>
      <c r="R274" s="354">
        <v>0</v>
      </c>
      <c r="S274" s="354">
        <v>0</v>
      </c>
      <c r="T274" s="354">
        <v>0</v>
      </c>
      <c r="U274" s="354">
        <v>0</v>
      </c>
      <c r="V274" s="354">
        <v>0</v>
      </c>
      <c r="W274" s="354">
        <v>0</v>
      </c>
      <c r="X274" s="354">
        <v>0</v>
      </c>
      <c r="Y274" s="365">
        <v>0</v>
      </c>
      <c r="Z274" s="305">
        <f t="shared" si="121"/>
        <v>0</v>
      </c>
      <c r="AA274" s="307">
        <f t="shared" si="122"/>
        <v>0</v>
      </c>
      <c r="AB274" s="91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1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920">
        <f t="shared" si="126"/>
        <v>0</v>
      </c>
      <c r="AE274" s="897">
        <f t="shared" si="129"/>
        <v>0</v>
      </c>
      <c r="AF274" s="897">
        <f t="shared" si="130"/>
        <v>0</v>
      </c>
      <c r="AG274" s="897">
        <f t="shared" si="131"/>
        <v>0</v>
      </c>
      <c r="AH274" s="1113">
        <f t="shared" si="127"/>
        <v>0</v>
      </c>
      <c r="AI274" s="897">
        <f t="shared" si="128"/>
        <v>0</v>
      </c>
    </row>
    <row r="275" spans="1:43" x14ac:dyDescent="0.2">
      <c r="A275" s="339">
        <v>2049</v>
      </c>
      <c r="B275" s="353">
        <v>0</v>
      </c>
      <c r="C275" s="354">
        <v>0</v>
      </c>
      <c r="D275" s="354">
        <v>0</v>
      </c>
      <c r="E275" s="354">
        <v>0</v>
      </c>
      <c r="F275" s="354">
        <v>0</v>
      </c>
      <c r="G275" s="354">
        <v>0</v>
      </c>
      <c r="H275" s="354">
        <v>0</v>
      </c>
      <c r="I275" s="354">
        <v>0</v>
      </c>
      <c r="J275" s="354">
        <v>0</v>
      </c>
      <c r="K275" s="354">
        <v>0</v>
      </c>
      <c r="L275" s="365">
        <v>0</v>
      </c>
      <c r="M275" s="305">
        <f t="shared" si="119"/>
        <v>0</v>
      </c>
      <c r="N275" s="307">
        <f t="shared" si="120"/>
        <v>0</v>
      </c>
      <c r="O275" s="353">
        <v>0</v>
      </c>
      <c r="P275" s="354">
        <v>0</v>
      </c>
      <c r="Q275" s="354">
        <v>0</v>
      </c>
      <c r="R275" s="354">
        <v>0</v>
      </c>
      <c r="S275" s="354">
        <v>0</v>
      </c>
      <c r="T275" s="354">
        <v>0</v>
      </c>
      <c r="U275" s="354">
        <v>0</v>
      </c>
      <c r="V275" s="354">
        <v>0</v>
      </c>
      <c r="W275" s="354">
        <v>0</v>
      </c>
      <c r="X275" s="354">
        <v>0</v>
      </c>
      <c r="Y275" s="365">
        <v>0</v>
      </c>
      <c r="Z275" s="305">
        <f t="shared" si="121"/>
        <v>0</v>
      </c>
      <c r="AA275" s="307">
        <f t="shared" si="122"/>
        <v>0</v>
      </c>
      <c r="AB275" s="91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1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920">
        <f t="shared" si="126"/>
        <v>0</v>
      </c>
      <c r="AE275" s="897">
        <f t="shared" si="129"/>
        <v>0</v>
      </c>
      <c r="AF275" s="897">
        <f t="shared" si="130"/>
        <v>0</v>
      </c>
      <c r="AG275" s="897">
        <f t="shared" si="131"/>
        <v>0</v>
      </c>
      <c r="AH275" s="1113">
        <f t="shared" si="127"/>
        <v>0</v>
      </c>
      <c r="AI275" s="897">
        <f t="shared" si="128"/>
        <v>0</v>
      </c>
    </row>
    <row r="276" spans="1:43" ht="13.5" thickBot="1" x14ac:dyDescent="0.25">
      <c r="A276" s="337">
        <v>2050</v>
      </c>
      <c r="B276" s="355">
        <v>0</v>
      </c>
      <c r="C276" s="356">
        <v>0</v>
      </c>
      <c r="D276" s="356">
        <v>0</v>
      </c>
      <c r="E276" s="356">
        <v>0</v>
      </c>
      <c r="F276" s="356">
        <v>0</v>
      </c>
      <c r="G276" s="356">
        <v>0</v>
      </c>
      <c r="H276" s="356">
        <v>0</v>
      </c>
      <c r="I276" s="356">
        <v>0</v>
      </c>
      <c r="J276" s="356">
        <v>0</v>
      </c>
      <c r="K276" s="356">
        <v>0</v>
      </c>
      <c r="L276" s="366">
        <v>0</v>
      </c>
      <c r="M276" s="319">
        <f t="shared" si="119"/>
        <v>0</v>
      </c>
      <c r="N276" s="321">
        <f t="shared" si="120"/>
        <v>0</v>
      </c>
      <c r="O276" s="355">
        <v>0</v>
      </c>
      <c r="P276" s="356">
        <v>0</v>
      </c>
      <c r="Q276" s="356">
        <v>0</v>
      </c>
      <c r="R276" s="356">
        <v>0</v>
      </c>
      <c r="S276" s="356">
        <v>0</v>
      </c>
      <c r="T276" s="356">
        <v>0</v>
      </c>
      <c r="U276" s="356">
        <v>0</v>
      </c>
      <c r="V276" s="356">
        <v>0</v>
      </c>
      <c r="W276" s="356">
        <v>0</v>
      </c>
      <c r="X276" s="356">
        <v>0</v>
      </c>
      <c r="Y276" s="366">
        <v>0</v>
      </c>
      <c r="Z276" s="319">
        <f t="shared" si="121"/>
        <v>0</v>
      </c>
      <c r="AA276" s="321">
        <f t="shared" si="122"/>
        <v>0</v>
      </c>
      <c r="AB276" s="921">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22">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923">
        <f t="shared" si="126"/>
        <v>0</v>
      </c>
      <c r="AE276" s="897">
        <f t="shared" si="129"/>
        <v>0</v>
      </c>
      <c r="AF276" s="897">
        <f t="shared" si="130"/>
        <v>0</v>
      </c>
      <c r="AG276" s="897">
        <f t="shared" si="131"/>
        <v>0</v>
      </c>
      <c r="AH276" s="1113">
        <f t="shared" si="127"/>
        <v>0</v>
      </c>
      <c r="AI276" s="897">
        <f t="shared" si="128"/>
        <v>0</v>
      </c>
    </row>
    <row r="277" spans="1:43" x14ac:dyDescent="0.2">
      <c r="B277" s="236" t="str">
        <f>B$120</f>
        <v>Output generated: 11/04/2020 14:43</v>
      </c>
      <c r="U277" s="236" t="str">
        <f>U$120</f>
        <v>Output generated: 11/04/2020 14:43</v>
      </c>
      <c r="AE277" s="897"/>
      <c r="AF277" s="897"/>
      <c r="AG277" s="897"/>
      <c r="AH277" s="897"/>
      <c r="AI277" s="897"/>
    </row>
    <row r="278" spans="1:43" x14ac:dyDescent="0.2">
      <c r="AE278" s="897"/>
      <c r="AF278" s="897"/>
      <c r="AG278" s="897"/>
      <c r="AH278" s="897"/>
      <c r="AI278" s="897"/>
    </row>
    <row r="279" spans="1:43" ht="13.5" thickBot="1" x14ac:dyDescent="0.25">
      <c r="AE279" s="897"/>
      <c r="AF279" s="897"/>
      <c r="AG279" s="897"/>
      <c r="AH279" s="897"/>
      <c r="AI279" s="897"/>
    </row>
    <row r="280" spans="1:43" ht="15" x14ac:dyDescent="0.25">
      <c r="A280" s="342"/>
      <c r="B280" s="1643" t="s">
        <v>277</v>
      </c>
      <c r="C280" s="1644"/>
      <c r="D280" s="1644"/>
      <c r="E280" s="1644"/>
      <c r="F280" s="1644"/>
      <c r="G280" s="1644"/>
      <c r="H280" s="1644"/>
      <c r="I280" s="1644"/>
      <c r="J280" s="1644"/>
      <c r="K280" s="1644"/>
      <c r="L280" s="1644"/>
      <c r="M280" s="584"/>
      <c r="N280" s="585"/>
      <c r="O280" s="1643" t="s">
        <v>278</v>
      </c>
      <c r="P280" s="1644"/>
      <c r="Q280" s="1644"/>
      <c r="R280" s="1644"/>
      <c r="S280" s="1644"/>
      <c r="T280" s="1644"/>
      <c r="U280" s="1644"/>
      <c r="V280" s="1644"/>
      <c r="W280" s="1644"/>
      <c r="X280" s="1644"/>
      <c r="Y280" s="1644"/>
      <c r="Z280" s="584"/>
      <c r="AA280" s="585"/>
      <c r="AE280" s="897"/>
      <c r="AF280" s="897"/>
      <c r="AG280" s="897"/>
      <c r="AH280" s="897"/>
      <c r="AI280" s="897"/>
    </row>
    <row r="281" spans="1:43" x14ac:dyDescent="0.2">
      <c r="A281" s="333"/>
      <c r="B281" s="586" t="s">
        <v>125</v>
      </c>
      <c r="C281" s="587"/>
      <c r="D281" s="587"/>
      <c r="E281" s="587"/>
      <c r="F281" s="587"/>
      <c r="G281" s="587"/>
      <c r="H281" s="587"/>
      <c r="I281" s="587"/>
      <c r="J281" s="587"/>
      <c r="K281" s="587"/>
      <c r="L281" s="587"/>
      <c r="M281" s="367"/>
      <c r="N281" s="334"/>
      <c r="O281" s="586" t="s">
        <v>125</v>
      </c>
      <c r="P281" s="587"/>
      <c r="Q281" s="587"/>
      <c r="R281" s="587"/>
      <c r="S281" s="587"/>
      <c r="T281" s="587"/>
      <c r="U281" s="587"/>
      <c r="V281" s="587"/>
      <c r="W281" s="587"/>
      <c r="X281" s="587"/>
      <c r="Y281" s="587"/>
      <c r="Z281" s="367"/>
      <c r="AA281" s="334"/>
      <c r="AE281" s="897"/>
      <c r="AF281" s="897"/>
      <c r="AG281" s="897"/>
      <c r="AH281" s="897"/>
      <c r="AI281" s="897"/>
    </row>
    <row r="282" spans="1:43" ht="13.5" thickBot="1" x14ac:dyDescent="0.25">
      <c r="A282" s="340"/>
      <c r="B282" s="347" t="s">
        <v>31</v>
      </c>
      <c r="C282" s="348" t="s">
        <v>32</v>
      </c>
      <c r="D282" s="348" t="s">
        <v>33</v>
      </c>
      <c r="E282" s="348" t="s">
        <v>34</v>
      </c>
      <c r="F282" s="348" t="s">
        <v>35</v>
      </c>
      <c r="G282" s="348" t="s">
        <v>36</v>
      </c>
      <c r="H282" s="348" t="s">
        <v>37</v>
      </c>
      <c r="I282" s="348" t="s">
        <v>38</v>
      </c>
      <c r="J282" s="348" t="s">
        <v>39</v>
      </c>
      <c r="K282" s="348" t="s">
        <v>40</v>
      </c>
      <c r="L282" s="362" t="s">
        <v>41</v>
      </c>
      <c r="M282" s="368" t="s">
        <v>126</v>
      </c>
      <c r="N282" s="341" t="s">
        <v>127</v>
      </c>
      <c r="O282" s="347" t="s">
        <v>31</v>
      </c>
      <c r="P282" s="348" t="s">
        <v>32</v>
      </c>
      <c r="Q282" s="348" t="s">
        <v>33</v>
      </c>
      <c r="R282" s="348" t="s">
        <v>34</v>
      </c>
      <c r="S282" s="348" t="s">
        <v>35</v>
      </c>
      <c r="T282" s="348" t="s">
        <v>36</v>
      </c>
      <c r="U282" s="348" t="s">
        <v>37</v>
      </c>
      <c r="V282" s="348" t="s">
        <v>38</v>
      </c>
      <c r="W282" s="348" t="s">
        <v>39</v>
      </c>
      <c r="X282" s="348" t="s">
        <v>40</v>
      </c>
      <c r="Y282" s="362" t="s">
        <v>41</v>
      </c>
      <c r="Z282" s="368" t="s">
        <v>126</v>
      </c>
      <c r="AA282" s="341" t="s">
        <v>127</v>
      </c>
      <c r="AC282" s="869" t="s">
        <v>211</v>
      </c>
      <c r="AD282" s="243" t="b">
        <f>INDEX(TECH_OPT_FUEL2_Cls1,MATCH(RIGHT(O280),TECH_OPT_ROWS_Cls1,0))&lt;&gt;"N/A"</f>
        <v>0</v>
      </c>
      <c r="AE282" s="897"/>
      <c r="AF282" s="897"/>
      <c r="AG282" s="897"/>
      <c r="AH282" s="897"/>
      <c r="AI282" s="897"/>
    </row>
    <row r="283" spans="1:43" ht="14.25" thickTop="1" thickBot="1" x14ac:dyDescent="0.25">
      <c r="A283" s="357" t="s">
        <v>128</v>
      </c>
      <c r="B283" s="349">
        <f t="array" ref="B283:L283">TRANSPOSE(Cls1CentTruckShr)</f>
        <v>0.19351049492932548</v>
      </c>
      <c r="C283" s="350">
        <v>0.2501505093300298</v>
      </c>
      <c r="D283" s="350">
        <v>4.1900540200962323E-3</v>
      </c>
      <c r="E283" s="350">
        <v>0</v>
      </c>
      <c r="F283" s="350">
        <v>0</v>
      </c>
      <c r="G283" s="350">
        <v>0</v>
      </c>
      <c r="H283" s="350">
        <v>0</v>
      </c>
      <c r="I283" s="350">
        <v>0</v>
      </c>
      <c r="J283" s="350">
        <v>0</v>
      </c>
      <c r="K283" s="350">
        <v>0</v>
      </c>
      <c r="L283" s="363">
        <v>0</v>
      </c>
      <c r="M283" s="369"/>
      <c r="N283" s="345"/>
      <c r="O283" s="349">
        <f t="array" ref="O283:Y283">TRANSPOSE(Cls1NCentTruckShr)</f>
        <v>0.30789040692318376</v>
      </c>
      <c r="P283" s="350">
        <v>0.21073814200859928</v>
      </c>
      <c r="Q283" s="350">
        <v>3.3520392788765403E-2</v>
      </c>
      <c r="R283" s="350">
        <v>0</v>
      </c>
      <c r="S283" s="350">
        <v>0</v>
      </c>
      <c r="T283" s="350">
        <v>0</v>
      </c>
      <c r="U283" s="350">
        <v>0</v>
      </c>
      <c r="V283" s="350">
        <v>0</v>
      </c>
      <c r="W283" s="350">
        <v>0</v>
      </c>
      <c r="X283" s="350">
        <v>0</v>
      </c>
      <c r="Y283" s="363">
        <v>0</v>
      </c>
      <c r="Z283" s="370"/>
      <c r="AA283" s="343"/>
      <c r="AB283" s="896"/>
      <c r="AC283" s="869" t="s">
        <v>212</v>
      </c>
      <c r="AD283" s="243">
        <f>MATCH(RIGHT(O280),TECH_OPT_ROWS_Cls1,0)</f>
        <v>6</v>
      </c>
      <c r="AE283" s="897"/>
      <c r="AF283" s="897"/>
      <c r="AG283" s="897"/>
      <c r="AH283" s="897"/>
      <c r="AI283" s="897"/>
    </row>
    <row r="284" spans="1:43" x14ac:dyDescent="0.2">
      <c r="A284" s="340" t="s">
        <v>129</v>
      </c>
      <c r="B284" s="898">
        <f t="array" ref="B284:L284">TRANSPOSE(Cls1CentVMTShr)</f>
        <v>9.273212178681503E-2</v>
      </c>
      <c r="C284" s="899">
        <v>0.32242235704181188</v>
      </c>
      <c r="D284" s="899">
        <v>9.1542250355295205E-3</v>
      </c>
      <c r="E284" s="899">
        <v>0</v>
      </c>
      <c r="F284" s="899">
        <v>0</v>
      </c>
      <c r="G284" s="899">
        <v>0</v>
      </c>
      <c r="H284" s="899">
        <v>0</v>
      </c>
      <c r="I284" s="899">
        <v>0</v>
      </c>
      <c r="J284" s="899">
        <v>0</v>
      </c>
      <c r="K284" s="899">
        <v>0</v>
      </c>
      <c r="L284" s="900">
        <v>0</v>
      </c>
      <c r="M284" s="373"/>
      <c r="N284" s="343"/>
      <c r="O284" s="898">
        <f t="array" ref="O284:Y284">TRANSPOSE(Cls1NCentVMTShr)</f>
        <v>0.16874553744672482</v>
      </c>
      <c r="P284" s="899">
        <v>0.32500949786451999</v>
      </c>
      <c r="Q284" s="899">
        <v>8.1936260824598706E-2</v>
      </c>
      <c r="R284" s="899">
        <v>0</v>
      </c>
      <c r="S284" s="899">
        <v>0</v>
      </c>
      <c r="T284" s="899">
        <v>0</v>
      </c>
      <c r="U284" s="899">
        <v>0</v>
      </c>
      <c r="V284" s="899">
        <v>0</v>
      </c>
      <c r="W284" s="899">
        <v>0</v>
      </c>
      <c r="X284" s="899">
        <v>0</v>
      </c>
      <c r="Y284" s="900">
        <v>0</v>
      </c>
      <c r="Z284" s="373"/>
      <c r="AA284" s="343"/>
      <c r="AB284" s="1630" t="str">
        <f>"% of miles on f2 for Tech "&amp; RIGHT(O280)&amp;" adopters"</f>
        <v>% of miles on f2 for Tech E adopters</v>
      </c>
      <c r="AC284" s="1631"/>
      <c r="AD284" s="1632"/>
      <c r="AE284" s="897" t="s">
        <v>245</v>
      </c>
      <c r="AF284" s="897"/>
      <c r="AG284" s="897"/>
      <c r="AH284" s="1113" t="s">
        <v>256</v>
      </c>
      <c r="AI284" s="897"/>
    </row>
    <row r="285" spans="1:43" s="904" customFormat="1" ht="13.5" thickBot="1" x14ac:dyDescent="0.25">
      <c r="A285" s="902" t="s">
        <v>210</v>
      </c>
      <c r="B285" s="893">
        <f t="array" ref="B285:L285">TRANSPOSE(Cls1CentVMT/OPDAYS_Cls1)</f>
        <v>37.00142799703638</v>
      </c>
      <c r="C285" s="894">
        <v>99.521421131036902</v>
      </c>
      <c r="D285" s="894">
        <v>168.69211144921252</v>
      </c>
      <c r="E285" s="894">
        <v>280</v>
      </c>
      <c r="F285" s="894">
        <v>360</v>
      </c>
      <c r="G285" s="894">
        <v>440</v>
      </c>
      <c r="H285" s="894">
        <v>520</v>
      </c>
      <c r="I285" s="894">
        <v>600</v>
      </c>
      <c r="J285" s="894">
        <v>680</v>
      </c>
      <c r="K285" s="894">
        <v>760</v>
      </c>
      <c r="L285" s="895">
        <v>800</v>
      </c>
      <c r="M285" s="891"/>
      <c r="N285" s="892"/>
      <c r="O285" s="893">
        <f t="array" ref="O285:Y285">TRANSPOSE(Cls1NCentVMT/OPDAYS_Cls1)</f>
        <v>42.318371896217066</v>
      </c>
      <c r="P285" s="894">
        <v>119.08188972092167</v>
      </c>
      <c r="Q285" s="894">
        <v>188.73821956526081</v>
      </c>
      <c r="R285" s="894">
        <v>280</v>
      </c>
      <c r="S285" s="894">
        <v>360</v>
      </c>
      <c r="T285" s="894">
        <v>440</v>
      </c>
      <c r="U285" s="894">
        <v>520</v>
      </c>
      <c r="V285" s="894">
        <v>600</v>
      </c>
      <c r="W285" s="894">
        <v>680</v>
      </c>
      <c r="X285" s="894">
        <v>760</v>
      </c>
      <c r="Y285" s="895">
        <v>800</v>
      </c>
      <c r="Z285" s="903"/>
      <c r="AA285" s="892"/>
      <c r="AB285" s="915" t="s">
        <v>174</v>
      </c>
      <c r="AC285" s="916" t="s">
        <v>15</v>
      </c>
      <c r="AD285" s="917" t="s">
        <v>20</v>
      </c>
      <c r="AE285" s="897" t="s">
        <v>174</v>
      </c>
      <c r="AF285" s="897" t="s">
        <v>15</v>
      </c>
      <c r="AG285" s="897" t="s">
        <v>20</v>
      </c>
      <c r="AH285" s="1113" t="s">
        <v>174</v>
      </c>
      <c r="AI285" s="897" t="s">
        <v>15</v>
      </c>
      <c r="AJ285" s="332"/>
      <c r="AK285" s="332"/>
      <c r="AL285" s="332"/>
      <c r="AM285" s="332"/>
      <c r="AN285" s="236"/>
      <c r="AO285" s="236"/>
      <c r="AP285" s="236"/>
      <c r="AQ285" s="236"/>
    </row>
    <row r="286" spans="1:43" ht="13.5" thickTop="1" x14ac:dyDescent="0.2">
      <c r="A286" s="901">
        <v>2007</v>
      </c>
      <c r="B286" s="351">
        <v>0</v>
      </c>
      <c r="C286" s="352">
        <v>0</v>
      </c>
      <c r="D286" s="352">
        <v>0</v>
      </c>
      <c r="E286" s="352">
        <v>0</v>
      </c>
      <c r="F286" s="352">
        <v>0</v>
      </c>
      <c r="G286" s="352">
        <v>0</v>
      </c>
      <c r="H286" s="352">
        <v>0</v>
      </c>
      <c r="I286" s="352">
        <v>0</v>
      </c>
      <c r="J286" s="352">
        <v>0</v>
      </c>
      <c r="K286" s="352">
        <v>0</v>
      </c>
      <c r="L286" s="364">
        <v>0</v>
      </c>
      <c r="M286" s="291">
        <f t="shared" ref="M286:M329" si="132">SUMPRODUCT($B$178:$L$178,$B286:$L286)</f>
        <v>0</v>
      </c>
      <c r="N286" s="293">
        <f t="shared" ref="N286:N329" si="133">SUMPRODUCT($B$177:$L$177,$B286:$L286)</f>
        <v>0</v>
      </c>
      <c r="O286" s="351">
        <v>0</v>
      </c>
      <c r="P286" s="352">
        <v>0</v>
      </c>
      <c r="Q286" s="352">
        <v>0</v>
      </c>
      <c r="R286" s="352">
        <v>0</v>
      </c>
      <c r="S286" s="352">
        <v>0</v>
      </c>
      <c r="T286" s="352">
        <v>0</v>
      </c>
      <c r="U286" s="352">
        <v>0</v>
      </c>
      <c r="V286" s="352">
        <v>0</v>
      </c>
      <c r="W286" s="352">
        <v>0</v>
      </c>
      <c r="X286" s="352">
        <v>0</v>
      </c>
      <c r="Y286" s="364">
        <v>0</v>
      </c>
      <c r="Z286" s="291">
        <f t="shared" ref="Z286:Z329" si="134">SUMPRODUCT($O$178:$Y$178,$O286:$Y286)</f>
        <v>0</v>
      </c>
      <c r="AA286" s="293">
        <f t="shared" ref="AA286:AA329" si="135">SUMPRODUCT($O$177:$Y$177,$O286:$Y286)</f>
        <v>0</v>
      </c>
      <c r="AB286" s="91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1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174">
        <f>AB286*AH286+AC286*AI286</f>
        <v>0</v>
      </c>
      <c r="AE286" s="897">
        <f t="shared" ref="AE286:AE300" si="136">SUMPRODUCT($B$74:$L$74,B286:L286)</f>
        <v>0</v>
      </c>
      <c r="AF286" s="897">
        <f t="shared" ref="AF286:AF300" si="137">SUMPRODUCT($O$74:$Y$74,O286:Y286)</f>
        <v>0</v>
      </c>
      <c r="AG286" s="897">
        <f t="shared" ref="AG286:AG300" si="138">SUM(AE286:AF286)</f>
        <v>0</v>
      </c>
      <c r="AH286" s="1113">
        <f>IF(AG286&gt;0,AE286/AG286,0)</f>
        <v>0</v>
      </c>
      <c r="AI286" s="897">
        <f>IF(AG286&gt;0,AF286/AG286,0)</f>
        <v>0</v>
      </c>
      <c r="AJ286" s="904"/>
      <c r="AK286" s="904"/>
      <c r="AL286" s="904"/>
      <c r="AM286" s="904"/>
      <c r="AN286" s="904"/>
      <c r="AO286" s="904"/>
      <c r="AP286" s="904"/>
      <c r="AQ286" s="904"/>
    </row>
    <row r="287" spans="1:43" x14ac:dyDescent="0.2">
      <c r="A287" s="336">
        <v>2008</v>
      </c>
      <c r="B287" s="353">
        <v>0</v>
      </c>
      <c r="C287" s="354">
        <v>0</v>
      </c>
      <c r="D287" s="354">
        <v>0</v>
      </c>
      <c r="E287" s="354">
        <v>0</v>
      </c>
      <c r="F287" s="354">
        <v>0</v>
      </c>
      <c r="G287" s="354">
        <v>0</v>
      </c>
      <c r="H287" s="354">
        <v>0</v>
      </c>
      <c r="I287" s="354">
        <v>0</v>
      </c>
      <c r="J287" s="354">
        <v>0</v>
      </c>
      <c r="K287" s="354">
        <v>0</v>
      </c>
      <c r="L287" s="365">
        <v>0</v>
      </c>
      <c r="M287" s="305">
        <f t="shared" si="132"/>
        <v>0</v>
      </c>
      <c r="N287" s="307">
        <f t="shared" si="133"/>
        <v>0</v>
      </c>
      <c r="O287" s="353">
        <v>0</v>
      </c>
      <c r="P287" s="354">
        <v>0</v>
      </c>
      <c r="Q287" s="354">
        <v>0</v>
      </c>
      <c r="R287" s="354">
        <v>0</v>
      </c>
      <c r="S287" s="354">
        <v>0</v>
      </c>
      <c r="T287" s="354">
        <v>0</v>
      </c>
      <c r="U287" s="354">
        <v>0</v>
      </c>
      <c r="V287" s="354">
        <v>0</v>
      </c>
      <c r="W287" s="354">
        <v>0</v>
      </c>
      <c r="X287" s="354">
        <v>0</v>
      </c>
      <c r="Y287" s="365">
        <v>0</v>
      </c>
      <c r="Z287" s="305">
        <f t="shared" si="134"/>
        <v>0</v>
      </c>
      <c r="AA287" s="307">
        <f t="shared" si="135"/>
        <v>0</v>
      </c>
      <c r="AB287" s="91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1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920">
        <f t="shared" ref="AD287:AD329" si="139">AB287*AH287+AC287*AI287</f>
        <v>0</v>
      </c>
      <c r="AE287" s="897">
        <f t="shared" si="136"/>
        <v>0</v>
      </c>
      <c r="AF287" s="897">
        <f t="shared" si="137"/>
        <v>0</v>
      </c>
      <c r="AG287" s="897">
        <f t="shared" si="138"/>
        <v>0</v>
      </c>
      <c r="AH287" s="1113">
        <f t="shared" ref="AH287:AH329" si="140">IF(AG287&gt;0,AE287/AG287,0)</f>
        <v>0</v>
      </c>
      <c r="AI287" s="897">
        <f t="shared" ref="AI287:AI329" si="141">IF(AG287&gt;0,AF287/AG287,0)</f>
        <v>0</v>
      </c>
    </row>
    <row r="288" spans="1:43" x14ac:dyDescent="0.2">
      <c r="A288" s="336">
        <v>2009</v>
      </c>
      <c r="B288" s="353">
        <v>0</v>
      </c>
      <c r="C288" s="354">
        <v>0</v>
      </c>
      <c r="D288" s="354">
        <v>0</v>
      </c>
      <c r="E288" s="354">
        <v>0</v>
      </c>
      <c r="F288" s="354">
        <v>0</v>
      </c>
      <c r="G288" s="354">
        <v>0</v>
      </c>
      <c r="H288" s="354">
        <v>0</v>
      </c>
      <c r="I288" s="354">
        <v>0</v>
      </c>
      <c r="J288" s="354">
        <v>0</v>
      </c>
      <c r="K288" s="354">
        <v>0</v>
      </c>
      <c r="L288" s="365">
        <v>0</v>
      </c>
      <c r="M288" s="305">
        <f t="shared" si="132"/>
        <v>0</v>
      </c>
      <c r="N288" s="307">
        <f t="shared" si="133"/>
        <v>0</v>
      </c>
      <c r="O288" s="353">
        <v>0</v>
      </c>
      <c r="P288" s="354">
        <v>0</v>
      </c>
      <c r="Q288" s="354">
        <v>0</v>
      </c>
      <c r="R288" s="354">
        <v>0</v>
      </c>
      <c r="S288" s="354">
        <v>0</v>
      </c>
      <c r="T288" s="354">
        <v>0</v>
      </c>
      <c r="U288" s="354">
        <v>0</v>
      </c>
      <c r="V288" s="354">
        <v>0</v>
      </c>
      <c r="W288" s="354">
        <v>0</v>
      </c>
      <c r="X288" s="354">
        <v>0</v>
      </c>
      <c r="Y288" s="365">
        <v>0</v>
      </c>
      <c r="Z288" s="305">
        <f t="shared" si="134"/>
        <v>0</v>
      </c>
      <c r="AA288" s="307">
        <f t="shared" si="135"/>
        <v>0</v>
      </c>
      <c r="AB288" s="91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1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920">
        <f t="shared" si="139"/>
        <v>0</v>
      </c>
      <c r="AE288" s="897">
        <f t="shared" si="136"/>
        <v>0</v>
      </c>
      <c r="AF288" s="897">
        <f t="shared" si="137"/>
        <v>0</v>
      </c>
      <c r="AG288" s="897">
        <f t="shared" si="138"/>
        <v>0</v>
      </c>
      <c r="AH288" s="1113">
        <f t="shared" si="140"/>
        <v>0</v>
      </c>
      <c r="AI288" s="897">
        <f t="shared" si="141"/>
        <v>0</v>
      </c>
    </row>
    <row r="289" spans="1:35" ht="13.5" thickBot="1" x14ac:dyDescent="0.25">
      <c r="A289" s="337">
        <v>2010</v>
      </c>
      <c r="B289" s="355">
        <v>0</v>
      </c>
      <c r="C289" s="356">
        <v>0</v>
      </c>
      <c r="D289" s="356">
        <v>0</v>
      </c>
      <c r="E289" s="356">
        <v>0</v>
      </c>
      <c r="F289" s="356">
        <v>0</v>
      </c>
      <c r="G289" s="356">
        <v>0</v>
      </c>
      <c r="H289" s="356">
        <v>0</v>
      </c>
      <c r="I289" s="356">
        <v>0</v>
      </c>
      <c r="J289" s="356">
        <v>0</v>
      </c>
      <c r="K289" s="356">
        <v>0</v>
      </c>
      <c r="L289" s="366">
        <v>0</v>
      </c>
      <c r="M289" s="319">
        <f t="shared" si="132"/>
        <v>0</v>
      </c>
      <c r="N289" s="321">
        <f t="shared" si="133"/>
        <v>0</v>
      </c>
      <c r="O289" s="355">
        <v>0</v>
      </c>
      <c r="P289" s="356">
        <v>0</v>
      </c>
      <c r="Q289" s="356">
        <v>0</v>
      </c>
      <c r="R289" s="356">
        <v>0</v>
      </c>
      <c r="S289" s="356">
        <v>0</v>
      </c>
      <c r="T289" s="356">
        <v>0</v>
      </c>
      <c r="U289" s="356">
        <v>0</v>
      </c>
      <c r="V289" s="356">
        <v>0</v>
      </c>
      <c r="W289" s="356">
        <v>0</v>
      </c>
      <c r="X289" s="356">
        <v>0</v>
      </c>
      <c r="Y289" s="366">
        <v>0</v>
      </c>
      <c r="Z289" s="319">
        <f t="shared" si="134"/>
        <v>0</v>
      </c>
      <c r="AA289" s="321">
        <f t="shared" si="135"/>
        <v>0</v>
      </c>
      <c r="AB289" s="91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1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920">
        <f t="shared" si="139"/>
        <v>0</v>
      </c>
      <c r="AE289" s="897">
        <f t="shared" si="136"/>
        <v>0</v>
      </c>
      <c r="AF289" s="897">
        <f t="shared" si="137"/>
        <v>0</v>
      </c>
      <c r="AG289" s="897">
        <f t="shared" si="138"/>
        <v>0</v>
      </c>
      <c r="AH289" s="1113">
        <f t="shared" si="140"/>
        <v>0</v>
      </c>
      <c r="AI289" s="897">
        <f t="shared" si="141"/>
        <v>0</v>
      </c>
    </row>
    <row r="290" spans="1:35" x14ac:dyDescent="0.2">
      <c r="A290" s="338">
        <v>2011</v>
      </c>
      <c r="B290" s="351">
        <v>0</v>
      </c>
      <c r="C290" s="352">
        <v>0</v>
      </c>
      <c r="D290" s="352">
        <v>0</v>
      </c>
      <c r="E290" s="352">
        <v>0</v>
      </c>
      <c r="F290" s="352">
        <v>0</v>
      </c>
      <c r="G290" s="352">
        <v>0</v>
      </c>
      <c r="H290" s="352">
        <v>0</v>
      </c>
      <c r="I290" s="352">
        <v>0</v>
      </c>
      <c r="J290" s="352">
        <v>0</v>
      </c>
      <c r="K290" s="352">
        <v>0</v>
      </c>
      <c r="L290" s="364">
        <v>0</v>
      </c>
      <c r="M290" s="291">
        <f t="shared" si="132"/>
        <v>0</v>
      </c>
      <c r="N290" s="293">
        <f t="shared" si="133"/>
        <v>0</v>
      </c>
      <c r="O290" s="351">
        <v>0</v>
      </c>
      <c r="P290" s="352">
        <v>0</v>
      </c>
      <c r="Q290" s="352">
        <v>0</v>
      </c>
      <c r="R290" s="352">
        <v>0</v>
      </c>
      <c r="S290" s="352">
        <v>0</v>
      </c>
      <c r="T290" s="352">
        <v>0</v>
      </c>
      <c r="U290" s="352">
        <v>0</v>
      </c>
      <c r="V290" s="352">
        <v>0</v>
      </c>
      <c r="W290" s="352">
        <v>0</v>
      </c>
      <c r="X290" s="352">
        <v>0</v>
      </c>
      <c r="Y290" s="364">
        <v>0</v>
      </c>
      <c r="Z290" s="291">
        <f t="shared" si="134"/>
        <v>0</v>
      </c>
      <c r="AA290" s="293">
        <f t="shared" si="135"/>
        <v>0</v>
      </c>
      <c r="AB290" s="91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1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920">
        <f t="shared" si="139"/>
        <v>0</v>
      </c>
      <c r="AE290" s="897">
        <f t="shared" si="136"/>
        <v>0</v>
      </c>
      <c r="AF290" s="897">
        <f t="shared" si="137"/>
        <v>0</v>
      </c>
      <c r="AG290" s="897">
        <f t="shared" si="138"/>
        <v>0</v>
      </c>
      <c r="AH290" s="1113">
        <f t="shared" si="140"/>
        <v>0</v>
      </c>
      <c r="AI290" s="897">
        <f t="shared" si="141"/>
        <v>0</v>
      </c>
    </row>
    <row r="291" spans="1:35" x14ac:dyDescent="0.2">
      <c r="A291" s="339">
        <v>2012</v>
      </c>
      <c r="B291" s="353">
        <v>0</v>
      </c>
      <c r="C291" s="354">
        <v>0</v>
      </c>
      <c r="D291" s="354">
        <v>0</v>
      </c>
      <c r="E291" s="354">
        <v>0</v>
      </c>
      <c r="F291" s="354">
        <v>0</v>
      </c>
      <c r="G291" s="354">
        <v>0</v>
      </c>
      <c r="H291" s="354">
        <v>0</v>
      </c>
      <c r="I291" s="354">
        <v>0</v>
      </c>
      <c r="J291" s="354">
        <v>0</v>
      </c>
      <c r="K291" s="354">
        <v>0</v>
      </c>
      <c r="L291" s="365">
        <v>0</v>
      </c>
      <c r="M291" s="305">
        <f t="shared" si="132"/>
        <v>0</v>
      </c>
      <c r="N291" s="307">
        <f t="shared" si="133"/>
        <v>0</v>
      </c>
      <c r="O291" s="353">
        <v>0</v>
      </c>
      <c r="P291" s="354">
        <v>0</v>
      </c>
      <c r="Q291" s="354">
        <v>0</v>
      </c>
      <c r="R291" s="354">
        <v>0</v>
      </c>
      <c r="S291" s="354">
        <v>0</v>
      </c>
      <c r="T291" s="354">
        <v>0</v>
      </c>
      <c r="U291" s="354">
        <v>0</v>
      </c>
      <c r="V291" s="354">
        <v>0</v>
      </c>
      <c r="W291" s="354">
        <v>0</v>
      </c>
      <c r="X291" s="354">
        <v>0</v>
      </c>
      <c r="Y291" s="365">
        <v>0</v>
      </c>
      <c r="Z291" s="305">
        <f t="shared" si="134"/>
        <v>0</v>
      </c>
      <c r="AA291" s="307">
        <f t="shared" si="135"/>
        <v>0</v>
      </c>
      <c r="AB291" s="91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1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920">
        <f t="shared" si="139"/>
        <v>0</v>
      </c>
      <c r="AE291" s="897">
        <f t="shared" si="136"/>
        <v>0</v>
      </c>
      <c r="AF291" s="897">
        <f t="shared" si="137"/>
        <v>0</v>
      </c>
      <c r="AG291" s="897">
        <f t="shared" si="138"/>
        <v>0</v>
      </c>
      <c r="AH291" s="1113">
        <f t="shared" si="140"/>
        <v>0</v>
      </c>
      <c r="AI291" s="897">
        <f t="shared" si="141"/>
        <v>0</v>
      </c>
    </row>
    <row r="292" spans="1:35" x14ac:dyDescent="0.2">
      <c r="A292" s="339">
        <v>2013</v>
      </c>
      <c r="B292" s="353">
        <v>0</v>
      </c>
      <c r="C292" s="354">
        <v>0</v>
      </c>
      <c r="D292" s="354">
        <v>0</v>
      </c>
      <c r="E292" s="354">
        <v>0</v>
      </c>
      <c r="F292" s="354">
        <v>0</v>
      </c>
      <c r="G292" s="354">
        <v>0</v>
      </c>
      <c r="H292" s="354">
        <v>0</v>
      </c>
      <c r="I292" s="354">
        <v>0</v>
      </c>
      <c r="J292" s="354">
        <v>0</v>
      </c>
      <c r="K292" s="354">
        <v>0</v>
      </c>
      <c r="L292" s="365">
        <v>0</v>
      </c>
      <c r="M292" s="305">
        <f t="shared" si="132"/>
        <v>0</v>
      </c>
      <c r="N292" s="307">
        <f t="shared" si="133"/>
        <v>0</v>
      </c>
      <c r="O292" s="353">
        <v>0</v>
      </c>
      <c r="P292" s="354">
        <v>0</v>
      </c>
      <c r="Q292" s="354">
        <v>0</v>
      </c>
      <c r="R292" s="354">
        <v>0</v>
      </c>
      <c r="S292" s="354">
        <v>0</v>
      </c>
      <c r="T292" s="354">
        <v>0</v>
      </c>
      <c r="U292" s="354">
        <v>0</v>
      </c>
      <c r="V292" s="354">
        <v>0</v>
      </c>
      <c r="W292" s="354">
        <v>0</v>
      </c>
      <c r="X292" s="354">
        <v>0</v>
      </c>
      <c r="Y292" s="365">
        <v>0</v>
      </c>
      <c r="Z292" s="305">
        <f t="shared" si="134"/>
        <v>0</v>
      </c>
      <c r="AA292" s="307">
        <f t="shared" si="135"/>
        <v>0</v>
      </c>
      <c r="AB292" s="91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1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920">
        <f t="shared" si="139"/>
        <v>0</v>
      </c>
      <c r="AE292" s="897">
        <f t="shared" si="136"/>
        <v>0</v>
      </c>
      <c r="AF292" s="897">
        <f t="shared" si="137"/>
        <v>0</v>
      </c>
      <c r="AG292" s="897">
        <f t="shared" si="138"/>
        <v>0</v>
      </c>
      <c r="AH292" s="1113">
        <f t="shared" si="140"/>
        <v>0</v>
      </c>
      <c r="AI292" s="897">
        <f t="shared" si="141"/>
        <v>0</v>
      </c>
    </row>
    <row r="293" spans="1:35" x14ac:dyDescent="0.2">
      <c r="A293" s="339">
        <v>2014</v>
      </c>
      <c r="B293" s="353">
        <v>0</v>
      </c>
      <c r="C293" s="354">
        <v>0</v>
      </c>
      <c r="D293" s="354">
        <v>0</v>
      </c>
      <c r="E293" s="354">
        <v>0</v>
      </c>
      <c r="F293" s="354">
        <v>0</v>
      </c>
      <c r="G293" s="354">
        <v>0</v>
      </c>
      <c r="H293" s="354">
        <v>0</v>
      </c>
      <c r="I293" s="354">
        <v>0</v>
      </c>
      <c r="J293" s="354">
        <v>0</v>
      </c>
      <c r="K293" s="354">
        <v>0</v>
      </c>
      <c r="L293" s="365">
        <v>0</v>
      </c>
      <c r="M293" s="305">
        <f t="shared" si="132"/>
        <v>0</v>
      </c>
      <c r="N293" s="307">
        <f t="shared" si="133"/>
        <v>0</v>
      </c>
      <c r="O293" s="353">
        <v>0</v>
      </c>
      <c r="P293" s="354">
        <v>0</v>
      </c>
      <c r="Q293" s="354">
        <v>0</v>
      </c>
      <c r="R293" s="354">
        <v>0</v>
      </c>
      <c r="S293" s="354">
        <v>0</v>
      </c>
      <c r="T293" s="354">
        <v>0</v>
      </c>
      <c r="U293" s="354">
        <v>0</v>
      </c>
      <c r="V293" s="354">
        <v>0</v>
      </c>
      <c r="W293" s="354">
        <v>0</v>
      </c>
      <c r="X293" s="354">
        <v>0</v>
      </c>
      <c r="Y293" s="365">
        <v>0</v>
      </c>
      <c r="Z293" s="305">
        <f t="shared" si="134"/>
        <v>0</v>
      </c>
      <c r="AA293" s="307">
        <f t="shared" si="135"/>
        <v>0</v>
      </c>
      <c r="AB293" s="91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1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920">
        <f t="shared" si="139"/>
        <v>0</v>
      </c>
      <c r="AE293" s="897">
        <f t="shared" si="136"/>
        <v>0</v>
      </c>
      <c r="AF293" s="897">
        <f t="shared" si="137"/>
        <v>0</v>
      </c>
      <c r="AG293" s="897">
        <f t="shared" si="138"/>
        <v>0</v>
      </c>
      <c r="AH293" s="1113">
        <f t="shared" si="140"/>
        <v>0</v>
      </c>
      <c r="AI293" s="897">
        <f t="shared" si="141"/>
        <v>0</v>
      </c>
    </row>
    <row r="294" spans="1:35" ht="13.5" thickBot="1" x14ac:dyDescent="0.25">
      <c r="A294" s="337">
        <v>2015</v>
      </c>
      <c r="B294" s="355">
        <v>0</v>
      </c>
      <c r="C294" s="356">
        <v>0</v>
      </c>
      <c r="D294" s="356">
        <v>0</v>
      </c>
      <c r="E294" s="356">
        <v>0</v>
      </c>
      <c r="F294" s="356">
        <v>0</v>
      </c>
      <c r="G294" s="356">
        <v>0</v>
      </c>
      <c r="H294" s="356">
        <v>0</v>
      </c>
      <c r="I294" s="356">
        <v>0</v>
      </c>
      <c r="J294" s="356">
        <v>0</v>
      </c>
      <c r="K294" s="356">
        <v>0</v>
      </c>
      <c r="L294" s="366">
        <v>0</v>
      </c>
      <c r="M294" s="319">
        <f t="shared" si="132"/>
        <v>0</v>
      </c>
      <c r="N294" s="321">
        <f t="shared" si="133"/>
        <v>0</v>
      </c>
      <c r="O294" s="355">
        <v>0</v>
      </c>
      <c r="P294" s="356">
        <v>0</v>
      </c>
      <c r="Q294" s="356">
        <v>0</v>
      </c>
      <c r="R294" s="356">
        <v>0</v>
      </c>
      <c r="S294" s="356">
        <v>0</v>
      </c>
      <c r="T294" s="356">
        <v>0</v>
      </c>
      <c r="U294" s="356">
        <v>0</v>
      </c>
      <c r="V294" s="356">
        <v>0</v>
      </c>
      <c r="W294" s="356">
        <v>0</v>
      </c>
      <c r="X294" s="356">
        <v>0</v>
      </c>
      <c r="Y294" s="366">
        <v>0</v>
      </c>
      <c r="Z294" s="319">
        <f t="shared" si="134"/>
        <v>0</v>
      </c>
      <c r="AA294" s="321">
        <f t="shared" si="135"/>
        <v>0</v>
      </c>
      <c r="AB294" s="91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1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920">
        <f t="shared" si="139"/>
        <v>0</v>
      </c>
      <c r="AE294" s="897">
        <f t="shared" si="136"/>
        <v>0</v>
      </c>
      <c r="AF294" s="897">
        <f t="shared" si="137"/>
        <v>0</v>
      </c>
      <c r="AG294" s="897">
        <f t="shared" si="138"/>
        <v>0</v>
      </c>
      <c r="AH294" s="1113">
        <f t="shared" si="140"/>
        <v>0</v>
      </c>
      <c r="AI294" s="897">
        <f t="shared" si="141"/>
        <v>0</v>
      </c>
    </row>
    <row r="295" spans="1:35" x14ac:dyDescent="0.2">
      <c r="A295" s="338">
        <v>2016</v>
      </c>
      <c r="B295" s="351">
        <v>0</v>
      </c>
      <c r="C295" s="352">
        <v>0</v>
      </c>
      <c r="D295" s="352">
        <v>0</v>
      </c>
      <c r="E295" s="352">
        <v>0</v>
      </c>
      <c r="F295" s="352">
        <v>0</v>
      </c>
      <c r="G295" s="352">
        <v>0</v>
      </c>
      <c r="H295" s="352">
        <v>0</v>
      </c>
      <c r="I295" s="352">
        <v>0</v>
      </c>
      <c r="J295" s="352">
        <v>0</v>
      </c>
      <c r="K295" s="352">
        <v>0</v>
      </c>
      <c r="L295" s="364">
        <v>0</v>
      </c>
      <c r="M295" s="291">
        <f t="shared" si="132"/>
        <v>0</v>
      </c>
      <c r="N295" s="293">
        <f t="shared" si="133"/>
        <v>0</v>
      </c>
      <c r="O295" s="351">
        <v>0</v>
      </c>
      <c r="P295" s="352">
        <v>0</v>
      </c>
      <c r="Q295" s="352">
        <v>0</v>
      </c>
      <c r="R295" s="352">
        <v>0</v>
      </c>
      <c r="S295" s="352">
        <v>0</v>
      </c>
      <c r="T295" s="352">
        <v>0</v>
      </c>
      <c r="U295" s="352">
        <v>0</v>
      </c>
      <c r="V295" s="352">
        <v>0</v>
      </c>
      <c r="W295" s="352">
        <v>0</v>
      </c>
      <c r="X295" s="352">
        <v>0</v>
      </c>
      <c r="Y295" s="364">
        <v>0</v>
      </c>
      <c r="Z295" s="291">
        <f t="shared" si="134"/>
        <v>0</v>
      </c>
      <c r="AA295" s="293">
        <f t="shared" si="135"/>
        <v>0</v>
      </c>
      <c r="AB295" s="91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1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920">
        <f t="shared" si="139"/>
        <v>0</v>
      </c>
      <c r="AE295" s="897">
        <f t="shared" si="136"/>
        <v>0</v>
      </c>
      <c r="AF295" s="897">
        <f t="shared" si="137"/>
        <v>0</v>
      </c>
      <c r="AG295" s="897">
        <f t="shared" si="138"/>
        <v>0</v>
      </c>
      <c r="AH295" s="1113">
        <f t="shared" si="140"/>
        <v>0</v>
      </c>
      <c r="AI295" s="897">
        <f t="shared" si="141"/>
        <v>0</v>
      </c>
    </row>
    <row r="296" spans="1:35" x14ac:dyDescent="0.2">
      <c r="A296" s="339">
        <v>2017</v>
      </c>
      <c r="B296" s="353">
        <v>0</v>
      </c>
      <c r="C296" s="354">
        <v>0</v>
      </c>
      <c r="D296" s="354">
        <v>0</v>
      </c>
      <c r="E296" s="354">
        <v>0</v>
      </c>
      <c r="F296" s="354">
        <v>0</v>
      </c>
      <c r="G296" s="354">
        <v>0</v>
      </c>
      <c r="H296" s="354">
        <v>0</v>
      </c>
      <c r="I296" s="354">
        <v>0</v>
      </c>
      <c r="J296" s="354">
        <v>0</v>
      </c>
      <c r="K296" s="354">
        <v>0</v>
      </c>
      <c r="L296" s="365">
        <v>0</v>
      </c>
      <c r="M296" s="305">
        <f t="shared" si="132"/>
        <v>0</v>
      </c>
      <c r="N296" s="307">
        <f t="shared" si="133"/>
        <v>0</v>
      </c>
      <c r="O296" s="353">
        <v>0</v>
      </c>
      <c r="P296" s="354">
        <v>0</v>
      </c>
      <c r="Q296" s="354">
        <v>0</v>
      </c>
      <c r="R296" s="354">
        <v>0</v>
      </c>
      <c r="S296" s="354">
        <v>0</v>
      </c>
      <c r="T296" s="354">
        <v>0</v>
      </c>
      <c r="U296" s="354">
        <v>0</v>
      </c>
      <c r="V296" s="354">
        <v>0</v>
      </c>
      <c r="W296" s="354">
        <v>0</v>
      </c>
      <c r="X296" s="354">
        <v>0</v>
      </c>
      <c r="Y296" s="365">
        <v>0</v>
      </c>
      <c r="Z296" s="305">
        <f t="shared" si="134"/>
        <v>0</v>
      </c>
      <c r="AA296" s="307">
        <f t="shared" si="135"/>
        <v>0</v>
      </c>
      <c r="AB296" s="91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1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920">
        <f t="shared" si="139"/>
        <v>0</v>
      </c>
      <c r="AE296" s="897">
        <f t="shared" si="136"/>
        <v>0</v>
      </c>
      <c r="AF296" s="897">
        <f t="shared" si="137"/>
        <v>0</v>
      </c>
      <c r="AG296" s="897">
        <f t="shared" si="138"/>
        <v>0</v>
      </c>
      <c r="AH296" s="1113">
        <f t="shared" si="140"/>
        <v>0</v>
      </c>
      <c r="AI296" s="897">
        <f t="shared" si="141"/>
        <v>0</v>
      </c>
    </row>
    <row r="297" spans="1:35" x14ac:dyDescent="0.2">
      <c r="A297" s="339">
        <v>2018</v>
      </c>
      <c r="B297" s="353">
        <v>0</v>
      </c>
      <c r="C297" s="354">
        <v>0</v>
      </c>
      <c r="D297" s="354">
        <v>0</v>
      </c>
      <c r="E297" s="354">
        <v>0</v>
      </c>
      <c r="F297" s="354">
        <v>0</v>
      </c>
      <c r="G297" s="354">
        <v>0</v>
      </c>
      <c r="H297" s="354">
        <v>0</v>
      </c>
      <c r="I297" s="354">
        <v>0</v>
      </c>
      <c r="J297" s="354">
        <v>0</v>
      </c>
      <c r="K297" s="354">
        <v>0</v>
      </c>
      <c r="L297" s="365">
        <v>0</v>
      </c>
      <c r="M297" s="305">
        <f t="shared" si="132"/>
        <v>0</v>
      </c>
      <c r="N297" s="307">
        <f t="shared" si="133"/>
        <v>0</v>
      </c>
      <c r="O297" s="353">
        <v>0</v>
      </c>
      <c r="P297" s="354">
        <v>0</v>
      </c>
      <c r="Q297" s="354">
        <v>0</v>
      </c>
      <c r="R297" s="354">
        <v>0</v>
      </c>
      <c r="S297" s="354">
        <v>0</v>
      </c>
      <c r="T297" s="354">
        <v>0</v>
      </c>
      <c r="U297" s="354">
        <v>0</v>
      </c>
      <c r="V297" s="354">
        <v>0</v>
      </c>
      <c r="W297" s="354">
        <v>0</v>
      </c>
      <c r="X297" s="354">
        <v>0</v>
      </c>
      <c r="Y297" s="365">
        <v>0</v>
      </c>
      <c r="Z297" s="305">
        <f t="shared" si="134"/>
        <v>0</v>
      </c>
      <c r="AA297" s="307">
        <f t="shared" si="135"/>
        <v>0</v>
      </c>
      <c r="AB297" s="91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1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920">
        <f t="shared" si="139"/>
        <v>0</v>
      </c>
      <c r="AE297" s="897">
        <f t="shared" si="136"/>
        <v>0</v>
      </c>
      <c r="AF297" s="897">
        <f t="shared" si="137"/>
        <v>0</v>
      </c>
      <c r="AG297" s="897">
        <f t="shared" si="138"/>
        <v>0</v>
      </c>
      <c r="AH297" s="1113">
        <f t="shared" si="140"/>
        <v>0</v>
      </c>
      <c r="AI297" s="897">
        <f t="shared" si="141"/>
        <v>0</v>
      </c>
    </row>
    <row r="298" spans="1:35" x14ac:dyDescent="0.2">
      <c r="A298" s="339">
        <v>2019</v>
      </c>
      <c r="B298" s="353">
        <v>0</v>
      </c>
      <c r="C298" s="354">
        <v>0</v>
      </c>
      <c r="D298" s="354">
        <v>0</v>
      </c>
      <c r="E298" s="354">
        <v>0</v>
      </c>
      <c r="F298" s="354">
        <v>0</v>
      </c>
      <c r="G298" s="354">
        <v>0</v>
      </c>
      <c r="H298" s="354">
        <v>0</v>
      </c>
      <c r="I298" s="354">
        <v>0</v>
      </c>
      <c r="J298" s="354">
        <v>0</v>
      </c>
      <c r="K298" s="354">
        <v>0</v>
      </c>
      <c r="L298" s="365">
        <v>0</v>
      </c>
      <c r="M298" s="305">
        <f t="shared" si="132"/>
        <v>0</v>
      </c>
      <c r="N298" s="307">
        <f t="shared" si="133"/>
        <v>0</v>
      </c>
      <c r="O298" s="353">
        <v>0</v>
      </c>
      <c r="P298" s="354">
        <v>0</v>
      </c>
      <c r="Q298" s="354">
        <v>0</v>
      </c>
      <c r="R298" s="354">
        <v>0</v>
      </c>
      <c r="S298" s="354">
        <v>0</v>
      </c>
      <c r="T298" s="354">
        <v>0</v>
      </c>
      <c r="U298" s="354">
        <v>0</v>
      </c>
      <c r="V298" s="354">
        <v>0</v>
      </c>
      <c r="W298" s="354">
        <v>0</v>
      </c>
      <c r="X298" s="354">
        <v>0</v>
      </c>
      <c r="Y298" s="365">
        <v>0</v>
      </c>
      <c r="Z298" s="305">
        <f t="shared" si="134"/>
        <v>0</v>
      </c>
      <c r="AA298" s="307">
        <f t="shared" si="135"/>
        <v>0</v>
      </c>
      <c r="AB298" s="91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1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920">
        <f t="shared" si="139"/>
        <v>0</v>
      </c>
      <c r="AE298" s="897">
        <f t="shared" si="136"/>
        <v>0</v>
      </c>
      <c r="AF298" s="897">
        <f t="shared" si="137"/>
        <v>0</v>
      </c>
      <c r="AG298" s="897">
        <f t="shared" si="138"/>
        <v>0</v>
      </c>
      <c r="AH298" s="1113">
        <f t="shared" si="140"/>
        <v>0</v>
      </c>
      <c r="AI298" s="897">
        <f t="shared" si="141"/>
        <v>0</v>
      </c>
    </row>
    <row r="299" spans="1:35" ht="13.5" thickBot="1" x14ac:dyDescent="0.25">
      <c r="A299" s="337">
        <v>2020</v>
      </c>
      <c r="B299" s="355">
        <v>0</v>
      </c>
      <c r="C299" s="356">
        <v>0</v>
      </c>
      <c r="D299" s="356">
        <v>0</v>
      </c>
      <c r="E299" s="356">
        <v>0</v>
      </c>
      <c r="F299" s="356">
        <v>0</v>
      </c>
      <c r="G299" s="356">
        <v>0</v>
      </c>
      <c r="H299" s="356">
        <v>0</v>
      </c>
      <c r="I299" s="356">
        <v>0</v>
      </c>
      <c r="J299" s="356">
        <v>0</v>
      </c>
      <c r="K299" s="356">
        <v>0</v>
      </c>
      <c r="L299" s="366">
        <v>0</v>
      </c>
      <c r="M299" s="319">
        <f t="shared" si="132"/>
        <v>0</v>
      </c>
      <c r="N299" s="321">
        <f t="shared" si="133"/>
        <v>0</v>
      </c>
      <c r="O299" s="355">
        <v>0</v>
      </c>
      <c r="P299" s="356">
        <v>0</v>
      </c>
      <c r="Q299" s="356">
        <v>0</v>
      </c>
      <c r="R299" s="356">
        <v>0</v>
      </c>
      <c r="S299" s="356">
        <v>0</v>
      </c>
      <c r="T299" s="356">
        <v>0</v>
      </c>
      <c r="U299" s="356">
        <v>0</v>
      </c>
      <c r="V299" s="356">
        <v>0</v>
      </c>
      <c r="W299" s="356">
        <v>0</v>
      </c>
      <c r="X299" s="356">
        <v>0</v>
      </c>
      <c r="Y299" s="366">
        <v>0</v>
      </c>
      <c r="Z299" s="319">
        <f t="shared" si="134"/>
        <v>0</v>
      </c>
      <c r="AA299" s="321">
        <f t="shared" si="135"/>
        <v>0</v>
      </c>
      <c r="AB299" s="91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1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920">
        <f t="shared" si="139"/>
        <v>0</v>
      </c>
      <c r="AE299" s="897">
        <f t="shared" si="136"/>
        <v>0</v>
      </c>
      <c r="AF299" s="897">
        <f t="shared" si="137"/>
        <v>0</v>
      </c>
      <c r="AG299" s="897">
        <f t="shared" si="138"/>
        <v>0</v>
      </c>
      <c r="AH299" s="1113">
        <f t="shared" si="140"/>
        <v>0</v>
      </c>
      <c r="AI299" s="897">
        <f t="shared" si="141"/>
        <v>0</v>
      </c>
    </row>
    <row r="300" spans="1:35" x14ac:dyDescent="0.2">
      <c r="A300" s="338">
        <v>2021</v>
      </c>
      <c r="B300" s="351">
        <v>0</v>
      </c>
      <c r="C300" s="352">
        <v>0</v>
      </c>
      <c r="D300" s="352">
        <v>0</v>
      </c>
      <c r="E300" s="352">
        <v>0</v>
      </c>
      <c r="F300" s="352">
        <v>0</v>
      </c>
      <c r="G300" s="352">
        <v>0</v>
      </c>
      <c r="H300" s="352">
        <v>0</v>
      </c>
      <c r="I300" s="352">
        <v>0</v>
      </c>
      <c r="J300" s="352">
        <v>0</v>
      </c>
      <c r="K300" s="352">
        <v>0</v>
      </c>
      <c r="L300" s="364">
        <v>0</v>
      </c>
      <c r="M300" s="291">
        <f t="shared" si="132"/>
        <v>0</v>
      </c>
      <c r="N300" s="293">
        <f t="shared" si="133"/>
        <v>0</v>
      </c>
      <c r="O300" s="351">
        <v>0</v>
      </c>
      <c r="P300" s="352">
        <v>0</v>
      </c>
      <c r="Q300" s="352">
        <v>0</v>
      </c>
      <c r="R300" s="352">
        <v>0</v>
      </c>
      <c r="S300" s="352">
        <v>0</v>
      </c>
      <c r="T300" s="352">
        <v>0</v>
      </c>
      <c r="U300" s="352">
        <v>0</v>
      </c>
      <c r="V300" s="352">
        <v>0</v>
      </c>
      <c r="W300" s="352">
        <v>0</v>
      </c>
      <c r="X300" s="352">
        <v>0</v>
      </c>
      <c r="Y300" s="364">
        <v>0</v>
      </c>
      <c r="Z300" s="291">
        <f t="shared" si="134"/>
        <v>0</v>
      </c>
      <c r="AA300" s="293">
        <f t="shared" si="135"/>
        <v>0</v>
      </c>
      <c r="AB300" s="91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1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920">
        <f t="shared" si="139"/>
        <v>0</v>
      </c>
      <c r="AE300" s="897">
        <f t="shared" si="136"/>
        <v>0</v>
      </c>
      <c r="AF300" s="897">
        <f t="shared" si="137"/>
        <v>0</v>
      </c>
      <c r="AG300" s="897">
        <f t="shared" si="138"/>
        <v>0</v>
      </c>
      <c r="AH300" s="1113">
        <f t="shared" si="140"/>
        <v>0</v>
      </c>
      <c r="AI300" s="897">
        <f t="shared" si="141"/>
        <v>0</v>
      </c>
    </row>
    <row r="301" spans="1:35" x14ac:dyDescent="0.2">
      <c r="A301" s="339">
        <v>2022</v>
      </c>
      <c r="B301" s="353">
        <v>0</v>
      </c>
      <c r="C301" s="354">
        <v>0</v>
      </c>
      <c r="D301" s="354">
        <v>0</v>
      </c>
      <c r="E301" s="354">
        <v>0</v>
      </c>
      <c r="F301" s="354">
        <v>0</v>
      </c>
      <c r="G301" s="354">
        <v>0</v>
      </c>
      <c r="H301" s="354">
        <v>0</v>
      </c>
      <c r="I301" s="354">
        <v>0</v>
      </c>
      <c r="J301" s="354">
        <v>0</v>
      </c>
      <c r="K301" s="354">
        <v>0</v>
      </c>
      <c r="L301" s="365">
        <v>0</v>
      </c>
      <c r="M301" s="305">
        <f t="shared" si="132"/>
        <v>0</v>
      </c>
      <c r="N301" s="307">
        <f t="shared" si="133"/>
        <v>0</v>
      </c>
      <c r="O301" s="353">
        <v>0</v>
      </c>
      <c r="P301" s="354">
        <v>0</v>
      </c>
      <c r="Q301" s="354">
        <v>0</v>
      </c>
      <c r="R301" s="354">
        <v>0</v>
      </c>
      <c r="S301" s="354">
        <v>0</v>
      </c>
      <c r="T301" s="354">
        <v>0</v>
      </c>
      <c r="U301" s="354">
        <v>0</v>
      </c>
      <c r="V301" s="354">
        <v>0</v>
      </c>
      <c r="W301" s="354">
        <v>0</v>
      </c>
      <c r="X301" s="354">
        <v>0</v>
      </c>
      <c r="Y301" s="365">
        <v>0</v>
      </c>
      <c r="Z301" s="305">
        <f t="shared" si="134"/>
        <v>0</v>
      </c>
      <c r="AA301" s="307">
        <f t="shared" si="135"/>
        <v>0</v>
      </c>
      <c r="AB301" s="91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1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920">
        <f t="shared" si="139"/>
        <v>0</v>
      </c>
      <c r="AE301" s="897">
        <f>SUMPRODUCT($B$74:$L$74,B301:L301)</f>
        <v>0</v>
      </c>
      <c r="AF301" s="897">
        <f>SUMPRODUCT($O$74:$Y$74,O301:Y301)</f>
        <v>0</v>
      </c>
      <c r="AG301" s="897">
        <f>SUM(AE301:AF301)</f>
        <v>0</v>
      </c>
      <c r="AH301" s="1113">
        <f t="shared" si="140"/>
        <v>0</v>
      </c>
      <c r="AI301" s="897">
        <f t="shared" si="141"/>
        <v>0</v>
      </c>
    </row>
    <row r="302" spans="1:35" x14ac:dyDescent="0.2">
      <c r="A302" s="339">
        <v>2023</v>
      </c>
      <c r="B302" s="353">
        <v>0</v>
      </c>
      <c r="C302" s="354">
        <v>0</v>
      </c>
      <c r="D302" s="354">
        <v>0</v>
      </c>
      <c r="E302" s="354">
        <v>0</v>
      </c>
      <c r="F302" s="354">
        <v>0</v>
      </c>
      <c r="G302" s="354">
        <v>0</v>
      </c>
      <c r="H302" s="354">
        <v>0</v>
      </c>
      <c r="I302" s="354">
        <v>0</v>
      </c>
      <c r="J302" s="354">
        <v>0</v>
      </c>
      <c r="K302" s="354">
        <v>0</v>
      </c>
      <c r="L302" s="365">
        <v>0</v>
      </c>
      <c r="M302" s="305">
        <f t="shared" si="132"/>
        <v>0</v>
      </c>
      <c r="N302" s="307">
        <f t="shared" si="133"/>
        <v>0</v>
      </c>
      <c r="O302" s="353">
        <v>0</v>
      </c>
      <c r="P302" s="354">
        <v>0</v>
      </c>
      <c r="Q302" s="354">
        <v>0</v>
      </c>
      <c r="R302" s="354">
        <v>0</v>
      </c>
      <c r="S302" s="354">
        <v>0</v>
      </c>
      <c r="T302" s="354">
        <v>0</v>
      </c>
      <c r="U302" s="354">
        <v>0</v>
      </c>
      <c r="V302" s="354">
        <v>0</v>
      </c>
      <c r="W302" s="354">
        <v>0</v>
      </c>
      <c r="X302" s="354">
        <v>0</v>
      </c>
      <c r="Y302" s="365">
        <v>0</v>
      </c>
      <c r="Z302" s="305">
        <f t="shared" si="134"/>
        <v>0</v>
      </c>
      <c r="AA302" s="307">
        <f t="shared" si="135"/>
        <v>0</v>
      </c>
      <c r="AB302" s="91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1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920">
        <f t="shared" si="139"/>
        <v>0</v>
      </c>
      <c r="AE302" s="897">
        <f t="shared" ref="AE302:AE329" si="142">SUMPRODUCT($B$74:$L$74,B302:L302)</f>
        <v>0</v>
      </c>
      <c r="AF302" s="897">
        <f t="shared" ref="AF302:AF329" si="143">SUMPRODUCT($O$74:$Y$74,O302:Y302)</f>
        <v>0</v>
      </c>
      <c r="AG302" s="897">
        <f t="shared" ref="AG302:AG329" si="144">SUM(AE302:AF302)</f>
        <v>0</v>
      </c>
      <c r="AH302" s="1113">
        <f t="shared" si="140"/>
        <v>0</v>
      </c>
      <c r="AI302" s="897">
        <f t="shared" si="141"/>
        <v>0</v>
      </c>
    </row>
    <row r="303" spans="1:35" x14ac:dyDescent="0.2">
      <c r="A303" s="339">
        <v>2024</v>
      </c>
      <c r="B303" s="353">
        <v>0</v>
      </c>
      <c r="C303" s="354">
        <v>0</v>
      </c>
      <c r="D303" s="354">
        <v>0</v>
      </c>
      <c r="E303" s="354">
        <v>0</v>
      </c>
      <c r="F303" s="354">
        <v>0</v>
      </c>
      <c r="G303" s="354">
        <v>0</v>
      </c>
      <c r="H303" s="354">
        <v>0</v>
      </c>
      <c r="I303" s="354">
        <v>0</v>
      </c>
      <c r="J303" s="354">
        <v>0</v>
      </c>
      <c r="K303" s="354">
        <v>0</v>
      </c>
      <c r="L303" s="365">
        <v>0</v>
      </c>
      <c r="M303" s="305">
        <f t="shared" si="132"/>
        <v>0</v>
      </c>
      <c r="N303" s="307">
        <f t="shared" si="133"/>
        <v>0</v>
      </c>
      <c r="O303" s="353">
        <v>0</v>
      </c>
      <c r="P303" s="354">
        <v>0</v>
      </c>
      <c r="Q303" s="354">
        <v>0</v>
      </c>
      <c r="R303" s="354">
        <v>0</v>
      </c>
      <c r="S303" s="354">
        <v>0</v>
      </c>
      <c r="T303" s="354">
        <v>0</v>
      </c>
      <c r="U303" s="354">
        <v>0</v>
      </c>
      <c r="V303" s="354">
        <v>0</v>
      </c>
      <c r="W303" s="354">
        <v>0</v>
      </c>
      <c r="X303" s="354">
        <v>0</v>
      </c>
      <c r="Y303" s="365">
        <v>0</v>
      </c>
      <c r="Z303" s="305">
        <f t="shared" si="134"/>
        <v>0</v>
      </c>
      <c r="AA303" s="307">
        <f t="shared" si="135"/>
        <v>0</v>
      </c>
      <c r="AB303" s="91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1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920">
        <f t="shared" si="139"/>
        <v>0</v>
      </c>
      <c r="AE303" s="897">
        <f t="shared" si="142"/>
        <v>0</v>
      </c>
      <c r="AF303" s="897">
        <f t="shared" si="143"/>
        <v>0</v>
      </c>
      <c r="AG303" s="897">
        <f t="shared" si="144"/>
        <v>0</v>
      </c>
      <c r="AH303" s="1113">
        <f t="shared" si="140"/>
        <v>0</v>
      </c>
      <c r="AI303" s="897">
        <f t="shared" si="141"/>
        <v>0</v>
      </c>
    </row>
    <row r="304" spans="1:35" ht="13.5" thickBot="1" x14ac:dyDescent="0.25">
      <c r="A304" s="337">
        <v>2025</v>
      </c>
      <c r="B304" s="355">
        <v>0</v>
      </c>
      <c r="C304" s="356">
        <v>0</v>
      </c>
      <c r="D304" s="356">
        <v>0</v>
      </c>
      <c r="E304" s="356">
        <v>0</v>
      </c>
      <c r="F304" s="356">
        <v>0</v>
      </c>
      <c r="G304" s="356">
        <v>0</v>
      </c>
      <c r="H304" s="356">
        <v>0</v>
      </c>
      <c r="I304" s="356">
        <v>0</v>
      </c>
      <c r="J304" s="356">
        <v>0</v>
      </c>
      <c r="K304" s="356">
        <v>0</v>
      </c>
      <c r="L304" s="366">
        <v>0</v>
      </c>
      <c r="M304" s="319">
        <f t="shared" si="132"/>
        <v>0</v>
      </c>
      <c r="N304" s="321">
        <f t="shared" si="133"/>
        <v>0</v>
      </c>
      <c r="O304" s="355">
        <v>0</v>
      </c>
      <c r="P304" s="356">
        <v>0</v>
      </c>
      <c r="Q304" s="356">
        <v>0</v>
      </c>
      <c r="R304" s="356">
        <v>0</v>
      </c>
      <c r="S304" s="356">
        <v>0</v>
      </c>
      <c r="T304" s="356">
        <v>0</v>
      </c>
      <c r="U304" s="356">
        <v>0</v>
      </c>
      <c r="V304" s="356">
        <v>0</v>
      </c>
      <c r="W304" s="356">
        <v>0</v>
      </c>
      <c r="X304" s="356">
        <v>0</v>
      </c>
      <c r="Y304" s="366">
        <v>0</v>
      </c>
      <c r="Z304" s="319">
        <f t="shared" si="134"/>
        <v>0</v>
      </c>
      <c r="AA304" s="321">
        <f t="shared" si="135"/>
        <v>0</v>
      </c>
      <c r="AB304" s="91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1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920">
        <f t="shared" si="139"/>
        <v>0</v>
      </c>
      <c r="AE304" s="897">
        <f t="shared" si="142"/>
        <v>0</v>
      </c>
      <c r="AF304" s="897">
        <f t="shared" si="143"/>
        <v>0</v>
      </c>
      <c r="AG304" s="897">
        <f t="shared" si="144"/>
        <v>0</v>
      </c>
      <c r="AH304" s="1113">
        <f t="shared" si="140"/>
        <v>0</v>
      </c>
      <c r="AI304" s="897">
        <f t="shared" si="141"/>
        <v>0</v>
      </c>
    </row>
    <row r="305" spans="1:35" x14ac:dyDescent="0.2">
      <c r="A305" s="338">
        <v>2026</v>
      </c>
      <c r="B305" s="351">
        <v>0</v>
      </c>
      <c r="C305" s="352">
        <v>0</v>
      </c>
      <c r="D305" s="352">
        <v>0</v>
      </c>
      <c r="E305" s="352">
        <v>0</v>
      </c>
      <c r="F305" s="352">
        <v>0</v>
      </c>
      <c r="G305" s="352">
        <v>0</v>
      </c>
      <c r="H305" s="352">
        <v>0</v>
      </c>
      <c r="I305" s="352">
        <v>0</v>
      </c>
      <c r="J305" s="352">
        <v>0</v>
      </c>
      <c r="K305" s="352">
        <v>0</v>
      </c>
      <c r="L305" s="364">
        <v>0</v>
      </c>
      <c r="M305" s="291">
        <f t="shared" si="132"/>
        <v>0</v>
      </c>
      <c r="N305" s="293">
        <f t="shared" si="133"/>
        <v>0</v>
      </c>
      <c r="O305" s="351">
        <v>0</v>
      </c>
      <c r="P305" s="352">
        <v>0</v>
      </c>
      <c r="Q305" s="352">
        <v>0</v>
      </c>
      <c r="R305" s="352">
        <v>0</v>
      </c>
      <c r="S305" s="352">
        <v>0</v>
      </c>
      <c r="T305" s="352">
        <v>0</v>
      </c>
      <c r="U305" s="352">
        <v>0</v>
      </c>
      <c r="V305" s="352">
        <v>0</v>
      </c>
      <c r="W305" s="352">
        <v>0</v>
      </c>
      <c r="X305" s="352">
        <v>0</v>
      </c>
      <c r="Y305" s="364">
        <v>0</v>
      </c>
      <c r="Z305" s="291">
        <f t="shared" si="134"/>
        <v>0</v>
      </c>
      <c r="AA305" s="293">
        <f t="shared" si="135"/>
        <v>0</v>
      </c>
      <c r="AB305" s="91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1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920">
        <f t="shared" si="139"/>
        <v>0</v>
      </c>
      <c r="AE305" s="897">
        <f t="shared" si="142"/>
        <v>0</v>
      </c>
      <c r="AF305" s="897">
        <f t="shared" si="143"/>
        <v>0</v>
      </c>
      <c r="AG305" s="897">
        <f t="shared" si="144"/>
        <v>0</v>
      </c>
      <c r="AH305" s="1113">
        <f t="shared" si="140"/>
        <v>0</v>
      </c>
      <c r="AI305" s="897">
        <f t="shared" si="141"/>
        <v>0</v>
      </c>
    </row>
    <row r="306" spans="1:35" x14ac:dyDescent="0.2">
      <c r="A306" s="339">
        <v>2027</v>
      </c>
      <c r="B306" s="353">
        <v>0</v>
      </c>
      <c r="C306" s="354">
        <v>0</v>
      </c>
      <c r="D306" s="354">
        <v>0</v>
      </c>
      <c r="E306" s="354">
        <v>0</v>
      </c>
      <c r="F306" s="354">
        <v>0</v>
      </c>
      <c r="G306" s="354">
        <v>0</v>
      </c>
      <c r="H306" s="354">
        <v>0</v>
      </c>
      <c r="I306" s="354">
        <v>0</v>
      </c>
      <c r="J306" s="354">
        <v>0</v>
      </c>
      <c r="K306" s="354">
        <v>0</v>
      </c>
      <c r="L306" s="365">
        <v>0</v>
      </c>
      <c r="M306" s="305">
        <f t="shared" si="132"/>
        <v>0</v>
      </c>
      <c r="N306" s="307">
        <f t="shared" si="133"/>
        <v>0</v>
      </c>
      <c r="O306" s="353">
        <v>0</v>
      </c>
      <c r="P306" s="354">
        <v>0</v>
      </c>
      <c r="Q306" s="354">
        <v>0</v>
      </c>
      <c r="R306" s="354">
        <v>0</v>
      </c>
      <c r="S306" s="354">
        <v>0</v>
      </c>
      <c r="T306" s="354">
        <v>0</v>
      </c>
      <c r="U306" s="354">
        <v>0</v>
      </c>
      <c r="V306" s="354">
        <v>0</v>
      </c>
      <c r="W306" s="354">
        <v>0</v>
      </c>
      <c r="X306" s="354">
        <v>0</v>
      </c>
      <c r="Y306" s="365">
        <v>0</v>
      </c>
      <c r="Z306" s="305">
        <f t="shared" si="134"/>
        <v>0</v>
      </c>
      <c r="AA306" s="307">
        <f t="shared" si="135"/>
        <v>0</v>
      </c>
      <c r="AB306" s="91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1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920">
        <f t="shared" si="139"/>
        <v>0</v>
      </c>
      <c r="AE306" s="897">
        <f t="shared" si="142"/>
        <v>0</v>
      </c>
      <c r="AF306" s="897">
        <f t="shared" si="143"/>
        <v>0</v>
      </c>
      <c r="AG306" s="897">
        <f t="shared" si="144"/>
        <v>0</v>
      </c>
      <c r="AH306" s="1113">
        <f t="shared" si="140"/>
        <v>0</v>
      </c>
      <c r="AI306" s="897">
        <f t="shared" si="141"/>
        <v>0</v>
      </c>
    </row>
    <row r="307" spans="1:35" x14ac:dyDescent="0.2">
      <c r="A307" s="339">
        <v>2028</v>
      </c>
      <c r="B307" s="353">
        <v>0</v>
      </c>
      <c r="C307" s="354">
        <v>0</v>
      </c>
      <c r="D307" s="354">
        <v>0</v>
      </c>
      <c r="E307" s="354">
        <v>0</v>
      </c>
      <c r="F307" s="354">
        <v>0</v>
      </c>
      <c r="G307" s="354">
        <v>0</v>
      </c>
      <c r="H307" s="354">
        <v>0</v>
      </c>
      <c r="I307" s="354">
        <v>0</v>
      </c>
      <c r="J307" s="354">
        <v>0</v>
      </c>
      <c r="K307" s="354">
        <v>0</v>
      </c>
      <c r="L307" s="365">
        <v>0</v>
      </c>
      <c r="M307" s="305">
        <f t="shared" si="132"/>
        <v>0</v>
      </c>
      <c r="N307" s="307">
        <f t="shared" si="133"/>
        <v>0</v>
      </c>
      <c r="O307" s="353">
        <v>0</v>
      </c>
      <c r="P307" s="354">
        <v>0</v>
      </c>
      <c r="Q307" s="354">
        <v>0</v>
      </c>
      <c r="R307" s="354">
        <v>0</v>
      </c>
      <c r="S307" s="354">
        <v>0</v>
      </c>
      <c r="T307" s="354">
        <v>0</v>
      </c>
      <c r="U307" s="354">
        <v>0</v>
      </c>
      <c r="V307" s="354">
        <v>0</v>
      </c>
      <c r="W307" s="354">
        <v>0</v>
      </c>
      <c r="X307" s="354">
        <v>0</v>
      </c>
      <c r="Y307" s="365">
        <v>0</v>
      </c>
      <c r="Z307" s="305">
        <f t="shared" si="134"/>
        <v>0</v>
      </c>
      <c r="AA307" s="307">
        <f t="shared" si="135"/>
        <v>0</v>
      </c>
      <c r="AB307" s="91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1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920">
        <f t="shared" si="139"/>
        <v>0</v>
      </c>
      <c r="AE307" s="897">
        <f t="shared" si="142"/>
        <v>0</v>
      </c>
      <c r="AF307" s="897">
        <f t="shared" si="143"/>
        <v>0</v>
      </c>
      <c r="AG307" s="897">
        <f t="shared" si="144"/>
        <v>0</v>
      </c>
      <c r="AH307" s="1113">
        <f t="shared" si="140"/>
        <v>0</v>
      </c>
      <c r="AI307" s="897">
        <f t="shared" si="141"/>
        <v>0</v>
      </c>
    </row>
    <row r="308" spans="1:35" x14ac:dyDescent="0.2">
      <c r="A308" s="339">
        <v>2029</v>
      </c>
      <c r="B308" s="353">
        <v>0</v>
      </c>
      <c r="C308" s="354">
        <v>0</v>
      </c>
      <c r="D308" s="354">
        <v>0</v>
      </c>
      <c r="E308" s="354">
        <v>0</v>
      </c>
      <c r="F308" s="354">
        <v>0</v>
      </c>
      <c r="G308" s="354">
        <v>0</v>
      </c>
      <c r="H308" s="354">
        <v>0</v>
      </c>
      <c r="I308" s="354">
        <v>0</v>
      </c>
      <c r="J308" s="354">
        <v>0</v>
      </c>
      <c r="K308" s="354">
        <v>0</v>
      </c>
      <c r="L308" s="365">
        <v>0</v>
      </c>
      <c r="M308" s="305">
        <f t="shared" si="132"/>
        <v>0</v>
      </c>
      <c r="N308" s="307">
        <f t="shared" si="133"/>
        <v>0</v>
      </c>
      <c r="O308" s="353">
        <v>0</v>
      </c>
      <c r="P308" s="354">
        <v>0</v>
      </c>
      <c r="Q308" s="354">
        <v>0</v>
      </c>
      <c r="R308" s="354">
        <v>0</v>
      </c>
      <c r="S308" s="354">
        <v>0</v>
      </c>
      <c r="T308" s="354">
        <v>0</v>
      </c>
      <c r="U308" s="354">
        <v>0</v>
      </c>
      <c r="V308" s="354">
        <v>0</v>
      </c>
      <c r="W308" s="354">
        <v>0</v>
      </c>
      <c r="X308" s="354">
        <v>0</v>
      </c>
      <c r="Y308" s="365">
        <v>0</v>
      </c>
      <c r="Z308" s="305">
        <f t="shared" si="134"/>
        <v>0</v>
      </c>
      <c r="AA308" s="307">
        <f t="shared" si="135"/>
        <v>0</v>
      </c>
      <c r="AB308" s="91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1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920">
        <f t="shared" si="139"/>
        <v>0</v>
      </c>
      <c r="AE308" s="897">
        <f t="shared" si="142"/>
        <v>0</v>
      </c>
      <c r="AF308" s="897">
        <f t="shared" si="143"/>
        <v>0</v>
      </c>
      <c r="AG308" s="897">
        <f t="shared" si="144"/>
        <v>0</v>
      </c>
      <c r="AH308" s="1113">
        <f t="shared" si="140"/>
        <v>0</v>
      </c>
      <c r="AI308" s="897">
        <f t="shared" si="141"/>
        <v>0</v>
      </c>
    </row>
    <row r="309" spans="1:35" ht="13.5" thickBot="1" x14ac:dyDescent="0.25">
      <c r="A309" s="337">
        <v>2030</v>
      </c>
      <c r="B309" s="355">
        <v>0</v>
      </c>
      <c r="C309" s="356">
        <v>0</v>
      </c>
      <c r="D309" s="356">
        <v>0</v>
      </c>
      <c r="E309" s="356">
        <v>0</v>
      </c>
      <c r="F309" s="356">
        <v>0</v>
      </c>
      <c r="G309" s="356">
        <v>0</v>
      </c>
      <c r="H309" s="356">
        <v>0</v>
      </c>
      <c r="I309" s="356">
        <v>0</v>
      </c>
      <c r="J309" s="356">
        <v>0</v>
      </c>
      <c r="K309" s="356">
        <v>0</v>
      </c>
      <c r="L309" s="366">
        <v>0</v>
      </c>
      <c r="M309" s="319">
        <f t="shared" si="132"/>
        <v>0</v>
      </c>
      <c r="N309" s="321">
        <f t="shared" si="133"/>
        <v>0</v>
      </c>
      <c r="O309" s="355">
        <v>0</v>
      </c>
      <c r="P309" s="356">
        <v>0</v>
      </c>
      <c r="Q309" s="356">
        <v>0</v>
      </c>
      <c r="R309" s="356">
        <v>0</v>
      </c>
      <c r="S309" s="356">
        <v>0</v>
      </c>
      <c r="T309" s="356">
        <v>0</v>
      </c>
      <c r="U309" s="356">
        <v>0</v>
      </c>
      <c r="V309" s="356">
        <v>0</v>
      </c>
      <c r="W309" s="356">
        <v>0</v>
      </c>
      <c r="X309" s="356">
        <v>0</v>
      </c>
      <c r="Y309" s="366">
        <v>0</v>
      </c>
      <c r="Z309" s="319">
        <f t="shared" si="134"/>
        <v>0</v>
      </c>
      <c r="AA309" s="321">
        <f t="shared" si="135"/>
        <v>0</v>
      </c>
      <c r="AB309" s="91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1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920">
        <f t="shared" si="139"/>
        <v>0</v>
      </c>
      <c r="AE309" s="897">
        <f t="shared" si="142"/>
        <v>0</v>
      </c>
      <c r="AF309" s="897">
        <f t="shared" si="143"/>
        <v>0</v>
      </c>
      <c r="AG309" s="897">
        <f t="shared" si="144"/>
        <v>0</v>
      </c>
      <c r="AH309" s="1113">
        <f t="shared" si="140"/>
        <v>0</v>
      </c>
      <c r="AI309" s="897">
        <f t="shared" si="141"/>
        <v>0</v>
      </c>
    </row>
    <row r="310" spans="1:35" x14ac:dyDescent="0.2">
      <c r="A310" s="338">
        <v>2031</v>
      </c>
      <c r="B310" s="351">
        <v>0</v>
      </c>
      <c r="C310" s="352">
        <v>0</v>
      </c>
      <c r="D310" s="352">
        <v>0</v>
      </c>
      <c r="E310" s="352">
        <v>0</v>
      </c>
      <c r="F310" s="352">
        <v>0</v>
      </c>
      <c r="G310" s="352">
        <v>0</v>
      </c>
      <c r="H310" s="352">
        <v>0</v>
      </c>
      <c r="I310" s="352">
        <v>0</v>
      </c>
      <c r="J310" s="352">
        <v>0</v>
      </c>
      <c r="K310" s="352">
        <v>0</v>
      </c>
      <c r="L310" s="364">
        <v>0</v>
      </c>
      <c r="M310" s="291">
        <f t="shared" si="132"/>
        <v>0</v>
      </c>
      <c r="N310" s="293">
        <f t="shared" si="133"/>
        <v>0</v>
      </c>
      <c r="O310" s="351">
        <v>0</v>
      </c>
      <c r="P310" s="352">
        <v>0</v>
      </c>
      <c r="Q310" s="352">
        <v>0</v>
      </c>
      <c r="R310" s="352">
        <v>0</v>
      </c>
      <c r="S310" s="352">
        <v>0</v>
      </c>
      <c r="T310" s="352">
        <v>0</v>
      </c>
      <c r="U310" s="352">
        <v>0</v>
      </c>
      <c r="V310" s="352">
        <v>0</v>
      </c>
      <c r="W310" s="352">
        <v>0</v>
      </c>
      <c r="X310" s="352">
        <v>0</v>
      </c>
      <c r="Y310" s="364">
        <v>0</v>
      </c>
      <c r="Z310" s="291">
        <f t="shared" si="134"/>
        <v>0</v>
      </c>
      <c r="AA310" s="293">
        <f t="shared" si="135"/>
        <v>0</v>
      </c>
      <c r="AB310" s="91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1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920">
        <f t="shared" si="139"/>
        <v>0</v>
      </c>
      <c r="AE310" s="897">
        <f t="shared" si="142"/>
        <v>0</v>
      </c>
      <c r="AF310" s="897">
        <f t="shared" si="143"/>
        <v>0</v>
      </c>
      <c r="AG310" s="897">
        <f t="shared" si="144"/>
        <v>0</v>
      </c>
      <c r="AH310" s="1113">
        <f t="shared" si="140"/>
        <v>0</v>
      </c>
      <c r="AI310" s="897">
        <f t="shared" si="141"/>
        <v>0</v>
      </c>
    </row>
    <row r="311" spans="1:35" x14ac:dyDescent="0.2">
      <c r="A311" s="339">
        <v>2032</v>
      </c>
      <c r="B311" s="353">
        <v>0</v>
      </c>
      <c r="C311" s="354">
        <v>0</v>
      </c>
      <c r="D311" s="354">
        <v>0</v>
      </c>
      <c r="E311" s="354">
        <v>0</v>
      </c>
      <c r="F311" s="354">
        <v>0</v>
      </c>
      <c r="G311" s="354">
        <v>0</v>
      </c>
      <c r="H311" s="354">
        <v>0</v>
      </c>
      <c r="I311" s="354">
        <v>0</v>
      </c>
      <c r="J311" s="354">
        <v>0</v>
      </c>
      <c r="K311" s="354">
        <v>0</v>
      </c>
      <c r="L311" s="365">
        <v>0</v>
      </c>
      <c r="M311" s="305">
        <f t="shared" si="132"/>
        <v>0</v>
      </c>
      <c r="N311" s="307">
        <f t="shared" si="133"/>
        <v>0</v>
      </c>
      <c r="O311" s="353">
        <v>0</v>
      </c>
      <c r="P311" s="354">
        <v>0</v>
      </c>
      <c r="Q311" s="354">
        <v>0</v>
      </c>
      <c r="R311" s="354">
        <v>0</v>
      </c>
      <c r="S311" s="354">
        <v>0</v>
      </c>
      <c r="T311" s="354">
        <v>0</v>
      </c>
      <c r="U311" s="354">
        <v>0</v>
      </c>
      <c r="V311" s="354">
        <v>0</v>
      </c>
      <c r="W311" s="354">
        <v>0</v>
      </c>
      <c r="X311" s="354">
        <v>0</v>
      </c>
      <c r="Y311" s="365">
        <v>0</v>
      </c>
      <c r="Z311" s="305">
        <f t="shared" si="134"/>
        <v>0</v>
      </c>
      <c r="AA311" s="307">
        <f t="shared" si="135"/>
        <v>0</v>
      </c>
      <c r="AB311" s="91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1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920">
        <f t="shared" si="139"/>
        <v>0</v>
      </c>
      <c r="AE311" s="897">
        <f t="shared" si="142"/>
        <v>0</v>
      </c>
      <c r="AF311" s="897">
        <f t="shared" si="143"/>
        <v>0</v>
      </c>
      <c r="AG311" s="897">
        <f t="shared" si="144"/>
        <v>0</v>
      </c>
      <c r="AH311" s="1113">
        <f t="shared" si="140"/>
        <v>0</v>
      </c>
      <c r="AI311" s="897">
        <f t="shared" si="141"/>
        <v>0</v>
      </c>
    </row>
    <row r="312" spans="1:35" x14ac:dyDescent="0.2">
      <c r="A312" s="339">
        <v>2033</v>
      </c>
      <c r="B312" s="353">
        <v>0</v>
      </c>
      <c r="C312" s="354">
        <v>0</v>
      </c>
      <c r="D312" s="354">
        <v>0</v>
      </c>
      <c r="E312" s="354">
        <v>0</v>
      </c>
      <c r="F312" s="354">
        <v>0</v>
      </c>
      <c r="G312" s="354">
        <v>0</v>
      </c>
      <c r="H312" s="354">
        <v>0</v>
      </c>
      <c r="I312" s="354">
        <v>0</v>
      </c>
      <c r="J312" s="354">
        <v>0</v>
      </c>
      <c r="K312" s="354">
        <v>0</v>
      </c>
      <c r="L312" s="365">
        <v>0</v>
      </c>
      <c r="M312" s="305">
        <f t="shared" si="132"/>
        <v>0</v>
      </c>
      <c r="N312" s="307">
        <f t="shared" si="133"/>
        <v>0</v>
      </c>
      <c r="O312" s="353">
        <v>0</v>
      </c>
      <c r="P312" s="354">
        <v>0</v>
      </c>
      <c r="Q312" s="354">
        <v>0</v>
      </c>
      <c r="R312" s="354">
        <v>0</v>
      </c>
      <c r="S312" s="354">
        <v>0</v>
      </c>
      <c r="T312" s="354">
        <v>0</v>
      </c>
      <c r="U312" s="354">
        <v>0</v>
      </c>
      <c r="V312" s="354">
        <v>0</v>
      </c>
      <c r="W312" s="354">
        <v>0</v>
      </c>
      <c r="X312" s="354">
        <v>0</v>
      </c>
      <c r="Y312" s="365">
        <v>0</v>
      </c>
      <c r="Z312" s="305">
        <f t="shared" si="134"/>
        <v>0</v>
      </c>
      <c r="AA312" s="307">
        <f t="shared" si="135"/>
        <v>0</v>
      </c>
      <c r="AB312" s="91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1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920">
        <f t="shared" si="139"/>
        <v>0</v>
      </c>
      <c r="AE312" s="897">
        <f t="shared" si="142"/>
        <v>0</v>
      </c>
      <c r="AF312" s="897">
        <f t="shared" si="143"/>
        <v>0</v>
      </c>
      <c r="AG312" s="897">
        <f t="shared" si="144"/>
        <v>0</v>
      </c>
      <c r="AH312" s="1113">
        <f t="shared" si="140"/>
        <v>0</v>
      </c>
      <c r="AI312" s="897">
        <f t="shared" si="141"/>
        <v>0</v>
      </c>
    </row>
    <row r="313" spans="1:35" x14ac:dyDescent="0.2">
      <c r="A313" s="339">
        <v>2034</v>
      </c>
      <c r="B313" s="353">
        <v>0</v>
      </c>
      <c r="C313" s="354">
        <v>0</v>
      </c>
      <c r="D313" s="354">
        <v>0</v>
      </c>
      <c r="E313" s="354">
        <v>0</v>
      </c>
      <c r="F313" s="354">
        <v>0</v>
      </c>
      <c r="G313" s="354">
        <v>0</v>
      </c>
      <c r="H313" s="354">
        <v>0</v>
      </c>
      <c r="I313" s="354">
        <v>0</v>
      </c>
      <c r="J313" s="354">
        <v>0</v>
      </c>
      <c r="K313" s="354">
        <v>0</v>
      </c>
      <c r="L313" s="365">
        <v>0</v>
      </c>
      <c r="M313" s="305">
        <f t="shared" si="132"/>
        <v>0</v>
      </c>
      <c r="N313" s="307">
        <f t="shared" si="133"/>
        <v>0</v>
      </c>
      <c r="O313" s="353">
        <v>0</v>
      </c>
      <c r="P313" s="354">
        <v>0</v>
      </c>
      <c r="Q313" s="354">
        <v>0</v>
      </c>
      <c r="R313" s="354">
        <v>0</v>
      </c>
      <c r="S313" s="354">
        <v>0</v>
      </c>
      <c r="T313" s="354">
        <v>0</v>
      </c>
      <c r="U313" s="354">
        <v>0</v>
      </c>
      <c r="V313" s="354">
        <v>0</v>
      </c>
      <c r="W313" s="354">
        <v>0</v>
      </c>
      <c r="X313" s="354">
        <v>0</v>
      </c>
      <c r="Y313" s="365">
        <v>0</v>
      </c>
      <c r="Z313" s="305">
        <f t="shared" si="134"/>
        <v>0</v>
      </c>
      <c r="AA313" s="307">
        <f t="shared" si="135"/>
        <v>0</v>
      </c>
      <c r="AB313" s="91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1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920">
        <f t="shared" si="139"/>
        <v>0</v>
      </c>
      <c r="AE313" s="897">
        <f t="shared" si="142"/>
        <v>0</v>
      </c>
      <c r="AF313" s="897">
        <f t="shared" si="143"/>
        <v>0</v>
      </c>
      <c r="AG313" s="897">
        <f t="shared" si="144"/>
        <v>0</v>
      </c>
      <c r="AH313" s="1113">
        <f t="shared" si="140"/>
        <v>0</v>
      </c>
      <c r="AI313" s="897">
        <f t="shared" si="141"/>
        <v>0</v>
      </c>
    </row>
    <row r="314" spans="1:35" ht="13.5" thickBot="1" x14ac:dyDescent="0.25">
      <c r="A314" s="337">
        <v>2035</v>
      </c>
      <c r="B314" s="355">
        <v>0</v>
      </c>
      <c r="C314" s="356">
        <v>0</v>
      </c>
      <c r="D314" s="356">
        <v>0</v>
      </c>
      <c r="E314" s="356">
        <v>0</v>
      </c>
      <c r="F314" s="356">
        <v>0</v>
      </c>
      <c r="G314" s="356">
        <v>0</v>
      </c>
      <c r="H314" s="356">
        <v>0</v>
      </c>
      <c r="I314" s="356">
        <v>0</v>
      </c>
      <c r="J314" s="356">
        <v>0</v>
      </c>
      <c r="K314" s="356">
        <v>0</v>
      </c>
      <c r="L314" s="366">
        <v>0</v>
      </c>
      <c r="M314" s="319">
        <f t="shared" si="132"/>
        <v>0</v>
      </c>
      <c r="N314" s="321">
        <f t="shared" si="133"/>
        <v>0</v>
      </c>
      <c r="O314" s="355">
        <v>0</v>
      </c>
      <c r="P314" s="356">
        <v>0</v>
      </c>
      <c r="Q314" s="356">
        <v>0</v>
      </c>
      <c r="R314" s="356">
        <v>0</v>
      </c>
      <c r="S314" s="356">
        <v>0</v>
      </c>
      <c r="T314" s="356">
        <v>0</v>
      </c>
      <c r="U314" s="356">
        <v>0</v>
      </c>
      <c r="V314" s="356">
        <v>0</v>
      </c>
      <c r="W314" s="356">
        <v>0</v>
      </c>
      <c r="X314" s="356">
        <v>0</v>
      </c>
      <c r="Y314" s="366">
        <v>0</v>
      </c>
      <c r="Z314" s="319">
        <f t="shared" si="134"/>
        <v>0</v>
      </c>
      <c r="AA314" s="321">
        <f t="shared" si="135"/>
        <v>0</v>
      </c>
      <c r="AB314" s="91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1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920">
        <f t="shared" si="139"/>
        <v>0</v>
      </c>
      <c r="AE314" s="897">
        <f t="shared" si="142"/>
        <v>0</v>
      </c>
      <c r="AF314" s="897">
        <f t="shared" si="143"/>
        <v>0</v>
      </c>
      <c r="AG314" s="897">
        <f t="shared" si="144"/>
        <v>0</v>
      </c>
      <c r="AH314" s="1113">
        <f t="shared" si="140"/>
        <v>0</v>
      </c>
      <c r="AI314" s="897">
        <f t="shared" si="141"/>
        <v>0</v>
      </c>
    </row>
    <row r="315" spans="1:35" x14ac:dyDescent="0.2">
      <c r="A315" s="338">
        <v>2036</v>
      </c>
      <c r="B315" s="351">
        <v>0</v>
      </c>
      <c r="C315" s="352">
        <v>0</v>
      </c>
      <c r="D315" s="352">
        <v>0</v>
      </c>
      <c r="E315" s="352">
        <v>0</v>
      </c>
      <c r="F315" s="352">
        <v>0</v>
      </c>
      <c r="G315" s="352">
        <v>0</v>
      </c>
      <c r="H315" s="352">
        <v>0</v>
      </c>
      <c r="I315" s="352">
        <v>0</v>
      </c>
      <c r="J315" s="352">
        <v>0</v>
      </c>
      <c r="K315" s="352">
        <v>0</v>
      </c>
      <c r="L315" s="364">
        <v>0</v>
      </c>
      <c r="M315" s="291">
        <f t="shared" si="132"/>
        <v>0</v>
      </c>
      <c r="N315" s="293">
        <f t="shared" si="133"/>
        <v>0</v>
      </c>
      <c r="O315" s="351">
        <v>0</v>
      </c>
      <c r="P315" s="352">
        <v>0</v>
      </c>
      <c r="Q315" s="352">
        <v>0</v>
      </c>
      <c r="R315" s="352">
        <v>0</v>
      </c>
      <c r="S315" s="352">
        <v>0</v>
      </c>
      <c r="T315" s="352">
        <v>0</v>
      </c>
      <c r="U315" s="352">
        <v>0</v>
      </c>
      <c r="V315" s="352">
        <v>0</v>
      </c>
      <c r="W315" s="352">
        <v>0</v>
      </c>
      <c r="X315" s="352">
        <v>0</v>
      </c>
      <c r="Y315" s="364">
        <v>0</v>
      </c>
      <c r="Z315" s="291">
        <f t="shared" si="134"/>
        <v>0</v>
      </c>
      <c r="AA315" s="293">
        <f t="shared" si="135"/>
        <v>0</v>
      </c>
      <c r="AB315" s="91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1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920">
        <f t="shared" si="139"/>
        <v>0</v>
      </c>
      <c r="AE315" s="897">
        <f t="shared" si="142"/>
        <v>0</v>
      </c>
      <c r="AF315" s="897">
        <f t="shared" si="143"/>
        <v>0</v>
      </c>
      <c r="AG315" s="897">
        <f t="shared" si="144"/>
        <v>0</v>
      </c>
      <c r="AH315" s="1113">
        <f t="shared" si="140"/>
        <v>0</v>
      </c>
      <c r="AI315" s="897">
        <f t="shared" si="141"/>
        <v>0</v>
      </c>
    </row>
    <row r="316" spans="1:35" x14ac:dyDescent="0.2">
      <c r="A316" s="339">
        <v>2037</v>
      </c>
      <c r="B316" s="353">
        <v>0</v>
      </c>
      <c r="C316" s="354">
        <v>0</v>
      </c>
      <c r="D316" s="354">
        <v>0</v>
      </c>
      <c r="E316" s="354">
        <v>0</v>
      </c>
      <c r="F316" s="354">
        <v>0</v>
      </c>
      <c r="G316" s="354">
        <v>0</v>
      </c>
      <c r="H316" s="354">
        <v>0</v>
      </c>
      <c r="I316" s="354">
        <v>0</v>
      </c>
      <c r="J316" s="354">
        <v>0</v>
      </c>
      <c r="K316" s="354">
        <v>0</v>
      </c>
      <c r="L316" s="365">
        <v>0</v>
      </c>
      <c r="M316" s="305">
        <f t="shared" si="132"/>
        <v>0</v>
      </c>
      <c r="N316" s="307">
        <f t="shared" si="133"/>
        <v>0</v>
      </c>
      <c r="O316" s="353">
        <v>0</v>
      </c>
      <c r="P316" s="354">
        <v>0</v>
      </c>
      <c r="Q316" s="354">
        <v>0</v>
      </c>
      <c r="R316" s="354">
        <v>0</v>
      </c>
      <c r="S316" s="354">
        <v>0</v>
      </c>
      <c r="T316" s="354">
        <v>0</v>
      </c>
      <c r="U316" s="354">
        <v>0</v>
      </c>
      <c r="V316" s="354">
        <v>0</v>
      </c>
      <c r="W316" s="354">
        <v>0</v>
      </c>
      <c r="X316" s="354">
        <v>0</v>
      </c>
      <c r="Y316" s="365">
        <v>0</v>
      </c>
      <c r="Z316" s="305">
        <f t="shared" si="134"/>
        <v>0</v>
      </c>
      <c r="AA316" s="307">
        <f t="shared" si="135"/>
        <v>0</v>
      </c>
      <c r="AB316" s="91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1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920">
        <f t="shared" si="139"/>
        <v>0</v>
      </c>
      <c r="AE316" s="897">
        <f t="shared" si="142"/>
        <v>0</v>
      </c>
      <c r="AF316" s="897">
        <f t="shared" si="143"/>
        <v>0</v>
      </c>
      <c r="AG316" s="897">
        <f t="shared" si="144"/>
        <v>0</v>
      </c>
      <c r="AH316" s="1113">
        <f t="shared" si="140"/>
        <v>0</v>
      </c>
      <c r="AI316" s="897">
        <f t="shared" si="141"/>
        <v>0</v>
      </c>
    </row>
    <row r="317" spans="1:35" x14ac:dyDescent="0.2">
      <c r="A317" s="339">
        <v>2038</v>
      </c>
      <c r="B317" s="353">
        <v>0</v>
      </c>
      <c r="C317" s="354">
        <v>0</v>
      </c>
      <c r="D317" s="354">
        <v>0</v>
      </c>
      <c r="E317" s="354">
        <v>0</v>
      </c>
      <c r="F317" s="354">
        <v>0</v>
      </c>
      <c r="G317" s="354">
        <v>0</v>
      </c>
      <c r="H317" s="354">
        <v>0</v>
      </c>
      <c r="I317" s="354">
        <v>0</v>
      </c>
      <c r="J317" s="354">
        <v>0</v>
      </c>
      <c r="K317" s="354">
        <v>0</v>
      </c>
      <c r="L317" s="365">
        <v>0</v>
      </c>
      <c r="M317" s="305">
        <f t="shared" si="132"/>
        <v>0</v>
      </c>
      <c r="N317" s="307">
        <f t="shared" si="133"/>
        <v>0</v>
      </c>
      <c r="O317" s="353">
        <v>0</v>
      </c>
      <c r="P317" s="354">
        <v>0</v>
      </c>
      <c r="Q317" s="354">
        <v>0</v>
      </c>
      <c r="R317" s="354">
        <v>0</v>
      </c>
      <c r="S317" s="354">
        <v>0</v>
      </c>
      <c r="T317" s="354">
        <v>0</v>
      </c>
      <c r="U317" s="354">
        <v>0</v>
      </c>
      <c r="V317" s="354">
        <v>0</v>
      </c>
      <c r="W317" s="354">
        <v>0</v>
      </c>
      <c r="X317" s="354">
        <v>0</v>
      </c>
      <c r="Y317" s="365">
        <v>0</v>
      </c>
      <c r="Z317" s="305">
        <f t="shared" si="134"/>
        <v>0</v>
      </c>
      <c r="AA317" s="307">
        <f t="shared" si="135"/>
        <v>0</v>
      </c>
      <c r="AB317" s="91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1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920">
        <f t="shared" si="139"/>
        <v>0</v>
      </c>
      <c r="AE317" s="897">
        <f t="shared" si="142"/>
        <v>0</v>
      </c>
      <c r="AF317" s="897">
        <f t="shared" si="143"/>
        <v>0</v>
      </c>
      <c r="AG317" s="897">
        <f t="shared" si="144"/>
        <v>0</v>
      </c>
      <c r="AH317" s="1113">
        <f t="shared" si="140"/>
        <v>0</v>
      </c>
      <c r="AI317" s="897">
        <f t="shared" si="141"/>
        <v>0</v>
      </c>
    </row>
    <row r="318" spans="1:35" x14ac:dyDescent="0.2">
      <c r="A318" s="339">
        <v>2039</v>
      </c>
      <c r="B318" s="353">
        <v>0</v>
      </c>
      <c r="C318" s="354">
        <v>0</v>
      </c>
      <c r="D318" s="354">
        <v>0</v>
      </c>
      <c r="E318" s="354">
        <v>0</v>
      </c>
      <c r="F318" s="354">
        <v>0</v>
      </c>
      <c r="G318" s="354">
        <v>0</v>
      </c>
      <c r="H318" s="354">
        <v>0</v>
      </c>
      <c r="I318" s="354">
        <v>0</v>
      </c>
      <c r="J318" s="354">
        <v>0</v>
      </c>
      <c r="K318" s="354">
        <v>0</v>
      </c>
      <c r="L318" s="365">
        <v>0</v>
      </c>
      <c r="M318" s="305">
        <f t="shared" si="132"/>
        <v>0</v>
      </c>
      <c r="N318" s="307">
        <f t="shared" si="133"/>
        <v>0</v>
      </c>
      <c r="O318" s="353">
        <v>0</v>
      </c>
      <c r="P318" s="354">
        <v>0</v>
      </c>
      <c r="Q318" s="354">
        <v>0</v>
      </c>
      <c r="R318" s="354">
        <v>0</v>
      </c>
      <c r="S318" s="354">
        <v>0</v>
      </c>
      <c r="T318" s="354">
        <v>0</v>
      </c>
      <c r="U318" s="354">
        <v>0</v>
      </c>
      <c r="V318" s="354">
        <v>0</v>
      </c>
      <c r="W318" s="354">
        <v>0</v>
      </c>
      <c r="X318" s="354">
        <v>0</v>
      </c>
      <c r="Y318" s="365">
        <v>0</v>
      </c>
      <c r="Z318" s="305">
        <f t="shared" si="134"/>
        <v>0</v>
      </c>
      <c r="AA318" s="307">
        <f t="shared" si="135"/>
        <v>0</v>
      </c>
      <c r="AB318" s="91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1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920">
        <f t="shared" si="139"/>
        <v>0</v>
      </c>
      <c r="AE318" s="897">
        <f t="shared" si="142"/>
        <v>0</v>
      </c>
      <c r="AF318" s="897">
        <f t="shared" si="143"/>
        <v>0</v>
      </c>
      <c r="AG318" s="897">
        <f t="shared" si="144"/>
        <v>0</v>
      </c>
      <c r="AH318" s="1113">
        <f t="shared" si="140"/>
        <v>0</v>
      </c>
      <c r="AI318" s="897">
        <f t="shared" si="141"/>
        <v>0</v>
      </c>
    </row>
    <row r="319" spans="1:35" ht="13.5" thickBot="1" x14ac:dyDescent="0.25">
      <c r="A319" s="337">
        <v>2040</v>
      </c>
      <c r="B319" s="355">
        <v>0</v>
      </c>
      <c r="C319" s="356">
        <v>0</v>
      </c>
      <c r="D319" s="356">
        <v>0</v>
      </c>
      <c r="E319" s="356">
        <v>0</v>
      </c>
      <c r="F319" s="356">
        <v>0</v>
      </c>
      <c r="G319" s="356">
        <v>0</v>
      </c>
      <c r="H319" s="356">
        <v>0</v>
      </c>
      <c r="I319" s="356">
        <v>0</v>
      </c>
      <c r="J319" s="356">
        <v>0</v>
      </c>
      <c r="K319" s="356">
        <v>0</v>
      </c>
      <c r="L319" s="366">
        <v>0</v>
      </c>
      <c r="M319" s="319">
        <f t="shared" si="132"/>
        <v>0</v>
      </c>
      <c r="N319" s="321">
        <f t="shared" si="133"/>
        <v>0</v>
      </c>
      <c r="O319" s="355">
        <v>0</v>
      </c>
      <c r="P319" s="356">
        <v>0</v>
      </c>
      <c r="Q319" s="356">
        <v>0</v>
      </c>
      <c r="R319" s="356">
        <v>0</v>
      </c>
      <c r="S319" s="356">
        <v>0</v>
      </c>
      <c r="T319" s="356">
        <v>0</v>
      </c>
      <c r="U319" s="356">
        <v>0</v>
      </c>
      <c r="V319" s="356">
        <v>0</v>
      </c>
      <c r="W319" s="356">
        <v>0</v>
      </c>
      <c r="X319" s="356">
        <v>0</v>
      </c>
      <c r="Y319" s="366">
        <v>0</v>
      </c>
      <c r="Z319" s="319">
        <f t="shared" si="134"/>
        <v>0</v>
      </c>
      <c r="AA319" s="321">
        <f t="shared" si="135"/>
        <v>0</v>
      </c>
      <c r="AB319" s="91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1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920">
        <f t="shared" si="139"/>
        <v>0</v>
      </c>
      <c r="AE319" s="897">
        <f t="shared" si="142"/>
        <v>0</v>
      </c>
      <c r="AF319" s="897">
        <f t="shared" si="143"/>
        <v>0</v>
      </c>
      <c r="AG319" s="897">
        <f t="shared" si="144"/>
        <v>0</v>
      </c>
      <c r="AH319" s="1113">
        <f t="shared" si="140"/>
        <v>0</v>
      </c>
      <c r="AI319" s="897">
        <f t="shared" si="141"/>
        <v>0</v>
      </c>
    </row>
    <row r="320" spans="1:35" x14ac:dyDescent="0.2">
      <c r="A320" s="338">
        <v>2041</v>
      </c>
      <c r="B320" s="351">
        <v>0</v>
      </c>
      <c r="C320" s="352">
        <v>0</v>
      </c>
      <c r="D320" s="352">
        <v>0</v>
      </c>
      <c r="E320" s="352">
        <v>0</v>
      </c>
      <c r="F320" s="352">
        <v>0</v>
      </c>
      <c r="G320" s="352">
        <v>0</v>
      </c>
      <c r="H320" s="352">
        <v>0</v>
      </c>
      <c r="I320" s="352">
        <v>0</v>
      </c>
      <c r="J320" s="352">
        <v>0</v>
      </c>
      <c r="K320" s="352">
        <v>0</v>
      </c>
      <c r="L320" s="364">
        <v>0</v>
      </c>
      <c r="M320" s="291">
        <f t="shared" si="132"/>
        <v>0</v>
      </c>
      <c r="N320" s="293">
        <f t="shared" si="133"/>
        <v>0</v>
      </c>
      <c r="O320" s="351">
        <v>0</v>
      </c>
      <c r="P320" s="352">
        <v>0</v>
      </c>
      <c r="Q320" s="352">
        <v>0</v>
      </c>
      <c r="R320" s="352">
        <v>0</v>
      </c>
      <c r="S320" s="352">
        <v>0</v>
      </c>
      <c r="T320" s="352">
        <v>0</v>
      </c>
      <c r="U320" s="352">
        <v>0</v>
      </c>
      <c r="V320" s="352">
        <v>0</v>
      </c>
      <c r="W320" s="352">
        <v>0</v>
      </c>
      <c r="X320" s="352">
        <v>0</v>
      </c>
      <c r="Y320" s="364">
        <v>0</v>
      </c>
      <c r="Z320" s="291">
        <f t="shared" si="134"/>
        <v>0</v>
      </c>
      <c r="AA320" s="293">
        <f t="shared" si="135"/>
        <v>0</v>
      </c>
      <c r="AB320" s="91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1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920">
        <f t="shared" si="139"/>
        <v>0</v>
      </c>
      <c r="AE320" s="897">
        <f t="shared" si="142"/>
        <v>0</v>
      </c>
      <c r="AF320" s="897">
        <f t="shared" si="143"/>
        <v>0</v>
      </c>
      <c r="AG320" s="897">
        <f t="shared" si="144"/>
        <v>0</v>
      </c>
      <c r="AH320" s="1113">
        <f t="shared" si="140"/>
        <v>0</v>
      </c>
      <c r="AI320" s="897">
        <f t="shared" si="141"/>
        <v>0</v>
      </c>
    </row>
    <row r="321" spans="1:35" x14ac:dyDescent="0.2">
      <c r="A321" s="339">
        <v>2042</v>
      </c>
      <c r="B321" s="353">
        <v>0</v>
      </c>
      <c r="C321" s="354">
        <v>0</v>
      </c>
      <c r="D321" s="354">
        <v>0</v>
      </c>
      <c r="E321" s="354">
        <v>0</v>
      </c>
      <c r="F321" s="354">
        <v>0</v>
      </c>
      <c r="G321" s="354">
        <v>0</v>
      </c>
      <c r="H321" s="354">
        <v>0</v>
      </c>
      <c r="I321" s="354">
        <v>0</v>
      </c>
      <c r="J321" s="354">
        <v>0</v>
      </c>
      <c r="K321" s="354">
        <v>0</v>
      </c>
      <c r="L321" s="365">
        <v>0</v>
      </c>
      <c r="M321" s="305">
        <f t="shared" si="132"/>
        <v>0</v>
      </c>
      <c r="N321" s="307">
        <f t="shared" si="133"/>
        <v>0</v>
      </c>
      <c r="O321" s="353">
        <v>0</v>
      </c>
      <c r="P321" s="354">
        <v>0</v>
      </c>
      <c r="Q321" s="354">
        <v>0</v>
      </c>
      <c r="R321" s="354">
        <v>0</v>
      </c>
      <c r="S321" s="354">
        <v>0</v>
      </c>
      <c r="T321" s="354">
        <v>0</v>
      </c>
      <c r="U321" s="354">
        <v>0</v>
      </c>
      <c r="V321" s="354">
        <v>0</v>
      </c>
      <c r="W321" s="354">
        <v>0</v>
      </c>
      <c r="X321" s="354">
        <v>0</v>
      </c>
      <c r="Y321" s="365">
        <v>0</v>
      </c>
      <c r="Z321" s="305">
        <f t="shared" si="134"/>
        <v>0</v>
      </c>
      <c r="AA321" s="307">
        <f t="shared" si="135"/>
        <v>0</v>
      </c>
      <c r="AB321" s="91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1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920">
        <f t="shared" si="139"/>
        <v>0</v>
      </c>
      <c r="AE321" s="897">
        <f t="shared" si="142"/>
        <v>0</v>
      </c>
      <c r="AF321" s="897">
        <f t="shared" si="143"/>
        <v>0</v>
      </c>
      <c r="AG321" s="897">
        <f t="shared" si="144"/>
        <v>0</v>
      </c>
      <c r="AH321" s="1113">
        <f t="shared" si="140"/>
        <v>0</v>
      </c>
      <c r="AI321" s="897">
        <f t="shared" si="141"/>
        <v>0</v>
      </c>
    </row>
    <row r="322" spans="1:35" x14ac:dyDescent="0.2">
      <c r="A322" s="339">
        <v>2043</v>
      </c>
      <c r="B322" s="353">
        <v>0</v>
      </c>
      <c r="C322" s="354">
        <v>0</v>
      </c>
      <c r="D322" s="354">
        <v>0</v>
      </c>
      <c r="E322" s="354">
        <v>0</v>
      </c>
      <c r="F322" s="354">
        <v>0</v>
      </c>
      <c r="G322" s="354">
        <v>0</v>
      </c>
      <c r="H322" s="354">
        <v>0</v>
      </c>
      <c r="I322" s="354">
        <v>0</v>
      </c>
      <c r="J322" s="354">
        <v>0</v>
      </c>
      <c r="K322" s="354">
        <v>0</v>
      </c>
      <c r="L322" s="365">
        <v>0</v>
      </c>
      <c r="M322" s="305">
        <f t="shared" si="132"/>
        <v>0</v>
      </c>
      <c r="N322" s="307">
        <f t="shared" si="133"/>
        <v>0</v>
      </c>
      <c r="O322" s="353">
        <v>0</v>
      </c>
      <c r="P322" s="354">
        <v>0</v>
      </c>
      <c r="Q322" s="354">
        <v>0</v>
      </c>
      <c r="R322" s="354">
        <v>0</v>
      </c>
      <c r="S322" s="354">
        <v>0</v>
      </c>
      <c r="T322" s="354">
        <v>0</v>
      </c>
      <c r="U322" s="354">
        <v>0</v>
      </c>
      <c r="V322" s="354">
        <v>0</v>
      </c>
      <c r="W322" s="354">
        <v>0</v>
      </c>
      <c r="X322" s="354">
        <v>0</v>
      </c>
      <c r="Y322" s="365">
        <v>0</v>
      </c>
      <c r="Z322" s="305">
        <f t="shared" si="134"/>
        <v>0</v>
      </c>
      <c r="AA322" s="307">
        <f t="shared" si="135"/>
        <v>0</v>
      </c>
      <c r="AB322" s="91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1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920">
        <f t="shared" si="139"/>
        <v>0</v>
      </c>
      <c r="AE322" s="897">
        <f t="shared" si="142"/>
        <v>0</v>
      </c>
      <c r="AF322" s="897">
        <f t="shared" si="143"/>
        <v>0</v>
      </c>
      <c r="AG322" s="897">
        <f t="shared" si="144"/>
        <v>0</v>
      </c>
      <c r="AH322" s="1113">
        <f t="shared" si="140"/>
        <v>0</v>
      </c>
      <c r="AI322" s="897">
        <f t="shared" si="141"/>
        <v>0</v>
      </c>
    </row>
    <row r="323" spans="1:35" x14ac:dyDescent="0.2">
      <c r="A323" s="339">
        <v>2044</v>
      </c>
      <c r="B323" s="353">
        <v>0</v>
      </c>
      <c r="C323" s="354">
        <v>0</v>
      </c>
      <c r="D323" s="354">
        <v>0</v>
      </c>
      <c r="E323" s="354">
        <v>0</v>
      </c>
      <c r="F323" s="354">
        <v>0</v>
      </c>
      <c r="G323" s="354">
        <v>0</v>
      </c>
      <c r="H323" s="354">
        <v>0</v>
      </c>
      <c r="I323" s="354">
        <v>0</v>
      </c>
      <c r="J323" s="354">
        <v>0</v>
      </c>
      <c r="K323" s="354">
        <v>0</v>
      </c>
      <c r="L323" s="365">
        <v>0</v>
      </c>
      <c r="M323" s="305">
        <f t="shared" si="132"/>
        <v>0</v>
      </c>
      <c r="N323" s="307">
        <f t="shared" si="133"/>
        <v>0</v>
      </c>
      <c r="O323" s="353">
        <v>0</v>
      </c>
      <c r="P323" s="354">
        <v>0</v>
      </c>
      <c r="Q323" s="354">
        <v>0</v>
      </c>
      <c r="R323" s="354">
        <v>0</v>
      </c>
      <c r="S323" s="354">
        <v>0</v>
      </c>
      <c r="T323" s="354">
        <v>0</v>
      </c>
      <c r="U323" s="354">
        <v>0</v>
      </c>
      <c r="V323" s="354">
        <v>0</v>
      </c>
      <c r="W323" s="354">
        <v>0</v>
      </c>
      <c r="X323" s="354">
        <v>0</v>
      </c>
      <c r="Y323" s="365">
        <v>0</v>
      </c>
      <c r="Z323" s="305">
        <f t="shared" si="134"/>
        <v>0</v>
      </c>
      <c r="AA323" s="307">
        <f t="shared" si="135"/>
        <v>0</v>
      </c>
      <c r="AB323" s="91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1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920">
        <f t="shared" si="139"/>
        <v>0</v>
      </c>
      <c r="AE323" s="897">
        <f t="shared" si="142"/>
        <v>0</v>
      </c>
      <c r="AF323" s="897">
        <f t="shared" si="143"/>
        <v>0</v>
      </c>
      <c r="AG323" s="897">
        <f t="shared" si="144"/>
        <v>0</v>
      </c>
      <c r="AH323" s="1113">
        <f t="shared" si="140"/>
        <v>0</v>
      </c>
      <c r="AI323" s="897">
        <f t="shared" si="141"/>
        <v>0</v>
      </c>
    </row>
    <row r="324" spans="1:35" ht="13.5" thickBot="1" x14ac:dyDescent="0.25">
      <c r="A324" s="337">
        <v>2045</v>
      </c>
      <c r="B324" s="355">
        <v>0</v>
      </c>
      <c r="C324" s="356">
        <v>0</v>
      </c>
      <c r="D324" s="356">
        <v>0</v>
      </c>
      <c r="E324" s="356">
        <v>0</v>
      </c>
      <c r="F324" s="356">
        <v>0</v>
      </c>
      <c r="G324" s="356">
        <v>0</v>
      </c>
      <c r="H324" s="356">
        <v>0</v>
      </c>
      <c r="I324" s="356">
        <v>0</v>
      </c>
      <c r="J324" s="356">
        <v>0</v>
      </c>
      <c r="K324" s="356">
        <v>0</v>
      </c>
      <c r="L324" s="366">
        <v>0</v>
      </c>
      <c r="M324" s="319">
        <f t="shared" si="132"/>
        <v>0</v>
      </c>
      <c r="N324" s="321">
        <f t="shared" si="133"/>
        <v>0</v>
      </c>
      <c r="O324" s="355">
        <v>0</v>
      </c>
      <c r="P324" s="356">
        <v>0</v>
      </c>
      <c r="Q324" s="356">
        <v>0</v>
      </c>
      <c r="R324" s="356">
        <v>0</v>
      </c>
      <c r="S324" s="356">
        <v>0</v>
      </c>
      <c r="T324" s="356">
        <v>0</v>
      </c>
      <c r="U324" s="356">
        <v>0</v>
      </c>
      <c r="V324" s="356">
        <v>0</v>
      </c>
      <c r="W324" s="356">
        <v>0</v>
      </c>
      <c r="X324" s="356">
        <v>0</v>
      </c>
      <c r="Y324" s="366">
        <v>0</v>
      </c>
      <c r="Z324" s="319">
        <f t="shared" si="134"/>
        <v>0</v>
      </c>
      <c r="AA324" s="321">
        <f t="shared" si="135"/>
        <v>0</v>
      </c>
      <c r="AB324" s="91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1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920">
        <f t="shared" si="139"/>
        <v>0</v>
      </c>
      <c r="AE324" s="897">
        <f t="shared" si="142"/>
        <v>0</v>
      </c>
      <c r="AF324" s="897">
        <f t="shared" si="143"/>
        <v>0</v>
      </c>
      <c r="AG324" s="897">
        <f t="shared" si="144"/>
        <v>0</v>
      </c>
      <c r="AH324" s="1113">
        <f t="shared" si="140"/>
        <v>0</v>
      </c>
      <c r="AI324" s="897">
        <f t="shared" si="141"/>
        <v>0</v>
      </c>
    </row>
    <row r="325" spans="1:35" x14ac:dyDescent="0.2">
      <c r="A325" s="338">
        <v>2046</v>
      </c>
      <c r="B325" s="351">
        <v>0</v>
      </c>
      <c r="C325" s="352">
        <v>0</v>
      </c>
      <c r="D325" s="352">
        <v>0</v>
      </c>
      <c r="E325" s="352">
        <v>0</v>
      </c>
      <c r="F325" s="352">
        <v>0</v>
      </c>
      <c r="G325" s="352">
        <v>0</v>
      </c>
      <c r="H325" s="352">
        <v>0</v>
      </c>
      <c r="I325" s="352">
        <v>0</v>
      </c>
      <c r="J325" s="352">
        <v>0</v>
      </c>
      <c r="K325" s="352">
        <v>0</v>
      </c>
      <c r="L325" s="364">
        <v>0</v>
      </c>
      <c r="M325" s="291">
        <f t="shared" si="132"/>
        <v>0</v>
      </c>
      <c r="N325" s="293">
        <f t="shared" si="133"/>
        <v>0</v>
      </c>
      <c r="O325" s="351">
        <v>0</v>
      </c>
      <c r="P325" s="352">
        <v>0</v>
      </c>
      <c r="Q325" s="352">
        <v>0</v>
      </c>
      <c r="R325" s="352">
        <v>0</v>
      </c>
      <c r="S325" s="352">
        <v>0</v>
      </c>
      <c r="T325" s="352">
        <v>0</v>
      </c>
      <c r="U325" s="352">
        <v>0</v>
      </c>
      <c r="V325" s="352">
        <v>0</v>
      </c>
      <c r="W325" s="352">
        <v>0</v>
      </c>
      <c r="X325" s="352">
        <v>0</v>
      </c>
      <c r="Y325" s="364">
        <v>0</v>
      </c>
      <c r="Z325" s="291">
        <f t="shared" si="134"/>
        <v>0</v>
      </c>
      <c r="AA325" s="293">
        <f t="shared" si="135"/>
        <v>0</v>
      </c>
      <c r="AB325" s="91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1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920">
        <f t="shared" si="139"/>
        <v>0</v>
      </c>
      <c r="AE325" s="897">
        <f t="shared" si="142"/>
        <v>0</v>
      </c>
      <c r="AF325" s="897">
        <f t="shared" si="143"/>
        <v>0</v>
      </c>
      <c r="AG325" s="897">
        <f t="shared" si="144"/>
        <v>0</v>
      </c>
      <c r="AH325" s="1113">
        <f t="shared" si="140"/>
        <v>0</v>
      </c>
      <c r="AI325" s="897">
        <f t="shared" si="141"/>
        <v>0</v>
      </c>
    </row>
    <row r="326" spans="1:35" x14ac:dyDescent="0.2">
      <c r="A326" s="339">
        <v>2047</v>
      </c>
      <c r="B326" s="353">
        <v>0</v>
      </c>
      <c r="C326" s="354">
        <v>0</v>
      </c>
      <c r="D326" s="354">
        <v>0</v>
      </c>
      <c r="E326" s="354">
        <v>0</v>
      </c>
      <c r="F326" s="354">
        <v>0</v>
      </c>
      <c r="G326" s="354">
        <v>0</v>
      </c>
      <c r="H326" s="354">
        <v>0</v>
      </c>
      <c r="I326" s="354">
        <v>0</v>
      </c>
      <c r="J326" s="354">
        <v>0</v>
      </c>
      <c r="K326" s="354">
        <v>0</v>
      </c>
      <c r="L326" s="365">
        <v>0</v>
      </c>
      <c r="M326" s="305">
        <f t="shared" si="132"/>
        <v>0</v>
      </c>
      <c r="N326" s="307">
        <f t="shared" si="133"/>
        <v>0</v>
      </c>
      <c r="O326" s="353">
        <v>0</v>
      </c>
      <c r="P326" s="354">
        <v>0</v>
      </c>
      <c r="Q326" s="354">
        <v>0</v>
      </c>
      <c r="R326" s="354">
        <v>0</v>
      </c>
      <c r="S326" s="354">
        <v>0</v>
      </c>
      <c r="T326" s="354">
        <v>0</v>
      </c>
      <c r="U326" s="354">
        <v>0</v>
      </c>
      <c r="V326" s="354">
        <v>0</v>
      </c>
      <c r="W326" s="354">
        <v>0</v>
      </c>
      <c r="X326" s="354">
        <v>0</v>
      </c>
      <c r="Y326" s="365">
        <v>0</v>
      </c>
      <c r="Z326" s="305">
        <f t="shared" si="134"/>
        <v>0</v>
      </c>
      <c r="AA326" s="307">
        <f t="shared" si="135"/>
        <v>0</v>
      </c>
      <c r="AB326" s="91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1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920">
        <f t="shared" si="139"/>
        <v>0</v>
      </c>
      <c r="AE326" s="897">
        <f t="shared" si="142"/>
        <v>0</v>
      </c>
      <c r="AF326" s="897">
        <f t="shared" si="143"/>
        <v>0</v>
      </c>
      <c r="AG326" s="897">
        <f t="shared" si="144"/>
        <v>0</v>
      </c>
      <c r="AH326" s="1113">
        <f t="shared" si="140"/>
        <v>0</v>
      </c>
      <c r="AI326" s="897">
        <f t="shared" si="141"/>
        <v>0</v>
      </c>
    </row>
    <row r="327" spans="1:35" x14ac:dyDescent="0.2">
      <c r="A327" s="339">
        <v>2048</v>
      </c>
      <c r="B327" s="353">
        <v>0</v>
      </c>
      <c r="C327" s="354">
        <v>0</v>
      </c>
      <c r="D327" s="354">
        <v>0</v>
      </c>
      <c r="E327" s="354">
        <v>0</v>
      </c>
      <c r="F327" s="354">
        <v>0</v>
      </c>
      <c r="G327" s="354">
        <v>0</v>
      </c>
      <c r="H327" s="354">
        <v>0</v>
      </c>
      <c r="I327" s="354">
        <v>0</v>
      </c>
      <c r="J327" s="354">
        <v>0</v>
      </c>
      <c r="K327" s="354">
        <v>0</v>
      </c>
      <c r="L327" s="365">
        <v>0</v>
      </c>
      <c r="M327" s="305">
        <f t="shared" si="132"/>
        <v>0</v>
      </c>
      <c r="N327" s="307">
        <f t="shared" si="133"/>
        <v>0</v>
      </c>
      <c r="O327" s="353">
        <v>0</v>
      </c>
      <c r="P327" s="354">
        <v>0</v>
      </c>
      <c r="Q327" s="354">
        <v>0</v>
      </c>
      <c r="R327" s="354">
        <v>0</v>
      </c>
      <c r="S327" s="354">
        <v>0</v>
      </c>
      <c r="T327" s="354">
        <v>0</v>
      </c>
      <c r="U327" s="354">
        <v>0</v>
      </c>
      <c r="V327" s="354">
        <v>0</v>
      </c>
      <c r="W327" s="354">
        <v>0</v>
      </c>
      <c r="X327" s="354">
        <v>0</v>
      </c>
      <c r="Y327" s="365">
        <v>0</v>
      </c>
      <c r="Z327" s="305">
        <f t="shared" si="134"/>
        <v>0</v>
      </c>
      <c r="AA327" s="307">
        <f t="shared" si="135"/>
        <v>0</v>
      </c>
      <c r="AB327" s="91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1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920">
        <f t="shared" si="139"/>
        <v>0</v>
      </c>
      <c r="AE327" s="897">
        <f t="shared" si="142"/>
        <v>0</v>
      </c>
      <c r="AF327" s="897">
        <f t="shared" si="143"/>
        <v>0</v>
      </c>
      <c r="AG327" s="897">
        <f t="shared" si="144"/>
        <v>0</v>
      </c>
      <c r="AH327" s="1113">
        <f t="shared" si="140"/>
        <v>0</v>
      </c>
      <c r="AI327" s="897">
        <f t="shared" si="141"/>
        <v>0</v>
      </c>
    </row>
    <row r="328" spans="1:35" x14ac:dyDescent="0.2">
      <c r="A328" s="339">
        <v>2049</v>
      </c>
      <c r="B328" s="353">
        <v>0</v>
      </c>
      <c r="C328" s="354">
        <v>0</v>
      </c>
      <c r="D328" s="354">
        <v>0</v>
      </c>
      <c r="E328" s="354">
        <v>0</v>
      </c>
      <c r="F328" s="354">
        <v>0</v>
      </c>
      <c r="G328" s="354">
        <v>0</v>
      </c>
      <c r="H328" s="354">
        <v>0</v>
      </c>
      <c r="I328" s="354">
        <v>0</v>
      </c>
      <c r="J328" s="354">
        <v>0</v>
      </c>
      <c r="K328" s="354">
        <v>0</v>
      </c>
      <c r="L328" s="365">
        <v>0</v>
      </c>
      <c r="M328" s="305">
        <f t="shared" si="132"/>
        <v>0</v>
      </c>
      <c r="N328" s="307">
        <f t="shared" si="133"/>
        <v>0</v>
      </c>
      <c r="O328" s="353">
        <v>0</v>
      </c>
      <c r="P328" s="354">
        <v>0</v>
      </c>
      <c r="Q328" s="354">
        <v>0</v>
      </c>
      <c r="R328" s="354">
        <v>0</v>
      </c>
      <c r="S328" s="354">
        <v>0</v>
      </c>
      <c r="T328" s="354">
        <v>0</v>
      </c>
      <c r="U328" s="354">
        <v>0</v>
      </c>
      <c r="V328" s="354">
        <v>0</v>
      </c>
      <c r="W328" s="354">
        <v>0</v>
      </c>
      <c r="X328" s="354">
        <v>0</v>
      </c>
      <c r="Y328" s="365">
        <v>0</v>
      </c>
      <c r="Z328" s="305">
        <f t="shared" si="134"/>
        <v>0</v>
      </c>
      <c r="AA328" s="307">
        <f t="shared" si="135"/>
        <v>0</v>
      </c>
      <c r="AB328" s="91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1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920">
        <f t="shared" si="139"/>
        <v>0</v>
      </c>
      <c r="AE328" s="897">
        <f t="shared" si="142"/>
        <v>0</v>
      </c>
      <c r="AF328" s="897">
        <f t="shared" si="143"/>
        <v>0</v>
      </c>
      <c r="AG328" s="897">
        <f t="shared" si="144"/>
        <v>0</v>
      </c>
      <c r="AH328" s="1113">
        <f t="shared" si="140"/>
        <v>0</v>
      </c>
      <c r="AI328" s="897">
        <f t="shared" si="141"/>
        <v>0</v>
      </c>
    </row>
    <row r="329" spans="1:35" ht="13.5" thickBot="1" x14ac:dyDescent="0.25">
      <c r="A329" s="337">
        <v>2050</v>
      </c>
      <c r="B329" s="355">
        <v>0</v>
      </c>
      <c r="C329" s="356">
        <v>0</v>
      </c>
      <c r="D329" s="356">
        <v>0</v>
      </c>
      <c r="E329" s="356">
        <v>0</v>
      </c>
      <c r="F329" s="356">
        <v>0</v>
      </c>
      <c r="G329" s="356">
        <v>0</v>
      </c>
      <c r="H329" s="356">
        <v>0</v>
      </c>
      <c r="I329" s="356">
        <v>0</v>
      </c>
      <c r="J329" s="356">
        <v>0</v>
      </c>
      <c r="K329" s="356">
        <v>0</v>
      </c>
      <c r="L329" s="366">
        <v>0</v>
      </c>
      <c r="M329" s="319">
        <f t="shared" si="132"/>
        <v>0</v>
      </c>
      <c r="N329" s="321">
        <f t="shared" si="133"/>
        <v>0</v>
      </c>
      <c r="O329" s="355">
        <v>0</v>
      </c>
      <c r="P329" s="356">
        <v>0</v>
      </c>
      <c r="Q329" s="356">
        <v>0</v>
      </c>
      <c r="R329" s="356">
        <v>0</v>
      </c>
      <c r="S329" s="356">
        <v>0</v>
      </c>
      <c r="T329" s="356">
        <v>0</v>
      </c>
      <c r="U329" s="356">
        <v>0</v>
      </c>
      <c r="V329" s="356">
        <v>0</v>
      </c>
      <c r="W329" s="356">
        <v>0</v>
      </c>
      <c r="X329" s="356">
        <v>0</v>
      </c>
      <c r="Y329" s="366">
        <v>0</v>
      </c>
      <c r="Z329" s="319">
        <f t="shared" si="134"/>
        <v>0</v>
      </c>
      <c r="AA329" s="321">
        <f t="shared" si="135"/>
        <v>0</v>
      </c>
      <c r="AB329" s="921">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22">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923">
        <f t="shared" si="139"/>
        <v>0</v>
      </c>
      <c r="AE329" s="897">
        <f t="shared" si="142"/>
        <v>0</v>
      </c>
      <c r="AF329" s="897">
        <f t="shared" si="143"/>
        <v>0</v>
      </c>
      <c r="AG329" s="897">
        <f t="shared" si="144"/>
        <v>0</v>
      </c>
      <c r="AH329" s="1113">
        <f t="shared" si="140"/>
        <v>0</v>
      </c>
      <c r="AI329" s="897">
        <f t="shared" si="141"/>
        <v>0</v>
      </c>
    </row>
    <row r="330" spans="1:35" x14ac:dyDescent="0.2">
      <c r="B330" s="236" t="str">
        <f>B$120</f>
        <v>Output generated: 11/04/2020 14:43</v>
      </c>
      <c r="U330" s="236" t="str">
        <f>U$120</f>
        <v>Output generated: 11/04/2020 14:43</v>
      </c>
    </row>
  </sheetData>
  <mergeCells count="44">
    <mergeCell ref="AB231:AD231"/>
    <mergeCell ref="AB284:AD284"/>
    <mergeCell ref="O174:AA174"/>
    <mergeCell ref="O175:Y175"/>
    <mergeCell ref="B175:L175"/>
    <mergeCell ref="B174:N174"/>
    <mergeCell ref="O227:Y227"/>
    <mergeCell ref="B227:L227"/>
    <mergeCell ref="O280:Y280"/>
    <mergeCell ref="B280:L280"/>
    <mergeCell ref="AK178:AV178"/>
    <mergeCell ref="AB178:AD178"/>
    <mergeCell ref="Y19:AC19"/>
    <mergeCell ref="N19:S19"/>
    <mergeCell ref="T19:X19"/>
    <mergeCell ref="O70:AA70"/>
    <mergeCell ref="B70:N70"/>
    <mergeCell ref="AB126:AD126"/>
    <mergeCell ref="AB74:AD74"/>
    <mergeCell ref="T21:X21"/>
    <mergeCell ref="B4:C4"/>
    <mergeCell ref="J9:K9"/>
    <mergeCell ref="AS19:AW19"/>
    <mergeCell ref="AI19:AM19"/>
    <mergeCell ref="BC19:BH19"/>
    <mergeCell ref="AX19:BB19"/>
    <mergeCell ref="AN19:AR19"/>
    <mergeCell ref="AD19:AH1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F20:F67 AQ20 BA20 BG20 AV20:AV67 BF39 W20 AB20:AB67 AG20:AG67 AQ22:AQ67 BA22:BA67 BG22:BG67 L20:L67 R20:R67 S24 W22:W67 AL20:AL23">
    <cfRule type="expression" dxfId="33" priority="34">
      <formula>$C$15="not used"</formula>
    </cfRule>
  </conditionalFormatting>
  <conditionalFormatting sqref="G20:G67 BH20:BH67 BB20:BB67 AW20:AW67 AR20:AR67 AH20:AH67 AC20:AC67 X20 M20:M67 S20:S23 S25:S67 X22:X67 AM20:AM23">
    <cfRule type="expression" dxfId="32" priority="33">
      <formula>$C$16="not used"</formula>
    </cfRule>
  </conditionalFormatting>
  <conditionalFormatting sqref="K20:K67 V20 AA20:AA67 AF20:AF67 AP20:AP67 AU20:AU67 AZ20:AZ67 BF20:BF67 Q20:Q67 V22:V67 AK20:AK23">
    <cfRule type="expression" dxfId="31" priority="32">
      <formula>$C$14="not used"</formula>
    </cfRule>
  </conditionalFormatting>
  <conditionalFormatting sqref="AQ21">
    <cfRule type="expression" dxfId="30" priority="29">
      <formula>$C$15="not used"</formula>
    </cfRule>
  </conditionalFormatting>
  <conditionalFormatting sqref="AR21">
    <cfRule type="expression" dxfId="29" priority="28">
      <formula>$C$16="not used"</formula>
    </cfRule>
  </conditionalFormatting>
  <conditionalFormatting sqref="AP21">
    <cfRule type="expression" dxfId="28" priority="27">
      <formula>$C$14="not used"</formula>
    </cfRule>
  </conditionalFormatting>
  <conditionalFormatting sqref="AW21">
    <cfRule type="expression" dxfId="27" priority="25">
      <formula>$C$16="not used"</formula>
    </cfRule>
  </conditionalFormatting>
  <conditionalFormatting sqref="AU21">
    <cfRule type="expression" dxfId="26" priority="24">
      <formula>$C$14="not used"</formula>
    </cfRule>
  </conditionalFormatting>
  <conditionalFormatting sqref="BA21">
    <cfRule type="expression" dxfId="25" priority="23">
      <formula>$C$15="not used"</formula>
    </cfRule>
  </conditionalFormatting>
  <conditionalFormatting sqref="BB21">
    <cfRule type="expression" dxfId="24" priority="22">
      <formula>$C$16="not used"</formula>
    </cfRule>
  </conditionalFormatting>
  <conditionalFormatting sqref="AZ21">
    <cfRule type="expression" dxfId="23" priority="21">
      <formula>$C$14="not used"</formula>
    </cfRule>
  </conditionalFormatting>
  <conditionalFormatting sqref="BF21">
    <cfRule type="expression" dxfId="22" priority="18">
      <formula>$C$14="not used"</formula>
    </cfRule>
  </conditionalFormatting>
  <conditionalFormatting sqref="BG21">
    <cfRule type="expression" dxfId="21" priority="20">
      <formula>$C$15="not used"</formula>
    </cfRule>
  </conditionalFormatting>
  <conditionalFormatting sqref="BH21">
    <cfRule type="expression" dxfId="20" priority="19">
      <formula>$C$16="not used"</formula>
    </cfRule>
  </conditionalFormatting>
  <conditionalFormatting sqref="E20:E67 K20:K67 Q20:Q67 V20 V22:V67 AA20:AA67 AF20:AF67 AK20:AK67 AP20:AP67 AU20:AU67 AZ20:AZ67 BF20:BF67">
    <cfRule type="expression" dxfId="19" priority="12">
      <formula>$C$14="not used"</formula>
    </cfRule>
  </conditionalFormatting>
  <conditionalFormatting sqref="G20">
    <cfRule type="expression" dxfId="18" priority="10">
      <formula>$C$16="not used"</formula>
    </cfRule>
  </conditionalFormatting>
  <conditionalFormatting sqref="G20">
    <cfRule type="expression" dxfId="17" priority="8">
      <formula>$C$16="not used"</formula>
    </cfRule>
  </conditionalFormatting>
  <conditionalFormatting sqref="N24">
    <cfRule type="expression" dxfId="16" priority="6">
      <formula>$C$15="not used"</formula>
    </cfRule>
  </conditionalFormatting>
  <conditionalFormatting sqref="AK24:AK67">
    <cfRule type="expression" dxfId="15" priority="3">
      <formula>$C$14="not used"</formula>
    </cfRule>
  </conditionalFormatting>
  <conditionalFormatting sqref="AL24:AL67">
    <cfRule type="expression" dxfId="14" priority="5">
      <formula>$C$15="not used"</formula>
    </cfRule>
  </conditionalFormatting>
  <conditionalFormatting sqref="AM24:AM67">
    <cfRule type="expression" dxfId="13" priority="4">
      <formula>$C$16="not used"</formula>
    </cfRule>
  </conditionalFormatting>
  <conditionalFormatting sqref="D20:D67 J20:J67 P20:P67 U20 U22:U67 Z20:Z67 AE20:AE67 AJ20:AJ67 AO20:AO67 AT20:AT67 AY20:AY67 BE20:BE67">
    <cfRule type="expression" dxfId="12" priority="2">
      <formula>$C$13="not used"</formula>
    </cfRule>
  </conditionalFormatting>
  <conditionalFormatting sqref="C20:C67 I20:I67 O20:O67 T20 T22:T67 Y20:Y67 AD20:AD67 AI20:AI67 AN20:AN67 AS20:AS67 AX20:AX67 BD20:BD67">
    <cfRule type="expression" dxfId="11" priority="1">
      <formula>$C$12="not used"</formula>
    </cfRule>
  </conditionalFormatting>
  <dataValidations disablePrompts="1" count="1">
    <dataValidation type="list" allowBlank="1" showInputMessage="1" showErrorMessage="1" sqref="E17" xr:uid="{00000000-0002-0000-05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ktPenMi">
    <tabColor indexed="17"/>
    <pageSetUpPr fitToPage="1"/>
  </sheetPr>
  <dimension ref="A1:AF64"/>
  <sheetViews>
    <sheetView showZeros="0" zoomScale="85" zoomScaleNormal="85" workbookViewId="0">
      <pane ySplit="8" topLeftCell="A9" activePane="bottomLeft" state="frozen"/>
      <selection pane="bottomLeft" activeCell="H26" sqref="H26"/>
    </sheetView>
  </sheetViews>
  <sheetFormatPr defaultColWidth="9.140625" defaultRowHeight="12.75" x14ac:dyDescent="0.2"/>
  <cols>
    <col min="1" max="1" width="9.140625" style="382"/>
    <col min="2" max="2" width="14" style="382" customWidth="1"/>
    <col min="3" max="7" width="10.42578125" style="382" customWidth="1"/>
    <col min="8" max="8" width="13.5703125" style="382" customWidth="1"/>
    <col min="9" max="13" width="10.42578125" style="382" customWidth="1"/>
    <col min="14" max="14" width="9.140625" style="382"/>
    <col min="15" max="15" width="11.42578125" style="382" customWidth="1"/>
    <col min="16" max="16" width="11.140625" style="382" customWidth="1"/>
    <col min="17" max="17" width="10.28515625" style="382" customWidth="1"/>
    <col min="18" max="18" width="13" style="382" customWidth="1"/>
    <col min="19" max="21" width="9.140625" style="382"/>
    <col min="22" max="22" width="10.42578125" style="382" customWidth="1"/>
    <col min="23" max="23" width="10.7109375" style="382" customWidth="1"/>
    <col min="24" max="24" width="13.28515625" style="382" customWidth="1"/>
    <col min="25" max="25" width="11.28515625" style="382" bestFit="1" customWidth="1"/>
    <col min="26" max="28" width="9.140625" style="382"/>
    <col min="29" max="29" width="10.140625" style="382" customWidth="1"/>
    <col min="30" max="30" width="9.140625" style="382"/>
    <col min="31" max="31" width="12.140625" style="382" customWidth="1"/>
    <col min="32" max="32" width="11.85546875" style="382" bestFit="1" customWidth="1"/>
    <col min="33" max="16384" width="9.140625" style="382"/>
  </cols>
  <sheetData>
    <row r="1" spans="1:31" x14ac:dyDescent="0.2">
      <c r="A1" s="840" t="s">
        <v>205</v>
      </c>
    </row>
    <row r="2" spans="1:31" ht="13.5" thickBot="1" x14ac:dyDescent="0.25"/>
    <row r="3" spans="1:31" ht="19.5" customHeight="1" thickBot="1" x14ac:dyDescent="0.35">
      <c r="A3" s="1669" t="s">
        <v>156</v>
      </c>
      <c r="B3" s="1670"/>
      <c r="C3" s="1670"/>
      <c r="D3" s="1670"/>
      <c r="E3" s="1670"/>
      <c r="F3" s="1670"/>
      <c r="G3" s="1670"/>
      <c r="H3" s="1670"/>
      <c r="I3" s="1670"/>
      <c r="J3" s="1670"/>
      <c r="K3" s="1670"/>
      <c r="L3" s="1670"/>
      <c r="M3" s="1670"/>
      <c r="N3" s="1670"/>
      <c r="O3" s="1671"/>
      <c r="P3" s="829"/>
      <c r="Q3" s="1672" t="s">
        <v>173</v>
      </c>
      <c r="R3" s="1673"/>
      <c r="S3" s="1673"/>
      <c r="T3" s="1673"/>
      <c r="U3" s="1673"/>
      <c r="V3" s="1673"/>
      <c r="W3" s="1673"/>
      <c r="X3" s="1673"/>
      <c r="Y3" s="1673"/>
      <c r="Z3" s="1673"/>
      <c r="AA3" s="1673"/>
      <c r="AB3" s="1673"/>
      <c r="AC3" s="1673"/>
      <c r="AD3" s="1673"/>
      <c r="AE3" s="1674"/>
    </row>
    <row r="4" spans="1:31" ht="15" x14ac:dyDescent="0.25">
      <c r="A4" s="385"/>
      <c r="B4" s="1679" t="s">
        <v>265</v>
      </c>
      <c r="C4" s="1680"/>
      <c r="D4" s="1680"/>
      <c r="E4" s="1680"/>
      <c r="F4" s="1680"/>
      <c r="G4" s="1681"/>
      <c r="H4" s="1679" t="s">
        <v>266</v>
      </c>
      <c r="I4" s="1680"/>
      <c r="J4" s="1680"/>
      <c r="K4" s="1680"/>
      <c r="L4" s="1680"/>
      <c r="M4" s="1681"/>
      <c r="N4" s="1677" t="s">
        <v>267</v>
      </c>
      <c r="O4" s="1678"/>
      <c r="Q4" s="385"/>
      <c r="R4" s="1679" t="s">
        <v>265</v>
      </c>
      <c r="S4" s="1680"/>
      <c r="T4" s="1680"/>
      <c r="U4" s="1680"/>
      <c r="V4" s="1680"/>
      <c r="W4" s="1681"/>
      <c r="X4" s="1679" t="s">
        <v>266</v>
      </c>
      <c r="Y4" s="1680"/>
      <c r="Z4" s="1680"/>
      <c r="AA4" s="1680"/>
      <c r="AB4" s="1680"/>
      <c r="AC4" s="1681"/>
      <c r="AD4" s="1677" t="s">
        <v>267</v>
      </c>
      <c r="AE4" s="1678"/>
    </row>
    <row r="5" spans="1:31" ht="15" x14ac:dyDescent="0.25">
      <c r="A5" s="386"/>
      <c r="B5" s="1682" t="s">
        <v>133</v>
      </c>
      <c r="C5" s="1683"/>
      <c r="D5" s="1683"/>
      <c r="E5" s="1683"/>
      <c r="F5" s="1683"/>
      <c r="G5" s="1684"/>
      <c r="H5" s="1682" t="s">
        <v>133</v>
      </c>
      <c r="I5" s="1683"/>
      <c r="J5" s="1683"/>
      <c r="K5" s="1683"/>
      <c r="L5" s="1683"/>
      <c r="M5" s="1684"/>
      <c r="N5" s="1675" t="s">
        <v>133</v>
      </c>
      <c r="O5" s="1676"/>
      <c r="Q5" s="386"/>
      <c r="R5" s="1682" t="s">
        <v>133</v>
      </c>
      <c r="S5" s="1683"/>
      <c r="T5" s="1683"/>
      <c r="U5" s="1683"/>
      <c r="V5" s="1683"/>
      <c r="W5" s="1684"/>
      <c r="X5" s="1682" t="s">
        <v>133</v>
      </c>
      <c r="Y5" s="1683"/>
      <c r="Z5" s="1683"/>
      <c r="AA5" s="1683"/>
      <c r="AB5" s="1683"/>
      <c r="AC5" s="1684"/>
      <c r="AD5" s="1675" t="s">
        <v>133</v>
      </c>
      <c r="AE5" s="1676"/>
    </row>
    <row r="6" spans="1:31" ht="15" x14ac:dyDescent="0.25">
      <c r="A6" s="386"/>
      <c r="B6" s="1053" t="s">
        <v>72</v>
      </c>
      <c r="C6" s="1054" t="s">
        <v>68</v>
      </c>
      <c r="D6" s="1054" t="s">
        <v>69</v>
      </c>
      <c r="E6" s="1054" t="s">
        <v>70</v>
      </c>
      <c r="F6" s="1054" t="s">
        <v>178</v>
      </c>
      <c r="G6" s="1055" t="s">
        <v>179</v>
      </c>
      <c r="H6" s="1053" t="s">
        <v>72</v>
      </c>
      <c r="I6" s="1054" t="s">
        <v>68</v>
      </c>
      <c r="J6" s="1054" t="s">
        <v>69</v>
      </c>
      <c r="K6" s="1054" t="s">
        <v>70</v>
      </c>
      <c r="L6" s="1054" t="s">
        <v>178</v>
      </c>
      <c r="M6" s="1055" t="s">
        <v>179</v>
      </c>
      <c r="N6" s="616"/>
      <c r="O6" s="618"/>
      <c r="Q6" s="386"/>
      <c r="R6" s="638" t="s">
        <v>72</v>
      </c>
      <c r="S6" s="636" t="s">
        <v>68</v>
      </c>
      <c r="T6" s="636" t="s">
        <v>69</v>
      </c>
      <c r="U6" s="636" t="s">
        <v>70</v>
      </c>
      <c r="V6" s="636" t="s">
        <v>178</v>
      </c>
      <c r="W6" s="830" t="s">
        <v>179</v>
      </c>
      <c r="X6" s="638" t="s">
        <v>72</v>
      </c>
      <c r="Y6" s="636" t="s">
        <v>68</v>
      </c>
      <c r="Z6" s="636" t="s">
        <v>69</v>
      </c>
      <c r="AA6" s="636" t="s">
        <v>70</v>
      </c>
      <c r="AB6" s="636" t="s">
        <v>178</v>
      </c>
      <c r="AC6" s="830" t="s">
        <v>179</v>
      </c>
      <c r="AD6" s="616"/>
      <c r="AE6" s="618"/>
    </row>
    <row r="7" spans="1:31" s="828" customFormat="1" ht="30" x14ac:dyDescent="0.2">
      <c r="A7" s="822"/>
      <c r="B7" s="1056" t="str">
        <f t="shared" ref="B7:G7" si="0">INDEX(TECH_OPT_DESC_Cls1,MATCH(B6,TECH_OPT_ROWS_Cls1,0))</f>
        <v>Conventional gasoline</v>
      </c>
      <c r="C7" s="1057" t="str">
        <f t="shared" si="0"/>
        <v>not used</v>
      </c>
      <c r="D7" s="1057" t="str">
        <f t="shared" si="0"/>
        <v>not used</v>
      </c>
      <c r="E7" s="1057" t="str">
        <f t="shared" si="0"/>
        <v>not used</v>
      </c>
      <c r="F7" s="1057" t="str">
        <f t="shared" si="0"/>
        <v>not used</v>
      </c>
      <c r="G7" s="1058" t="str">
        <f t="shared" si="0"/>
        <v>not used</v>
      </c>
      <c r="H7" s="1056" t="str">
        <f t="shared" ref="H7:M7" si="1">INDEX(TECH_OPT_DESC_Cls2,MATCH(H6,TECH_OPT_ROWS_Cls2,0))</f>
        <v>Conventional Diesel ICE</v>
      </c>
      <c r="I7" s="1057" t="str">
        <f t="shared" si="1"/>
        <v>Adv Conv</v>
      </c>
      <c r="J7" s="1057" t="str">
        <f t="shared" si="1"/>
        <v>HEV</v>
      </c>
      <c r="K7" s="1057" t="str">
        <f t="shared" si="1"/>
        <v>BEV</v>
      </c>
      <c r="L7" s="1057" t="str">
        <f t="shared" si="1"/>
        <v>FCEV</v>
      </c>
      <c r="M7" s="1058" t="str">
        <f t="shared" si="1"/>
        <v>PHEV</v>
      </c>
      <c r="N7" s="838" t="s">
        <v>73</v>
      </c>
      <c r="O7" s="827" t="s">
        <v>144</v>
      </c>
      <c r="Q7" s="822"/>
      <c r="R7" s="823" t="str">
        <f t="shared" ref="R7:W7" si="2">INDEX(TECH_OPT_DESC_Cls1,MATCH(R6,TECH_OPT_ROWS_Cls1,0))</f>
        <v>Conventional gasoline</v>
      </c>
      <c r="S7" s="824" t="str">
        <f t="shared" si="2"/>
        <v>not used</v>
      </c>
      <c r="T7" s="824" t="str">
        <f t="shared" si="2"/>
        <v>not used</v>
      </c>
      <c r="U7" s="837" t="str">
        <f t="shared" si="2"/>
        <v>not used</v>
      </c>
      <c r="V7" s="824" t="str">
        <f t="shared" si="2"/>
        <v>not used</v>
      </c>
      <c r="W7" s="825" t="str">
        <f t="shared" si="2"/>
        <v>not used</v>
      </c>
      <c r="X7" s="823" t="str">
        <f t="shared" ref="X7:AC7" si="3">INDEX(TECH_OPT_DESC_Cls2,MATCH(X6,TECH_OPT_ROWS_Cls2,0))</f>
        <v>Conventional Diesel ICE</v>
      </c>
      <c r="Y7" s="824" t="str">
        <f t="shared" si="3"/>
        <v>Adv Conv</v>
      </c>
      <c r="Z7" s="824" t="str">
        <f t="shared" si="3"/>
        <v>HEV</v>
      </c>
      <c r="AA7" s="837" t="str">
        <f t="shared" si="3"/>
        <v>BEV</v>
      </c>
      <c r="AB7" s="824" t="str">
        <f t="shared" si="3"/>
        <v>FCEV</v>
      </c>
      <c r="AC7" s="825" t="str">
        <f t="shared" si="3"/>
        <v>PHEV</v>
      </c>
      <c r="AD7" s="838"/>
      <c r="AE7" s="827"/>
    </row>
    <row r="8" spans="1:31" ht="30.75" thickBot="1" x14ac:dyDescent="0.3">
      <c r="A8" s="390" t="s">
        <v>3</v>
      </c>
      <c r="B8" s="1059" t="str">
        <f t="shared" ref="B8:G8" si="4">INDEX(TECH_OPT_FUEL1_Cls1,MATCH(B6,TECH_OPT_ROWS_Cls1,0))</f>
        <v>Diesel</v>
      </c>
      <c r="C8" s="1060" t="str">
        <f t="shared" si="4"/>
        <v>Diesel</v>
      </c>
      <c r="D8" s="1060" t="str">
        <f t="shared" si="4"/>
        <v>Diesel</v>
      </c>
      <c r="E8" s="1060" t="str">
        <f t="shared" si="4"/>
        <v>Diesel</v>
      </c>
      <c r="F8" s="1060" t="str">
        <f t="shared" si="4"/>
        <v>Electricity</v>
      </c>
      <c r="G8" s="1061" t="str">
        <f t="shared" si="4"/>
        <v>Hydrogen</v>
      </c>
      <c r="H8" s="1059" t="str">
        <f t="shared" ref="H8:M8" si="5">INDEX(TECH_OPT_FUEL1_Cls2,MATCH(H6,TECH_OPT_ROWS_Cls2,0))</f>
        <v>Diesel</v>
      </c>
      <c r="I8" s="1060" t="str">
        <f t="shared" si="5"/>
        <v>Diesel</v>
      </c>
      <c r="J8" s="1060" t="str">
        <f t="shared" si="5"/>
        <v>Diesel</v>
      </c>
      <c r="K8" s="1060" t="str">
        <f t="shared" si="5"/>
        <v>Electricity</v>
      </c>
      <c r="L8" s="1060" t="str">
        <f t="shared" si="5"/>
        <v>Hydrogen</v>
      </c>
      <c r="M8" s="1061" t="str">
        <f t="shared" si="5"/>
        <v>Diesel</v>
      </c>
      <c r="N8" s="400"/>
      <c r="O8" s="399"/>
      <c r="Q8" s="390" t="s">
        <v>3</v>
      </c>
      <c r="R8" s="648" t="str">
        <f t="shared" ref="R8:W8" si="6">INDEX(TECH_OPT_FUEL1_Cls1,MATCH(R6,TECH_OPT_ROWS_Cls1,0))</f>
        <v>Diesel</v>
      </c>
      <c r="S8" s="637" t="str">
        <f t="shared" si="6"/>
        <v>Diesel</v>
      </c>
      <c r="T8" s="637" t="str">
        <f t="shared" si="6"/>
        <v>Diesel</v>
      </c>
      <c r="U8" s="637" t="str">
        <f t="shared" si="6"/>
        <v>Diesel</v>
      </c>
      <c r="V8" s="637" t="str">
        <f t="shared" si="6"/>
        <v>Electricity</v>
      </c>
      <c r="W8" s="831" t="str">
        <f t="shared" si="6"/>
        <v>Hydrogen</v>
      </c>
      <c r="X8" s="648" t="str">
        <f t="shared" ref="X8:AC8" si="7">INDEX(TECH_OPT_FUEL1_Cls2,MATCH(X6,TECH_OPT_ROWS_Cls2,0))</f>
        <v>Diesel</v>
      </c>
      <c r="Y8" s="637" t="str">
        <f t="shared" si="7"/>
        <v>Diesel</v>
      </c>
      <c r="Z8" s="637" t="str">
        <f t="shared" si="7"/>
        <v>Diesel</v>
      </c>
      <c r="AA8" s="637" t="str">
        <f t="shared" si="7"/>
        <v>Electricity</v>
      </c>
      <c r="AB8" s="637" t="str">
        <f t="shared" si="7"/>
        <v>Hydrogen</v>
      </c>
      <c r="AC8" s="831" t="str">
        <f t="shared" si="7"/>
        <v>Diesel</v>
      </c>
      <c r="AD8" s="400" t="s">
        <v>73</v>
      </c>
      <c r="AE8" s="399" t="s">
        <v>144</v>
      </c>
    </row>
    <row r="9" spans="1:31" ht="15.75" thickTop="1" x14ac:dyDescent="0.25">
      <c r="A9" s="388">
        <v>2007</v>
      </c>
      <c r="B9" s="401">
        <f>1-SUM(C9:G9)</f>
        <v>1</v>
      </c>
      <c r="C9" s="402">
        <f>'4-6 Gas'!$M76+'4-6 Gas'!$Z76</f>
        <v>0</v>
      </c>
      <c r="D9" s="402">
        <f>'4-6 Gas'!$M128+'4-6 Gas'!$Z128</f>
        <v>0</v>
      </c>
      <c r="E9" s="665">
        <f>'4-6 Gas'!$M180+'4-6 Gas'!$Z180</f>
        <v>0</v>
      </c>
      <c r="F9" s="402">
        <f>'4-6 Gas'!$M233+'4-6 Gas'!$Z233</f>
        <v>0</v>
      </c>
      <c r="G9" s="625">
        <f>'4-6 Gas'!$M286+'4-6 Gas'!$Z286</f>
        <v>0</v>
      </c>
      <c r="H9" s="832">
        <f>1-SUM(I9:M9)</f>
        <v>1</v>
      </c>
      <c r="I9" s="625">
        <f>'4-6 Diesel'!$M76+'4-6 Diesel'!$Z76</f>
        <v>0</v>
      </c>
      <c r="J9" s="625">
        <f>'4-6 Diesel'!$M128+'4-6 Diesel'!$Z128</f>
        <v>0</v>
      </c>
      <c r="K9" s="625">
        <f>'4-6 Diesel'!$M180+'4-6 Diesel'!$Z180</f>
        <v>0</v>
      </c>
      <c r="L9" s="625">
        <f>'4-6 Diesel'!$M233+'4-6 Diesel'!$Z233</f>
        <v>0</v>
      </c>
      <c r="M9" s="670">
        <f>'4-6 Diesel'!$M286+'4-6 Diesel'!$Z286</f>
        <v>0</v>
      </c>
      <c r="N9" s="401">
        <f>B9*'Market Data'!$E$52+H9*'Market Data'!$O$52</f>
        <v>0.99999999999999989</v>
      </c>
      <c r="O9" s="403">
        <f>SUM(C9:G9)*'Market Data'!$E$52+SUM(I9:M9)*'Market Data'!$O$52</f>
        <v>0</v>
      </c>
      <c r="Q9" s="388">
        <v>2007</v>
      </c>
      <c r="R9" s="439">
        <f>IF('Market Penetration'!B9=0,0,1000*B9*'Market Data'!$E$51/('Market Penetration'!B9*'Market Data'!$C$51))</f>
        <v>19303.35601847613</v>
      </c>
      <c r="S9" s="440">
        <f>IF('Market Penetration'!C9=0,0,1000*C9*'Market Data'!$E$51/('Market Penetration'!C9*'Market Data'!$C$51))</f>
        <v>0</v>
      </c>
      <c r="T9" s="440">
        <f>IF('Market Penetration'!D9=0,0,1000*D9*'Market Data'!$E$51/('Market Penetration'!D9*'Market Data'!$C$51))</f>
        <v>0</v>
      </c>
      <c r="U9" s="660">
        <f>IF('Market Penetration'!E9=0,0,1000*E9*'Market Data'!$E$51/('Market Penetration'!E9*'Market Data'!$C$51))</f>
        <v>0</v>
      </c>
      <c r="V9" s="440">
        <f>IF('Market Penetration'!F9=0,0,1000*F9*'Market Data'!$E$51/('Market Penetration'!F9*'Market Data'!$C$51))</f>
        <v>0</v>
      </c>
      <c r="W9" s="655">
        <f>IF('Market Penetration'!G9=0,0,1000*G9*'Market Data'!$E$51/('Market Penetration'!G9*'Market Data'!$C$51))</f>
        <v>0</v>
      </c>
      <c r="X9" s="439">
        <f>IF('Market Penetration'!H9=0,0,1000*H9*'Market Data'!$O$51/('Market Penetration'!H9*'Market Data'!$M$51))</f>
        <v>27000.850071475434</v>
      </c>
      <c r="Y9" s="440">
        <f>IF('Market Penetration'!I9=0,0,1000*I9*'Market Data'!$O$51/('Market Penetration'!I9*'Market Data'!$M$51))</f>
        <v>0</v>
      </c>
      <c r="Z9" s="440">
        <f>IF('Market Penetration'!J9=0,0,1000*J9*'Market Data'!$O$51/('Market Penetration'!J9*'Market Data'!$M$51))</f>
        <v>0</v>
      </c>
      <c r="AA9" s="440">
        <f>IF('Market Penetration'!K9=0,0,1000*K9*'Market Data'!$O$51/('Market Penetration'!K9*'Market Data'!$M$51))</f>
        <v>0</v>
      </c>
      <c r="AB9" s="440">
        <f>IF('Market Penetration'!L9=0,0,1000*L9*'Market Data'!$O$51/('Market Penetration'!L9*'Market Data'!$M$51))</f>
        <v>0</v>
      </c>
      <c r="AC9" s="441">
        <f>IF('Market Penetration'!M9=0,0,1000*M9*'Market Data'!$O$51/('Market Penetration'!M9*'Market Data'!$M$51))</f>
        <v>0</v>
      </c>
      <c r="AD9" s="439">
        <f>IF('Market Penetration'!N9=0,0,1000*N9*('Market Data'!$E$51+'Market Data'!$O$51+'Market Data'!$Y$51)/('Market Penetration'!N9*('Market Data'!$C$51+'Market Data'!$M$51+'Market Data'!$W$51)))</f>
        <v>26226.895861333258</v>
      </c>
      <c r="AE9" s="441">
        <f>IF('Market Penetration'!O9=0,0,1000*O9*('Market Data'!$E$51+'Market Data'!$O$51+'Market Data'!$Y$51)/('Market Penetration'!O9*('Market Data'!$C$51+'Market Data'!$M$51+'Market Data'!$W$51)))</f>
        <v>0</v>
      </c>
    </row>
    <row r="10" spans="1:31" ht="15" x14ac:dyDescent="0.25">
      <c r="A10" s="388">
        <v>2008</v>
      </c>
      <c r="B10" s="404">
        <f t="shared" ref="B10:B52" si="8">1-SUM(C10:G10)</f>
        <v>1</v>
      </c>
      <c r="C10" s="405">
        <f>'4-6 Gas'!$M77+'4-6 Gas'!$Z77</f>
        <v>0</v>
      </c>
      <c r="D10" s="405">
        <f>'4-6 Gas'!$M129+'4-6 Gas'!$Z129</f>
        <v>0</v>
      </c>
      <c r="E10" s="666">
        <f>'4-6 Gas'!$M181+'4-6 Gas'!$Z181</f>
        <v>0</v>
      </c>
      <c r="F10" s="405">
        <f>'4-6 Gas'!$M234+'4-6 Gas'!$Z234</f>
        <v>0</v>
      </c>
      <c r="G10" s="626">
        <f>'4-6 Gas'!$M287+'4-6 Gas'!$Z287</f>
        <v>0</v>
      </c>
      <c r="H10" s="833">
        <f t="shared" ref="H10:H52" si="9">1-SUM(I10:M10)</f>
        <v>1</v>
      </c>
      <c r="I10" s="626">
        <f>'4-6 Diesel'!$M77+'4-6 Diesel'!$Z77</f>
        <v>0</v>
      </c>
      <c r="J10" s="626">
        <f>'4-6 Diesel'!$M129+'4-6 Diesel'!$Z129</f>
        <v>0</v>
      </c>
      <c r="K10" s="626">
        <f>'4-6 Diesel'!$M181+'4-6 Diesel'!$Z181</f>
        <v>0</v>
      </c>
      <c r="L10" s="626">
        <f>'4-6 Diesel'!$M234+'4-6 Diesel'!$Z234</f>
        <v>0</v>
      </c>
      <c r="M10" s="671">
        <f>'4-6 Diesel'!$M287+'4-6 Diesel'!$Z287</f>
        <v>0</v>
      </c>
      <c r="N10" s="404">
        <f>B10*'Market Data'!$E$52+H10*'Market Data'!$O$52</f>
        <v>0.99999999999999989</v>
      </c>
      <c r="O10" s="406">
        <f>SUM(C10:G10)*'Market Data'!$E$52+SUM(I10:M10)*'Market Data'!$O$52</f>
        <v>0</v>
      </c>
      <c r="Q10" s="388">
        <v>2008</v>
      </c>
      <c r="R10" s="442">
        <f>IF('Market Penetration'!B10=0,0,1000*B10*'Market Data'!$E$51/('Market Penetration'!B10*'Market Data'!$C$51))</f>
        <v>19303.35601847613</v>
      </c>
      <c r="S10" s="443">
        <f>IF('Market Penetration'!C10=0,0,1000*C10*'Market Data'!$E$51/('Market Penetration'!C10*'Market Data'!$C$51))</f>
        <v>0</v>
      </c>
      <c r="T10" s="443">
        <f>IF('Market Penetration'!D10=0,0,1000*D10*'Market Data'!$E$51/('Market Penetration'!D10*'Market Data'!$C$51))</f>
        <v>0</v>
      </c>
      <c r="U10" s="661">
        <f>IF('Market Penetration'!E10=0,0,1000*E10*'Market Data'!$E$51/('Market Penetration'!E10*'Market Data'!$C$51))</f>
        <v>0</v>
      </c>
      <c r="V10" s="443">
        <f>IF('Market Penetration'!F10=0,0,1000*F10*'Market Data'!$E$51/('Market Penetration'!F10*'Market Data'!$C$51))</f>
        <v>0</v>
      </c>
      <c r="W10" s="656">
        <f>IF('Market Penetration'!G10=0,0,1000*G10*'Market Data'!$E$51/('Market Penetration'!G10*'Market Data'!$C$51))</f>
        <v>0</v>
      </c>
      <c r="X10" s="442">
        <f>IF('Market Penetration'!H10=0,0,1000*H10*'Market Data'!$O$51/('Market Penetration'!H10*'Market Data'!$M$51))</f>
        <v>27000.850071475434</v>
      </c>
      <c r="Y10" s="443">
        <f>IF('Market Penetration'!I10=0,0,1000*I10*'Market Data'!$O$51/('Market Penetration'!I10*'Market Data'!$M$51))</f>
        <v>0</v>
      </c>
      <c r="Z10" s="443">
        <f>IF('Market Penetration'!J10=0,0,1000*J10*'Market Data'!$O$51/('Market Penetration'!J10*'Market Data'!$M$51))</f>
        <v>0</v>
      </c>
      <c r="AA10" s="443">
        <f>IF('Market Penetration'!K10=0,0,1000*K10*'Market Data'!$O$51/('Market Penetration'!K10*'Market Data'!$M$51))</f>
        <v>0</v>
      </c>
      <c r="AB10" s="443">
        <f>IF('Market Penetration'!L10=0,0,1000*L10*'Market Data'!$O$51/('Market Penetration'!L10*'Market Data'!$M$51))</f>
        <v>0</v>
      </c>
      <c r="AC10" s="444">
        <f>IF('Market Penetration'!M10=0,0,1000*M10*'Market Data'!$O$51/('Market Penetration'!M10*'Market Data'!$M$51))</f>
        <v>0</v>
      </c>
      <c r="AD10" s="442">
        <f>IF('Market Penetration'!N10=0,0,1000*N10*('Market Data'!$E$51+'Market Data'!$O$51+'Market Data'!$Y$51)/('Market Penetration'!N10*('Market Data'!$C$51+'Market Data'!$M$51+'Market Data'!$W$51)))</f>
        <v>26226.895861333258</v>
      </c>
      <c r="AE10" s="444">
        <f>IF('Market Penetration'!O10=0,0,1000*O10*('Market Data'!$E$51+'Market Data'!$O$51+'Market Data'!$Y$51)/('Market Penetration'!O10*('Market Data'!$C$51+'Market Data'!$M$51+'Market Data'!$W$51)))</f>
        <v>0</v>
      </c>
    </row>
    <row r="11" spans="1:31" ht="15" x14ac:dyDescent="0.25">
      <c r="A11" s="388">
        <v>2009</v>
      </c>
      <c r="B11" s="404">
        <f t="shared" si="8"/>
        <v>1</v>
      </c>
      <c r="C11" s="405">
        <f>'4-6 Gas'!$M78+'4-6 Gas'!$Z78</f>
        <v>0</v>
      </c>
      <c r="D11" s="405">
        <f>'4-6 Gas'!$M130+'4-6 Gas'!$Z130</f>
        <v>0</v>
      </c>
      <c r="E11" s="666">
        <f>'4-6 Gas'!$M182+'4-6 Gas'!$Z182</f>
        <v>0</v>
      </c>
      <c r="F11" s="405">
        <f>'4-6 Gas'!$M235+'4-6 Gas'!$Z235</f>
        <v>0</v>
      </c>
      <c r="G11" s="626">
        <f>'4-6 Gas'!$M288+'4-6 Gas'!$Z288</f>
        <v>0</v>
      </c>
      <c r="H11" s="833">
        <f t="shared" si="9"/>
        <v>1</v>
      </c>
      <c r="I11" s="626">
        <f>'4-6 Diesel'!$M78+'4-6 Diesel'!$Z78</f>
        <v>0</v>
      </c>
      <c r="J11" s="626">
        <f>'4-6 Diesel'!$M130+'4-6 Diesel'!$Z130</f>
        <v>0</v>
      </c>
      <c r="K11" s="626">
        <f>'4-6 Diesel'!$M182+'4-6 Diesel'!$Z182</f>
        <v>0</v>
      </c>
      <c r="L11" s="626">
        <f>'4-6 Diesel'!$M235+'4-6 Diesel'!$Z235</f>
        <v>0</v>
      </c>
      <c r="M11" s="671">
        <f>'4-6 Diesel'!$M288+'4-6 Diesel'!$Z288</f>
        <v>0</v>
      </c>
      <c r="N11" s="404">
        <f>B11*'Market Data'!$E$52+H11*'Market Data'!$O$52</f>
        <v>0.99999999999999989</v>
      </c>
      <c r="O11" s="406">
        <f>SUM(C11:G11)*'Market Data'!$E$52+SUM(I11:M11)*'Market Data'!$O$52</f>
        <v>0</v>
      </c>
      <c r="Q11" s="388">
        <v>2009</v>
      </c>
      <c r="R11" s="442">
        <f>IF('Market Penetration'!B11=0,0,1000*B11*'Market Data'!$E$51/('Market Penetration'!B11*'Market Data'!$C$51))</f>
        <v>19303.35601847613</v>
      </c>
      <c r="S11" s="443">
        <f>IF('Market Penetration'!C11=0,0,1000*C11*'Market Data'!$E$51/('Market Penetration'!C11*'Market Data'!$C$51))</f>
        <v>0</v>
      </c>
      <c r="T11" s="443">
        <f>IF('Market Penetration'!D11=0,0,1000*D11*'Market Data'!$E$51/('Market Penetration'!D11*'Market Data'!$C$51))</f>
        <v>0</v>
      </c>
      <c r="U11" s="661">
        <f>IF('Market Penetration'!E11=0,0,1000*E11*'Market Data'!$E$51/('Market Penetration'!E11*'Market Data'!$C$51))</f>
        <v>0</v>
      </c>
      <c r="V11" s="443">
        <f>IF('Market Penetration'!F11=0,0,1000*F11*'Market Data'!$E$51/('Market Penetration'!F11*'Market Data'!$C$51))</f>
        <v>0</v>
      </c>
      <c r="W11" s="656">
        <f>IF('Market Penetration'!G11=0,0,1000*G11*'Market Data'!$E$51/('Market Penetration'!G11*'Market Data'!$C$51))</f>
        <v>0</v>
      </c>
      <c r="X11" s="442">
        <f>IF('Market Penetration'!H11=0,0,1000*H11*'Market Data'!$O$51/('Market Penetration'!H11*'Market Data'!$M$51))</f>
        <v>27000.850071475434</v>
      </c>
      <c r="Y11" s="443">
        <f>IF('Market Penetration'!I11=0,0,1000*I11*'Market Data'!$O$51/('Market Penetration'!I11*'Market Data'!$M$51))</f>
        <v>0</v>
      </c>
      <c r="Z11" s="443">
        <f>IF('Market Penetration'!J11=0,0,1000*J11*'Market Data'!$O$51/('Market Penetration'!J11*'Market Data'!$M$51))</f>
        <v>0</v>
      </c>
      <c r="AA11" s="443">
        <f>IF('Market Penetration'!K11=0,0,1000*K11*'Market Data'!$O$51/('Market Penetration'!K11*'Market Data'!$M$51))</f>
        <v>0</v>
      </c>
      <c r="AB11" s="443">
        <f>IF('Market Penetration'!L11=0,0,1000*L11*'Market Data'!$O$51/('Market Penetration'!L11*'Market Data'!$M$51))</f>
        <v>0</v>
      </c>
      <c r="AC11" s="444">
        <f>IF('Market Penetration'!M11=0,0,1000*M11*'Market Data'!$O$51/('Market Penetration'!M11*'Market Data'!$M$51))</f>
        <v>0</v>
      </c>
      <c r="AD11" s="442">
        <f>IF('Market Penetration'!N11=0,0,1000*N11*('Market Data'!$E$51+'Market Data'!$O$51+'Market Data'!$Y$51)/('Market Penetration'!N11*('Market Data'!$C$51+'Market Data'!$M$51+'Market Data'!$W$51)))</f>
        <v>26226.895861333258</v>
      </c>
      <c r="AE11" s="444">
        <f>IF('Market Penetration'!O11=0,0,1000*O11*('Market Data'!$E$51+'Market Data'!$O$51+'Market Data'!$Y$51)/('Market Penetration'!O11*('Market Data'!$C$51+'Market Data'!$M$51+'Market Data'!$W$51)))</f>
        <v>0</v>
      </c>
    </row>
    <row r="12" spans="1:31" ht="15" x14ac:dyDescent="0.25">
      <c r="A12" s="388">
        <v>2010</v>
      </c>
      <c r="B12" s="407">
        <f t="shared" si="8"/>
        <v>1</v>
      </c>
      <c r="C12" s="408">
        <f>'4-6 Gas'!$M79+'4-6 Gas'!$Z79</f>
        <v>0</v>
      </c>
      <c r="D12" s="408">
        <f>'4-6 Gas'!$M131+'4-6 Gas'!$Z131</f>
        <v>0</v>
      </c>
      <c r="E12" s="667">
        <f>'4-6 Gas'!$M183+'4-6 Gas'!$Z183</f>
        <v>0</v>
      </c>
      <c r="F12" s="408">
        <f>'4-6 Gas'!$M236+'4-6 Gas'!$Z236</f>
        <v>0</v>
      </c>
      <c r="G12" s="627">
        <f>'4-6 Gas'!$M289+'4-6 Gas'!$Z289</f>
        <v>0</v>
      </c>
      <c r="H12" s="834">
        <f t="shared" si="9"/>
        <v>1</v>
      </c>
      <c r="I12" s="627">
        <f>'4-6 Diesel'!$M79+'4-6 Diesel'!$Z79</f>
        <v>0</v>
      </c>
      <c r="J12" s="627">
        <f>'4-6 Diesel'!$M131+'4-6 Diesel'!$Z131</f>
        <v>0</v>
      </c>
      <c r="K12" s="627">
        <f>'4-6 Diesel'!$M183+'4-6 Diesel'!$Z183</f>
        <v>0</v>
      </c>
      <c r="L12" s="627">
        <f>'4-6 Diesel'!$M236+'4-6 Diesel'!$Z236</f>
        <v>0</v>
      </c>
      <c r="M12" s="672">
        <f>'4-6 Diesel'!$M289+'4-6 Diesel'!$Z289</f>
        <v>0</v>
      </c>
      <c r="N12" s="407">
        <f>B12*'Market Data'!$E$52+H12*'Market Data'!$O$52</f>
        <v>0.99999999999999989</v>
      </c>
      <c r="O12" s="409">
        <f>SUM(C12:G12)*'Market Data'!$E$52+SUM(I12:M12)*'Market Data'!$O$52</f>
        <v>0</v>
      </c>
      <c r="Q12" s="388">
        <v>2010</v>
      </c>
      <c r="R12" s="445">
        <f>IF('Market Penetration'!B12=0,0,1000*B12*'Market Data'!$E$51/('Market Penetration'!B12*'Market Data'!$C$51))</f>
        <v>19303.35601847613</v>
      </c>
      <c r="S12" s="446">
        <f>IF('Market Penetration'!C12=0,0,1000*C12*'Market Data'!$E$51/('Market Penetration'!C12*'Market Data'!$C$51))</f>
        <v>0</v>
      </c>
      <c r="T12" s="446">
        <f>IF('Market Penetration'!D12=0,0,1000*D12*'Market Data'!$E$51/('Market Penetration'!D12*'Market Data'!$C$51))</f>
        <v>0</v>
      </c>
      <c r="U12" s="662">
        <f>IF('Market Penetration'!E12=0,0,1000*E12*'Market Data'!$E$51/('Market Penetration'!E12*'Market Data'!$C$51))</f>
        <v>0</v>
      </c>
      <c r="V12" s="446">
        <f>IF('Market Penetration'!F12=0,0,1000*F12*'Market Data'!$E$51/('Market Penetration'!F12*'Market Data'!$C$51))</f>
        <v>0</v>
      </c>
      <c r="W12" s="657">
        <f>IF('Market Penetration'!G12=0,0,1000*G12*'Market Data'!$E$51/('Market Penetration'!G12*'Market Data'!$C$51))</f>
        <v>0</v>
      </c>
      <c r="X12" s="445">
        <f>IF('Market Penetration'!H12=0,0,1000*H12*'Market Data'!$O$51/('Market Penetration'!H12*'Market Data'!$M$51))</f>
        <v>27000.850071475434</v>
      </c>
      <c r="Y12" s="446">
        <f>IF('Market Penetration'!I12=0,0,1000*I12*'Market Data'!$O$51/('Market Penetration'!I12*'Market Data'!$M$51))</f>
        <v>0</v>
      </c>
      <c r="Z12" s="446">
        <f>IF('Market Penetration'!J12=0,0,1000*J12*'Market Data'!$O$51/('Market Penetration'!J12*'Market Data'!$M$51))</f>
        <v>0</v>
      </c>
      <c r="AA12" s="446">
        <f>IF('Market Penetration'!K12=0,0,1000*K12*'Market Data'!$O$51/('Market Penetration'!K12*'Market Data'!$M$51))</f>
        <v>0</v>
      </c>
      <c r="AB12" s="446">
        <f>IF('Market Penetration'!L12=0,0,1000*L12*'Market Data'!$O$51/('Market Penetration'!L12*'Market Data'!$M$51))</f>
        <v>0</v>
      </c>
      <c r="AC12" s="447">
        <f>IF('Market Penetration'!M12=0,0,1000*M12*'Market Data'!$O$51/('Market Penetration'!M12*'Market Data'!$M$51))</f>
        <v>0</v>
      </c>
      <c r="AD12" s="445">
        <f>IF('Market Penetration'!N12=0,0,1000*N12*('Market Data'!$E$51+'Market Data'!$O$51+'Market Data'!$Y$51)/('Market Penetration'!N12*('Market Data'!$C$51+'Market Data'!$M$51+'Market Data'!$W$51)))</f>
        <v>26226.895861333258</v>
      </c>
      <c r="AE12" s="447">
        <f>IF('Market Penetration'!O12=0,0,1000*O12*('Market Data'!$E$51+'Market Data'!$O$51+'Market Data'!$Y$51)/('Market Penetration'!O12*('Market Data'!$C$51+'Market Data'!$M$51+'Market Data'!$W$51)))</f>
        <v>0</v>
      </c>
    </row>
    <row r="13" spans="1:31" ht="15" x14ac:dyDescent="0.25">
      <c r="A13" s="410">
        <v>2011</v>
      </c>
      <c r="B13" s="411">
        <f t="shared" si="8"/>
        <v>1</v>
      </c>
      <c r="C13" s="412">
        <f>'4-6 Gas'!$M80+'4-6 Gas'!$Z80</f>
        <v>0</v>
      </c>
      <c r="D13" s="412">
        <f>'4-6 Gas'!$M132+'4-6 Gas'!$Z132</f>
        <v>0</v>
      </c>
      <c r="E13" s="668">
        <f>'4-6 Gas'!$M184+'4-6 Gas'!$Z184</f>
        <v>0</v>
      </c>
      <c r="F13" s="412">
        <f>'4-6 Gas'!$M237+'4-6 Gas'!$Z237</f>
        <v>0</v>
      </c>
      <c r="G13" s="628">
        <f>'4-6 Gas'!$M290+'4-6 Gas'!$Z290</f>
        <v>0</v>
      </c>
      <c r="H13" s="835">
        <f t="shared" si="9"/>
        <v>1</v>
      </c>
      <c r="I13" s="628">
        <f>'4-6 Diesel'!$M80+'4-6 Diesel'!$Z80</f>
        <v>0</v>
      </c>
      <c r="J13" s="628">
        <f>'4-6 Diesel'!$M132+'4-6 Diesel'!$Z132</f>
        <v>0</v>
      </c>
      <c r="K13" s="628">
        <f>'4-6 Diesel'!$M184+'4-6 Diesel'!$Z184</f>
        <v>0</v>
      </c>
      <c r="L13" s="628">
        <f>'4-6 Diesel'!$M237+'4-6 Diesel'!$Z237</f>
        <v>0</v>
      </c>
      <c r="M13" s="673">
        <f>'4-6 Diesel'!$M290+'4-6 Diesel'!$Z290</f>
        <v>0</v>
      </c>
      <c r="N13" s="414">
        <f>B13*'Market Data'!$E$52+H13*'Market Data'!$O$52</f>
        <v>0.99999999999999989</v>
      </c>
      <c r="O13" s="415">
        <f>SUM(C13:G13)*'Market Data'!$E$52+SUM(I13:M13)*'Market Data'!$O$52</f>
        <v>0</v>
      </c>
      <c r="Q13" s="410">
        <v>2011</v>
      </c>
      <c r="R13" s="448">
        <f>IF('Market Penetration'!B13=0,0,1000*B13*'Market Data'!$E$51/('Market Penetration'!B13*'Market Data'!$C$51))</f>
        <v>19303.35601847613</v>
      </c>
      <c r="S13" s="449">
        <f>IF('Market Penetration'!C13=0,0,1000*C13*'Market Data'!$E$51/('Market Penetration'!C13*'Market Data'!$C$51))</f>
        <v>0</v>
      </c>
      <c r="T13" s="449">
        <f>IF('Market Penetration'!D13=0,0,1000*D13*'Market Data'!$E$51/('Market Penetration'!D13*'Market Data'!$C$51))</f>
        <v>0</v>
      </c>
      <c r="U13" s="663">
        <f>IF('Market Penetration'!E13=0,0,1000*E13*'Market Data'!$E$51/('Market Penetration'!E13*'Market Data'!$C$51))</f>
        <v>0</v>
      </c>
      <c r="V13" s="449">
        <f>IF('Market Penetration'!F13=0,0,1000*F13*'Market Data'!$E$51/('Market Penetration'!F13*'Market Data'!$C$51))</f>
        <v>0</v>
      </c>
      <c r="W13" s="658">
        <f>IF('Market Penetration'!G13=0,0,1000*G13*'Market Data'!$E$51/('Market Penetration'!G13*'Market Data'!$C$51))</f>
        <v>0</v>
      </c>
      <c r="X13" s="448">
        <f>IF('Market Penetration'!H13=0,0,1000*H13*'Market Data'!$O$51/('Market Penetration'!H13*'Market Data'!$M$51))</f>
        <v>27000.850071475434</v>
      </c>
      <c r="Y13" s="449">
        <f>IF('Market Penetration'!I13=0,0,1000*I13*'Market Data'!$O$51/('Market Penetration'!I13*'Market Data'!$M$51))</f>
        <v>0</v>
      </c>
      <c r="Z13" s="449">
        <f>IF('Market Penetration'!J13=0,0,1000*J13*'Market Data'!$O$51/('Market Penetration'!J13*'Market Data'!$M$51))</f>
        <v>0</v>
      </c>
      <c r="AA13" s="449">
        <f>IF('Market Penetration'!K13=0,0,1000*K13*'Market Data'!$O$51/('Market Penetration'!K13*'Market Data'!$M$51))</f>
        <v>0</v>
      </c>
      <c r="AB13" s="449">
        <f>IF('Market Penetration'!L13=0,0,1000*L13*'Market Data'!$O$51/('Market Penetration'!L13*'Market Data'!$M$51))</f>
        <v>0</v>
      </c>
      <c r="AC13" s="839">
        <f>IF('Market Penetration'!M13=0,0,1000*M13*'Market Data'!$O$51/('Market Penetration'!M13*'Market Data'!$M$51))</f>
        <v>0</v>
      </c>
      <c r="AD13" s="450">
        <f>IF('Market Penetration'!N13=0,0,1000*N13*('Market Data'!$E$51+'Market Data'!$O$51+'Market Data'!$Y$51)/('Market Penetration'!N13*('Market Data'!$C$51+'Market Data'!$M$51+'Market Data'!$W$51)))</f>
        <v>26226.895861333258</v>
      </c>
      <c r="AE13" s="451">
        <f>IF('Market Penetration'!O13=0,0,1000*O13*('Market Data'!$E$51+'Market Data'!$O$51+'Market Data'!$Y$51)/('Market Penetration'!O13*('Market Data'!$C$51+'Market Data'!$M$51+'Market Data'!$W$51)))</f>
        <v>0</v>
      </c>
    </row>
    <row r="14" spans="1:31" ht="15" x14ac:dyDescent="0.25">
      <c r="A14" s="388">
        <v>2012</v>
      </c>
      <c r="B14" s="404">
        <f t="shared" si="8"/>
        <v>1</v>
      </c>
      <c r="C14" s="405">
        <f>'4-6 Gas'!$M81+'4-6 Gas'!$Z81</f>
        <v>0</v>
      </c>
      <c r="D14" s="405">
        <f>'4-6 Gas'!$M133+'4-6 Gas'!$Z133</f>
        <v>0</v>
      </c>
      <c r="E14" s="666">
        <f>'4-6 Gas'!$M185+'4-6 Gas'!$Z185</f>
        <v>0</v>
      </c>
      <c r="F14" s="405">
        <f>'4-6 Gas'!$M238+'4-6 Gas'!$Z238</f>
        <v>0</v>
      </c>
      <c r="G14" s="626">
        <f>'4-6 Gas'!$M291+'4-6 Gas'!$Z291</f>
        <v>0</v>
      </c>
      <c r="H14" s="833">
        <f t="shared" si="9"/>
        <v>1</v>
      </c>
      <c r="I14" s="626">
        <f>'4-6 Diesel'!$M81+'4-6 Diesel'!$Z81</f>
        <v>0</v>
      </c>
      <c r="J14" s="626">
        <f>'4-6 Diesel'!$M133+'4-6 Diesel'!$Z133</f>
        <v>0</v>
      </c>
      <c r="K14" s="626">
        <f>'4-6 Diesel'!$M185+'4-6 Diesel'!$Z185</f>
        <v>0</v>
      </c>
      <c r="L14" s="626">
        <f>'4-6 Diesel'!$M238+'4-6 Diesel'!$Z238</f>
        <v>0</v>
      </c>
      <c r="M14" s="671">
        <f>'4-6 Diesel'!$M291+'4-6 Diesel'!$Z291</f>
        <v>0</v>
      </c>
      <c r="N14" s="404">
        <f>B14*'Market Data'!$E$52+H14*'Market Data'!$O$52</f>
        <v>0.99999999999999989</v>
      </c>
      <c r="O14" s="406">
        <f>SUM(C14:G14)*'Market Data'!$E$52+SUM(I14:M14)*'Market Data'!$O$52</f>
        <v>0</v>
      </c>
      <c r="Q14" s="388">
        <v>2012</v>
      </c>
      <c r="R14" s="442">
        <f>IF('Market Penetration'!B14=0,0,1000*B14*'Market Data'!$E$51/('Market Penetration'!B14*'Market Data'!$C$51))</f>
        <v>19303.35601847613</v>
      </c>
      <c r="S14" s="443">
        <f>IF('Market Penetration'!C14=0,0,1000*C14*'Market Data'!$E$51/('Market Penetration'!C14*'Market Data'!$C$51))</f>
        <v>0</v>
      </c>
      <c r="T14" s="443">
        <f>IF('Market Penetration'!D14=0,0,1000*D14*'Market Data'!$E$51/('Market Penetration'!D14*'Market Data'!$C$51))</f>
        <v>0</v>
      </c>
      <c r="U14" s="661">
        <f>IF('Market Penetration'!E14=0,0,1000*E14*'Market Data'!$E$51/('Market Penetration'!E14*'Market Data'!$C$51))</f>
        <v>0</v>
      </c>
      <c r="V14" s="443">
        <f>IF('Market Penetration'!F14=0,0,1000*F14*'Market Data'!$E$51/('Market Penetration'!F14*'Market Data'!$C$51))</f>
        <v>0</v>
      </c>
      <c r="W14" s="656">
        <f>IF('Market Penetration'!G14=0,0,1000*G14*'Market Data'!$E$51/('Market Penetration'!G14*'Market Data'!$C$51))</f>
        <v>0</v>
      </c>
      <c r="X14" s="442">
        <f>IF('Market Penetration'!H14=0,0,1000*H14*'Market Data'!$O$51/('Market Penetration'!H14*'Market Data'!$M$51))</f>
        <v>27000.850071475434</v>
      </c>
      <c r="Y14" s="443">
        <f>IF('Market Penetration'!I14=0,0,1000*I14*'Market Data'!$O$51/('Market Penetration'!I14*'Market Data'!$M$51))</f>
        <v>0</v>
      </c>
      <c r="Z14" s="443">
        <f>IF('Market Penetration'!J14=0,0,1000*J14*'Market Data'!$O$51/('Market Penetration'!J14*'Market Data'!$M$51))</f>
        <v>0</v>
      </c>
      <c r="AA14" s="443">
        <f>IF('Market Penetration'!K14=0,0,1000*K14*'Market Data'!$O$51/('Market Penetration'!K14*'Market Data'!$M$51))</f>
        <v>0</v>
      </c>
      <c r="AB14" s="443">
        <f>IF('Market Penetration'!L14=0,0,1000*L14*'Market Data'!$O$51/('Market Penetration'!L14*'Market Data'!$M$51))</f>
        <v>0</v>
      </c>
      <c r="AC14" s="444">
        <f>IF('Market Penetration'!M14=0,0,1000*M14*'Market Data'!$O$51/('Market Penetration'!M14*'Market Data'!$M$51))</f>
        <v>0</v>
      </c>
      <c r="AD14" s="442">
        <f>IF('Market Penetration'!N14=0,0,1000*N14*('Market Data'!$E$51+'Market Data'!$O$51+'Market Data'!$Y$51)/('Market Penetration'!N14*('Market Data'!$C$51+'Market Data'!$M$51+'Market Data'!$W$51)))</f>
        <v>26226.895861333258</v>
      </c>
      <c r="AE14" s="444">
        <f>IF('Market Penetration'!O14=0,0,1000*O14*('Market Data'!$E$51+'Market Data'!$O$51+'Market Data'!$Y$51)/('Market Penetration'!O14*('Market Data'!$C$51+'Market Data'!$M$51+'Market Data'!$W$51)))</f>
        <v>0</v>
      </c>
    </row>
    <row r="15" spans="1:31" ht="15" x14ac:dyDescent="0.25">
      <c r="A15" s="388">
        <v>2013</v>
      </c>
      <c r="B15" s="404">
        <f t="shared" si="8"/>
        <v>1</v>
      </c>
      <c r="C15" s="405">
        <f>'4-6 Gas'!$M82+'4-6 Gas'!$Z82</f>
        <v>0</v>
      </c>
      <c r="D15" s="405">
        <f>'4-6 Gas'!$M134+'4-6 Gas'!$Z134</f>
        <v>0</v>
      </c>
      <c r="E15" s="666">
        <f>'4-6 Gas'!$M186+'4-6 Gas'!$Z186</f>
        <v>0</v>
      </c>
      <c r="F15" s="405">
        <f>'4-6 Gas'!$M239+'4-6 Gas'!$Z239</f>
        <v>0</v>
      </c>
      <c r="G15" s="626">
        <f>'4-6 Gas'!$M292+'4-6 Gas'!$Z292</f>
        <v>0</v>
      </c>
      <c r="H15" s="833">
        <f t="shared" si="9"/>
        <v>1</v>
      </c>
      <c r="I15" s="626">
        <f>'4-6 Diesel'!$M82+'4-6 Diesel'!$Z82</f>
        <v>0</v>
      </c>
      <c r="J15" s="626">
        <f>'4-6 Diesel'!$M134+'4-6 Diesel'!$Z134</f>
        <v>0</v>
      </c>
      <c r="K15" s="626">
        <f>'4-6 Diesel'!$M186+'4-6 Diesel'!$Z186</f>
        <v>0</v>
      </c>
      <c r="L15" s="626">
        <f>'4-6 Diesel'!$M239+'4-6 Diesel'!$Z239</f>
        <v>0</v>
      </c>
      <c r="M15" s="671">
        <f>'4-6 Diesel'!$M292+'4-6 Diesel'!$Z292</f>
        <v>0</v>
      </c>
      <c r="N15" s="404">
        <f>B15*'Market Data'!$E$52+H15*'Market Data'!$O$52</f>
        <v>0.99999999999999989</v>
      </c>
      <c r="O15" s="406">
        <f>SUM(C15:G15)*'Market Data'!$E$52+SUM(I15:M15)*'Market Data'!$O$52</f>
        <v>0</v>
      </c>
      <c r="Q15" s="388">
        <v>2013</v>
      </c>
      <c r="R15" s="442">
        <f>IF('Market Penetration'!B15=0,0,1000*B15*'Market Data'!$E$51/('Market Penetration'!B15*'Market Data'!$C$51))</f>
        <v>19303.35601847613</v>
      </c>
      <c r="S15" s="443">
        <f>IF('Market Penetration'!C15=0,0,1000*C15*'Market Data'!$E$51/('Market Penetration'!C15*'Market Data'!$C$51))</f>
        <v>0</v>
      </c>
      <c r="T15" s="443">
        <f>IF('Market Penetration'!D15=0,0,1000*D15*'Market Data'!$E$51/('Market Penetration'!D15*'Market Data'!$C$51))</f>
        <v>0</v>
      </c>
      <c r="U15" s="661">
        <f>IF('Market Penetration'!E15=0,0,1000*E15*'Market Data'!$E$51/('Market Penetration'!E15*'Market Data'!$C$51))</f>
        <v>0</v>
      </c>
      <c r="V15" s="443">
        <f>IF('Market Penetration'!F15=0,0,1000*F15*'Market Data'!$E$51/('Market Penetration'!F15*'Market Data'!$C$51))</f>
        <v>0</v>
      </c>
      <c r="W15" s="656">
        <f>IF('Market Penetration'!G15=0,0,1000*G15*'Market Data'!$E$51/('Market Penetration'!G15*'Market Data'!$C$51))</f>
        <v>0</v>
      </c>
      <c r="X15" s="442">
        <f>IF('Market Penetration'!H15=0,0,1000*H15*'Market Data'!$O$51/('Market Penetration'!H15*'Market Data'!$M$51))</f>
        <v>27000.850071475434</v>
      </c>
      <c r="Y15" s="443">
        <f>IF('Market Penetration'!I15=0,0,1000*I15*'Market Data'!$O$51/('Market Penetration'!I15*'Market Data'!$M$51))</f>
        <v>0</v>
      </c>
      <c r="Z15" s="443">
        <f>IF('Market Penetration'!J15=0,0,1000*J15*'Market Data'!$O$51/('Market Penetration'!J15*'Market Data'!$M$51))</f>
        <v>0</v>
      </c>
      <c r="AA15" s="443">
        <f>IF('Market Penetration'!K15=0,0,1000*K15*'Market Data'!$O$51/('Market Penetration'!K15*'Market Data'!$M$51))</f>
        <v>0</v>
      </c>
      <c r="AB15" s="443">
        <f>IF('Market Penetration'!L15=0,0,1000*L15*'Market Data'!$O$51/('Market Penetration'!L15*'Market Data'!$M$51))</f>
        <v>0</v>
      </c>
      <c r="AC15" s="444">
        <f>IF('Market Penetration'!M15=0,0,1000*M15*'Market Data'!$O$51/('Market Penetration'!M15*'Market Data'!$M$51))</f>
        <v>0</v>
      </c>
      <c r="AD15" s="442">
        <f>IF('Market Penetration'!N15=0,0,1000*N15*('Market Data'!$E$51+'Market Data'!$O$51+'Market Data'!$Y$51)/('Market Penetration'!N15*('Market Data'!$C$51+'Market Data'!$M$51+'Market Data'!$W$51)))</f>
        <v>26226.895861333258</v>
      </c>
      <c r="AE15" s="444">
        <f>IF('Market Penetration'!O15=0,0,1000*O15*('Market Data'!$E$51+'Market Data'!$O$51+'Market Data'!$Y$51)/('Market Penetration'!O15*('Market Data'!$C$51+'Market Data'!$M$51+'Market Data'!$W$51)))</f>
        <v>0</v>
      </c>
    </row>
    <row r="16" spans="1:31" ht="15" x14ac:dyDescent="0.25">
      <c r="A16" s="388">
        <v>2014</v>
      </c>
      <c r="B16" s="404">
        <f t="shared" si="8"/>
        <v>1</v>
      </c>
      <c r="C16" s="405">
        <f>'4-6 Gas'!$M83+'4-6 Gas'!$Z83</f>
        <v>0</v>
      </c>
      <c r="D16" s="405">
        <f>'4-6 Gas'!$M135+'4-6 Gas'!$Z135</f>
        <v>0</v>
      </c>
      <c r="E16" s="666">
        <f>'4-6 Gas'!$M187+'4-6 Gas'!$Z187</f>
        <v>0</v>
      </c>
      <c r="F16" s="405">
        <f>'4-6 Gas'!$M240+'4-6 Gas'!$Z240</f>
        <v>0</v>
      </c>
      <c r="G16" s="626">
        <f>'4-6 Gas'!$M293+'4-6 Gas'!$Z293</f>
        <v>0</v>
      </c>
      <c r="H16" s="833">
        <f t="shared" si="9"/>
        <v>1</v>
      </c>
      <c r="I16" s="626">
        <f>'4-6 Diesel'!$M83+'4-6 Diesel'!$Z83</f>
        <v>0</v>
      </c>
      <c r="J16" s="626">
        <f>'4-6 Diesel'!$M135+'4-6 Diesel'!$Z135</f>
        <v>0</v>
      </c>
      <c r="K16" s="626">
        <f>'4-6 Diesel'!$M187+'4-6 Diesel'!$Z187</f>
        <v>0</v>
      </c>
      <c r="L16" s="626">
        <f>'4-6 Diesel'!$M240+'4-6 Diesel'!$Z240</f>
        <v>0</v>
      </c>
      <c r="M16" s="671">
        <f>'4-6 Diesel'!$M293+'4-6 Diesel'!$Z293</f>
        <v>0</v>
      </c>
      <c r="N16" s="404">
        <f>B16*'Market Data'!$E$52+H16*'Market Data'!$O$52</f>
        <v>0.99999999999999989</v>
      </c>
      <c r="O16" s="406">
        <f>SUM(C16:G16)*'Market Data'!$E$52+SUM(I16:M16)*'Market Data'!$O$52</f>
        <v>0</v>
      </c>
      <c r="Q16" s="388">
        <v>2014</v>
      </c>
      <c r="R16" s="442">
        <f>IF('Market Penetration'!B16=0,0,1000*B16*'Market Data'!$E$51/('Market Penetration'!B16*'Market Data'!$C$51))</f>
        <v>19303.35601847613</v>
      </c>
      <c r="S16" s="443">
        <f>IF('Market Penetration'!C16=0,0,1000*C16*'Market Data'!$E$51/('Market Penetration'!C16*'Market Data'!$C$51))</f>
        <v>0</v>
      </c>
      <c r="T16" s="443">
        <f>IF('Market Penetration'!D16=0,0,1000*D16*'Market Data'!$E$51/('Market Penetration'!D16*'Market Data'!$C$51))</f>
        <v>0</v>
      </c>
      <c r="U16" s="661">
        <f>IF('Market Penetration'!E16=0,0,1000*E16*'Market Data'!$E$51/('Market Penetration'!E16*'Market Data'!$C$51))</f>
        <v>0</v>
      </c>
      <c r="V16" s="443">
        <f>IF('Market Penetration'!F16=0,0,1000*F16*'Market Data'!$E$51/('Market Penetration'!F16*'Market Data'!$C$51))</f>
        <v>0</v>
      </c>
      <c r="W16" s="656">
        <f>IF('Market Penetration'!G16=0,0,1000*G16*'Market Data'!$E$51/('Market Penetration'!G16*'Market Data'!$C$51))</f>
        <v>0</v>
      </c>
      <c r="X16" s="442">
        <f>IF('Market Penetration'!H16=0,0,1000*H16*'Market Data'!$O$51/('Market Penetration'!H16*'Market Data'!$M$51))</f>
        <v>27000.850071475434</v>
      </c>
      <c r="Y16" s="443">
        <f>IF('Market Penetration'!I16=0,0,1000*I16*'Market Data'!$O$51/('Market Penetration'!I16*'Market Data'!$M$51))</f>
        <v>0</v>
      </c>
      <c r="Z16" s="443">
        <f>IF('Market Penetration'!J16=0,0,1000*J16*'Market Data'!$O$51/('Market Penetration'!J16*'Market Data'!$M$51))</f>
        <v>0</v>
      </c>
      <c r="AA16" s="443">
        <f>IF('Market Penetration'!K16=0,0,1000*K16*'Market Data'!$O$51/('Market Penetration'!K16*'Market Data'!$M$51))</f>
        <v>0</v>
      </c>
      <c r="AB16" s="443">
        <f>IF('Market Penetration'!L16=0,0,1000*L16*'Market Data'!$O$51/('Market Penetration'!L16*'Market Data'!$M$51))</f>
        <v>0</v>
      </c>
      <c r="AC16" s="444">
        <f>IF('Market Penetration'!M16=0,0,1000*M16*'Market Data'!$O$51/('Market Penetration'!M16*'Market Data'!$M$51))</f>
        <v>0</v>
      </c>
      <c r="AD16" s="442">
        <f>IF('Market Penetration'!N16=0,0,1000*N16*('Market Data'!$E$51+'Market Data'!$O$51+'Market Data'!$Y$51)/('Market Penetration'!N16*('Market Data'!$C$51+'Market Data'!$M$51+'Market Data'!$W$51)))</f>
        <v>26226.895861333258</v>
      </c>
      <c r="AE16" s="444">
        <f>IF('Market Penetration'!O16=0,0,1000*O16*('Market Data'!$E$51+'Market Data'!$O$51+'Market Data'!$Y$51)/('Market Penetration'!O16*('Market Data'!$C$51+'Market Data'!$M$51+'Market Data'!$W$51)))</f>
        <v>0</v>
      </c>
    </row>
    <row r="17" spans="1:32" ht="15" x14ac:dyDescent="0.25">
      <c r="A17" s="387">
        <v>2015</v>
      </c>
      <c r="B17" s="407">
        <f t="shared" si="8"/>
        <v>1</v>
      </c>
      <c r="C17" s="408">
        <f>'4-6 Gas'!$M84+'4-6 Gas'!$Z84</f>
        <v>0</v>
      </c>
      <c r="D17" s="408">
        <f>'4-6 Gas'!$M136+'4-6 Gas'!$Z136</f>
        <v>0</v>
      </c>
      <c r="E17" s="667">
        <f>'4-6 Gas'!$M188+'4-6 Gas'!$Z188</f>
        <v>0</v>
      </c>
      <c r="F17" s="408">
        <f>'4-6 Gas'!$M241+'4-6 Gas'!$Z241</f>
        <v>0</v>
      </c>
      <c r="G17" s="627">
        <f>'4-6 Gas'!$M294+'4-6 Gas'!$Z294</f>
        <v>0</v>
      </c>
      <c r="H17" s="834">
        <f t="shared" si="9"/>
        <v>1</v>
      </c>
      <c r="I17" s="627">
        <f>'4-6 Diesel'!$M84+'4-6 Diesel'!$Z84</f>
        <v>0</v>
      </c>
      <c r="J17" s="627">
        <f>'4-6 Diesel'!$M136+'4-6 Diesel'!$Z136</f>
        <v>0</v>
      </c>
      <c r="K17" s="627">
        <f>'4-6 Diesel'!$M188+'4-6 Diesel'!$Z188</f>
        <v>0</v>
      </c>
      <c r="L17" s="627">
        <f>'4-6 Diesel'!$M241+'4-6 Diesel'!$Z241</f>
        <v>0</v>
      </c>
      <c r="M17" s="672">
        <f>'4-6 Diesel'!$M294+'4-6 Diesel'!$Z294</f>
        <v>0</v>
      </c>
      <c r="N17" s="407">
        <f>B17*'Market Data'!$E$52+H17*'Market Data'!$O$52</f>
        <v>0.99999999999999989</v>
      </c>
      <c r="O17" s="409">
        <f>SUM(C17:G17)*'Market Data'!$E$52+SUM(I17:M17)*'Market Data'!$O$52</f>
        <v>0</v>
      </c>
      <c r="Q17" s="387">
        <v>2015</v>
      </c>
      <c r="R17" s="445">
        <f>IF('Market Penetration'!B17=0,0,1000*B17*'Market Data'!$E$51/('Market Penetration'!B17*'Market Data'!$C$51))</f>
        <v>19303.35601847613</v>
      </c>
      <c r="S17" s="446">
        <f>IF('Market Penetration'!C17=0,0,1000*C17*'Market Data'!$E$51/('Market Penetration'!C17*'Market Data'!$C$51))</f>
        <v>0</v>
      </c>
      <c r="T17" s="446">
        <f>IF('Market Penetration'!D17=0,0,1000*D17*'Market Data'!$E$51/('Market Penetration'!D17*'Market Data'!$C$51))</f>
        <v>0</v>
      </c>
      <c r="U17" s="662">
        <f>IF('Market Penetration'!E17=0,0,1000*E17*'Market Data'!$E$51/('Market Penetration'!E17*'Market Data'!$C$51))</f>
        <v>0</v>
      </c>
      <c r="V17" s="446">
        <f>IF('Market Penetration'!F17=0,0,1000*F17*'Market Data'!$E$51/('Market Penetration'!F17*'Market Data'!$C$51))</f>
        <v>0</v>
      </c>
      <c r="W17" s="657">
        <f>IF('Market Penetration'!G17=0,0,1000*G17*'Market Data'!$E$51/('Market Penetration'!G17*'Market Data'!$C$51))</f>
        <v>0</v>
      </c>
      <c r="X17" s="445">
        <f>IF('Market Penetration'!H17=0,0,1000*H17*'Market Data'!$O$51/('Market Penetration'!H17*'Market Data'!$M$51))</f>
        <v>27000.850071475434</v>
      </c>
      <c r="Y17" s="446">
        <f>IF('Market Penetration'!I17=0,0,1000*I17*'Market Data'!$O$51/('Market Penetration'!I17*'Market Data'!$M$51))</f>
        <v>0</v>
      </c>
      <c r="Z17" s="446">
        <f>IF('Market Penetration'!J17=0,0,1000*J17*'Market Data'!$O$51/('Market Penetration'!J17*'Market Data'!$M$51))</f>
        <v>0</v>
      </c>
      <c r="AA17" s="446">
        <f>IF('Market Penetration'!K17=0,0,1000*K17*'Market Data'!$O$51/('Market Penetration'!K17*'Market Data'!$M$51))</f>
        <v>0</v>
      </c>
      <c r="AB17" s="446">
        <f>IF('Market Penetration'!L17=0,0,1000*L17*'Market Data'!$O$51/('Market Penetration'!L17*'Market Data'!$M$51))</f>
        <v>0</v>
      </c>
      <c r="AC17" s="447">
        <f>IF('Market Penetration'!M17=0,0,1000*M17*'Market Data'!$O$51/('Market Penetration'!M17*'Market Data'!$M$51))</f>
        <v>0</v>
      </c>
      <c r="AD17" s="445">
        <f>IF('Market Penetration'!N17=0,0,1000*N17*('Market Data'!$E$51+'Market Data'!$O$51+'Market Data'!$Y$51)/('Market Penetration'!N17*('Market Data'!$C$51+'Market Data'!$M$51+'Market Data'!$W$51)))</f>
        <v>26226.895861333258</v>
      </c>
      <c r="AE17" s="447">
        <f>IF('Market Penetration'!O17=0,0,1000*O17*('Market Data'!$E$51+'Market Data'!$O$51+'Market Data'!$Y$51)/('Market Penetration'!O17*('Market Data'!$C$51+'Market Data'!$M$51+'Market Data'!$W$51)))</f>
        <v>0</v>
      </c>
    </row>
    <row r="18" spans="1:32" ht="15" x14ac:dyDescent="0.25">
      <c r="A18" s="410">
        <v>2016</v>
      </c>
      <c r="B18" s="411">
        <f t="shared" si="8"/>
        <v>1</v>
      </c>
      <c r="C18" s="412">
        <f>'4-6 Gas'!$M85+'4-6 Gas'!$Z85</f>
        <v>0</v>
      </c>
      <c r="D18" s="412">
        <f>'4-6 Gas'!$M137+'4-6 Gas'!$Z137</f>
        <v>0</v>
      </c>
      <c r="E18" s="668">
        <f>'4-6 Gas'!$M189+'4-6 Gas'!$Z189</f>
        <v>0</v>
      </c>
      <c r="F18" s="412">
        <f>'4-6 Gas'!$M242+'4-6 Gas'!$Z242</f>
        <v>0</v>
      </c>
      <c r="G18" s="628">
        <f>'4-6 Gas'!$M295+'4-6 Gas'!$Z295</f>
        <v>0</v>
      </c>
      <c r="H18" s="835">
        <f t="shared" si="9"/>
        <v>1</v>
      </c>
      <c r="I18" s="628">
        <f>'4-6 Diesel'!$M85+'4-6 Diesel'!$Z85</f>
        <v>0</v>
      </c>
      <c r="J18" s="628">
        <f>'4-6 Diesel'!$M137+'4-6 Diesel'!$Z137</f>
        <v>0</v>
      </c>
      <c r="K18" s="628">
        <f>'4-6 Diesel'!$M189+'4-6 Diesel'!$Z189</f>
        <v>0</v>
      </c>
      <c r="L18" s="628">
        <f>'4-6 Diesel'!$M242+'4-6 Diesel'!$Z242</f>
        <v>0</v>
      </c>
      <c r="M18" s="673">
        <f>'4-6 Diesel'!$M295+'4-6 Diesel'!$Z295</f>
        <v>0</v>
      </c>
      <c r="N18" s="414">
        <f>B18*'Market Data'!$E$52+H18*'Market Data'!$O$52</f>
        <v>0.99999999999999989</v>
      </c>
      <c r="O18" s="415">
        <f>SUM(C18:G18)*'Market Data'!$E$52+SUM(I18:M18)*'Market Data'!$O$52</f>
        <v>0</v>
      </c>
      <c r="Q18" s="410">
        <v>2016</v>
      </c>
      <c r="R18" s="448">
        <f>IF('Market Penetration'!B18=0,0,1000*B18*'Market Data'!$E$51/('Market Penetration'!B18*'Market Data'!$C$51))</f>
        <v>19303.35601847613</v>
      </c>
      <c r="S18" s="449">
        <f>IF('Market Penetration'!C18=0,0,1000*C18*'Market Data'!$E$51/('Market Penetration'!C18*'Market Data'!$C$51))</f>
        <v>0</v>
      </c>
      <c r="T18" s="449">
        <f>IF('Market Penetration'!D18=0,0,1000*D18*'Market Data'!$E$51/('Market Penetration'!D18*'Market Data'!$C$51))</f>
        <v>0</v>
      </c>
      <c r="U18" s="663">
        <f>IF('Market Penetration'!E18=0,0,1000*E18*'Market Data'!$E$51/('Market Penetration'!E18*'Market Data'!$C$51))</f>
        <v>0</v>
      </c>
      <c r="V18" s="449">
        <f>IF('Market Penetration'!F18=0,0,1000*F18*'Market Data'!$E$51/('Market Penetration'!F18*'Market Data'!$C$51))</f>
        <v>0</v>
      </c>
      <c r="W18" s="658">
        <f>IF('Market Penetration'!G18=0,0,1000*G18*'Market Data'!$E$51/('Market Penetration'!G18*'Market Data'!$C$51))</f>
        <v>0</v>
      </c>
      <c r="X18" s="448">
        <f>IF('Market Penetration'!H18=0,0,1000*H18*'Market Data'!$O$51/('Market Penetration'!H18*'Market Data'!$M$51))</f>
        <v>27000.850071475434</v>
      </c>
      <c r="Y18" s="449">
        <f>IF('Market Penetration'!I18=0,0,1000*I18*'Market Data'!$O$51/('Market Penetration'!I18*'Market Data'!$M$51))</f>
        <v>0</v>
      </c>
      <c r="Z18" s="449">
        <f>IF('Market Penetration'!J18=0,0,1000*J18*'Market Data'!$O$51/('Market Penetration'!J18*'Market Data'!$M$51))</f>
        <v>0</v>
      </c>
      <c r="AA18" s="449">
        <f>IF('Market Penetration'!K18=0,0,1000*K18*'Market Data'!$O$51/('Market Penetration'!K18*'Market Data'!$M$51))</f>
        <v>0</v>
      </c>
      <c r="AB18" s="449">
        <f>IF('Market Penetration'!L18=0,0,1000*L18*'Market Data'!$O$51/('Market Penetration'!L18*'Market Data'!$M$51))</f>
        <v>0</v>
      </c>
      <c r="AC18" s="839">
        <f>IF('Market Penetration'!M18=0,0,1000*M18*'Market Data'!$O$51/('Market Penetration'!M18*'Market Data'!$M$51))</f>
        <v>0</v>
      </c>
      <c r="AD18" s="450">
        <f>IF('Market Penetration'!N18=0,0,1000*N18*('Market Data'!$E$51+'Market Data'!$O$51+'Market Data'!$Y$51)/('Market Penetration'!N18*('Market Data'!$C$51+'Market Data'!$M$51+'Market Data'!$W$51)))</f>
        <v>26226.895861333258</v>
      </c>
      <c r="AE18" s="451">
        <f>IF('Market Penetration'!O18=0,0,1000*O18*('Market Data'!$E$51+'Market Data'!$O$51+'Market Data'!$Y$51)/('Market Penetration'!O18*('Market Data'!$C$51+'Market Data'!$M$51+'Market Data'!$W$51)))</f>
        <v>0</v>
      </c>
    </row>
    <row r="19" spans="1:32" ht="15" x14ac:dyDescent="0.25">
      <c r="A19" s="388">
        <v>2017</v>
      </c>
      <c r="B19" s="404">
        <f t="shared" si="8"/>
        <v>1</v>
      </c>
      <c r="C19" s="405">
        <f>'4-6 Gas'!$M86+'4-6 Gas'!$Z86</f>
        <v>0</v>
      </c>
      <c r="D19" s="405">
        <f>'4-6 Gas'!$M138+'4-6 Gas'!$Z138</f>
        <v>0</v>
      </c>
      <c r="E19" s="666">
        <f>'4-6 Gas'!$M190+'4-6 Gas'!$Z190</f>
        <v>0</v>
      </c>
      <c r="F19" s="405">
        <f>'4-6 Gas'!$M243+'4-6 Gas'!$Z243</f>
        <v>0</v>
      </c>
      <c r="G19" s="626">
        <f>'4-6 Gas'!$M296+'4-6 Gas'!$Z296</f>
        <v>0</v>
      </c>
      <c r="H19" s="833">
        <f t="shared" si="9"/>
        <v>1</v>
      </c>
      <c r="I19" s="626">
        <f>'4-6 Diesel'!$M86+'4-6 Diesel'!$Z86</f>
        <v>0</v>
      </c>
      <c r="J19" s="626">
        <f>'4-6 Diesel'!$M138+'4-6 Diesel'!$Z138</f>
        <v>0</v>
      </c>
      <c r="K19" s="626">
        <f>'4-6 Diesel'!$M190+'4-6 Diesel'!$Z190</f>
        <v>0</v>
      </c>
      <c r="L19" s="626">
        <f>'4-6 Diesel'!$M243+'4-6 Diesel'!$Z243</f>
        <v>0</v>
      </c>
      <c r="M19" s="671">
        <f>'4-6 Diesel'!$M296+'4-6 Diesel'!$Z296</f>
        <v>0</v>
      </c>
      <c r="N19" s="404">
        <f>B19*'Market Data'!$E$52+H19*'Market Data'!$O$52</f>
        <v>0.99999999999999989</v>
      </c>
      <c r="O19" s="406">
        <f>SUM(C19:G19)*'Market Data'!$E$52+SUM(I19:M19)*'Market Data'!$O$52</f>
        <v>0</v>
      </c>
      <c r="Q19" s="388">
        <v>2017</v>
      </c>
      <c r="R19" s="442">
        <f>IF('Market Penetration'!B19=0,0,1000*B19*'Market Data'!$E$51/('Market Penetration'!B19*'Market Data'!$C$51))</f>
        <v>19303.35601847613</v>
      </c>
      <c r="S19" s="443">
        <f>IF('Market Penetration'!C19=0,0,1000*C19*'Market Data'!$E$51/('Market Penetration'!C19*'Market Data'!$C$51))</f>
        <v>0</v>
      </c>
      <c r="T19" s="443">
        <f>IF('Market Penetration'!D19=0,0,1000*D19*'Market Data'!$E$51/('Market Penetration'!D19*'Market Data'!$C$51))</f>
        <v>0</v>
      </c>
      <c r="U19" s="661">
        <f>IF('Market Penetration'!E19=0,0,1000*E19*'Market Data'!$E$51/('Market Penetration'!E19*'Market Data'!$C$51))</f>
        <v>0</v>
      </c>
      <c r="V19" s="443">
        <f>IF('Market Penetration'!F19=0,0,1000*F19*'Market Data'!$E$51/('Market Penetration'!F19*'Market Data'!$C$51))</f>
        <v>0</v>
      </c>
      <c r="W19" s="656">
        <f>IF('Market Penetration'!G19=0,0,1000*G19*'Market Data'!$E$51/('Market Penetration'!G19*'Market Data'!$C$51))</f>
        <v>0</v>
      </c>
      <c r="X19" s="442">
        <f>IF('Market Penetration'!H19=0,0,1000*H19*'Market Data'!$O$51/('Market Penetration'!H19*'Market Data'!$M$51))</f>
        <v>27000.850071475434</v>
      </c>
      <c r="Y19" s="443">
        <f>IF('Market Penetration'!I19=0,0,1000*I19*'Market Data'!$O$51/('Market Penetration'!I19*'Market Data'!$M$51))</f>
        <v>0</v>
      </c>
      <c r="Z19" s="443">
        <f>IF('Market Penetration'!J19=0,0,1000*J19*'Market Data'!$O$51/('Market Penetration'!J19*'Market Data'!$M$51))</f>
        <v>0</v>
      </c>
      <c r="AA19" s="443">
        <f>IF('Market Penetration'!K19=0,0,1000*K19*'Market Data'!$O$51/('Market Penetration'!K19*'Market Data'!$M$51))</f>
        <v>0</v>
      </c>
      <c r="AB19" s="443">
        <f>IF('Market Penetration'!L19=0,0,1000*L19*'Market Data'!$O$51/('Market Penetration'!L19*'Market Data'!$M$51))</f>
        <v>0</v>
      </c>
      <c r="AC19" s="444">
        <f>IF('Market Penetration'!M19=0,0,1000*M19*'Market Data'!$O$51/('Market Penetration'!M19*'Market Data'!$M$51))</f>
        <v>0</v>
      </c>
      <c r="AD19" s="442">
        <f>IF('Market Penetration'!N19=0,0,1000*N19*('Market Data'!$E$51+'Market Data'!$O$51+'Market Data'!$Y$51)/('Market Penetration'!N19*('Market Data'!$C$51+'Market Data'!$M$51+'Market Data'!$W$51)))</f>
        <v>26226.895861333258</v>
      </c>
      <c r="AE19" s="444">
        <f>IF('Market Penetration'!O19=0,0,1000*O19*('Market Data'!$E$51+'Market Data'!$O$51+'Market Data'!$Y$51)/('Market Penetration'!O19*('Market Data'!$C$51+'Market Data'!$M$51+'Market Data'!$W$51)))</f>
        <v>0</v>
      </c>
    </row>
    <row r="20" spans="1:32" ht="15" x14ac:dyDescent="0.25">
      <c r="A20" s="388">
        <v>2018</v>
      </c>
      <c r="B20" s="404">
        <f t="shared" si="8"/>
        <v>1</v>
      </c>
      <c r="C20" s="405">
        <f>'4-6 Gas'!$M87+'4-6 Gas'!$Z87</f>
        <v>0</v>
      </c>
      <c r="D20" s="405">
        <f>'4-6 Gas'!$M139+'4-6 Gas'!$Z139</f>
        <v>0</v>
      </c>
      <c r="E20" s="666">
        <f>'4-6 Gas'!$M191+'4-6 Gas'!$Z191</f>
        <v>0</v>
      </c>
      <c r="F20" s="405">
        <f>'4-6 Gas'!$M244+'4-6 Gas'!$Z244</f>
        <v>0</v>
      </c>
      <c r="G20" s="626">
        <f>'4-6 Gas'!$M297+'4-6 Gas'!$Z297</f>
        <v>0</v>
      </c>
      <c r="H20" s="833">
        <f t="shared" si="9"/>
        <v>1</v>
      </c>
      <c r="I20" s="626">
        <f>'4-6 Diesel'!$M87+'4-6 Diesel'!$Z87</f>
        <v>0</v>
      </c>
      <c r="J20" s="626">
        <f>'4-6 Diesel'!$M139+'4-6 Diesel'!$Z139</f>
        <v>0</v>
      </c>
      <c r="K20" s="626">
        <f>'4-6 Diesel'!$M191+'4-6 Diesel'!$Z191</f>
        <v>0</v>
      </c>
      <c r="L20" s="626">
        <f>'4-6 Diesel'!$M244+'4-6 Diesel'!$Z244</f>
        <v>0</v>
      </c>
      <c r="M20" s="671">
        <f>'4-6 Diesel'!$M297+'4-6 Diesel'!$Z297</f>
        <v>0</v>
      </c>
      <c r="N20" s="404">
        <f>B20*'Market Data'!$E$52+H20*'Market Data'!$O$52</f>
        <v>0.99999999999999989</v>
      </c>
      <c r="O20" s="406">
        <f>SUM(C20:G20)*'Market Data'!$E$52+SUM(I20:M20)*'Market Data'!$O$52</f>
        <v>0</v>
      </c>
      <c r="Q20" s="388">
        <v>2018</v>
      </c>
      <c r="R20" s="442">
        <f>IF('Market Penetration'!B20=0,0,1000*B20*'Market Data'!$E$51/('Market Penetration'!B20*'Market Data'!$C$51))</f>
        <v>19303.35601847613</v>
      </c>
      <c r="S20" s="443">
        <f>IF('Market Penetration'!C20=0,0,1000*C20*'Market Data'!$E$51/('Market Penetration'!C20*'Market Data'!$C$51))</f>
        <v>0</v>
      </c>
      <c r="T20" s="443">
        <f>IF('Market Penetration'!D20=0,0,1000*D20*'Market Data'!$E$51/('Market Penetration'!D20*'Market Data'!$C$51))</f>
        <v>0</v>
      </c>
      <c r="U20" s="661">
        <f>IF('Market Penetration'!E20=0,0,1000*E20*'Market Data'!$E$51/('Market Penetration'!E20*'Market Data'!$C$51))</f>
        <v>0</v>
      </c>
      <c r="V20" s="443">
        <f>IF('Market Penetration'!F20=0,0,1000*F20*'Market Data'!$E$51/('Market Penetration'!F20*'Market Data'!$C$51))</f>
        <v>0</v>
      </c>
      <c r="W20" s="656">
        <f>IF('Market Penetration'!G20=0,0,1000*G20*'Market Data'!$E$51/('Market Penetration'!G20*'Market Data'!$C$51))</f>
        <v>0</v>
      </c>
      <c r="X20" s="442">
        <f>IF('Market Penetration'!H20=0,0,1000*H20*'Market Data'!$O$51/('Market Penetration'!H20*'Market Data'!$M$51))</f>
        <v>27000.850071475434</v>
      </c>
      <c r="Y20" s="443">
        <f>IF('Market Penetration'!I20=0,0,1000*I20*'Market Data'!$O$51/('Market Penetration'!I20*'Market Data'!$M$51))</f>
        <v>0</v>
      </c>
      <c r="Z20" s="443">
        <f>IF('Market Penetration'!J20=0,0,1000*J20*'Market Data'!$O$51/('Market Penetration'!J20*'Market Data'!$M$51))</f>
        <v>0</v>
      </c>
      <c r="AA20" s="443">
        <f>IF('Market Penetration'!K20=0,0,1000*K20*'Market Data'!$O$51/('Market Penetration'!K20*'Market Data'!$M$51))</f>
        <v>0</v>
      </c>
      <c r="AB20" s="443">
        <f>IF('Market Penetration'!L20=0,0,1000*L20*'Market Data'!$O$51/('Market Penetration'!L20*'Market Data'!$M$51))</f>
        <v>0</v>
      </c>
      <c r="AC20" s="444">
        <f>IF('Market Penetration'!M20=0,0,1000*M20*'Market Data'!$O$51/('Market Penetration'!M20*'Market Data'!$M$51))</f>
        <v>0</v>
      </c>
      <c r="AD20" s="442">
        <f>IF('Market Penetration'!N20=0,0,1000*N20*('Market Data'!$E$51+'Market Data'!$O$51+'Market Data'!$Y$51)/('Market Penetration'!N20*('Market Data'!$C$51+'Market Data'!$M$51+'Market Data'!$W$51)))</f>
        <v>26226.895861333258</v>
      </c>
      <c r="AE20" s="444">
        <f>IF('Market Penetration'!O20=0,0,1000*O20*('Market Data'!$E$51+'Market Data'!$O$51+'Market Data'!$Y$51)/('Market Penetration'!O20*('Market Data'!$C$51+'Market Data'!$M$51+'Market Data'!$W$51)))</f>
        <v>0</v>
      </c>
    </row>
    <row r="21" spans="1:32" ht="15" x14ac:dyDescent="0.25">
      <c r="A21" s="388">
        <v>2019</v>
      </c>
      <c r="B21" s="404">
        <f t="shared" si="8"/>
        <v>1</v>
      </c>
      <c r="C21" s="405">
        <f>'4-6 Gas'!$M88+'4-6 Gas'!$Z88</f>
        <v>0</v>
      </c>
      <c r="D21" s="405">
        <f>'4-6 Gas'!$M140+'4-6 Gas'!$Z140</f>
        <v>0</v>
      </c>
      <c r="E21" s="666">
        <f>'4-6 Gas'!$M192+'4-6 Gas'!$Z192</f>
        <v>0</v>
      </c>
      <c r="F21" s="405">
        <f>'4-6 Gas'!$M245+'4-6 Gas'!$Z245</f>
        <v>0</v>
      </c>
      <c r="G21" s="626">
        <f>'4-6 Gas'!$M298+'4-6 Gas'!$Z298</f>
        <v>0</v>
      </c>
      <c r="H21" s="833">
        <f t="shared" si="9"/>
        <v>1</v>
      </c>
      <c r="I21" s="626">
        <f>'4-6 Diesel'!$M88+'4-6 Diesel'!$Z88</f>
        <v>0</v>
      </c>
      <c r="J21" s="626">
        <f>'4-6 Diesel'!$M140+'4-6 Diesel'!$Z140</f>
        <v>0</v>
      </c>
      <c r="K21" s="626">
        <f>'4-6 Diesel'!$M192+'4-6 Diesel'!$Z192</f>
        <v>0</v>
      </c>
      <c r="L21" s="626">
        <f>'4-6 Diesel'!$M245+'4-6 Diesel'!$Z245</f>
        <v>0</v>
      </c>
      <c r="M21" s="671">
        <f>'4-6 Diesel'!$M298+'4-6 Diesel'!$Z298</f>
        <v>0</v>
      </c>
      <c r="N21" s="404">
        <f>B21*'Market Data'!$E$52+H21*'Market Data'!$O$52</f>
        <v>0.99999999999999989</v>
      </c>
      <c r="O21" s="406">
        <f>SUM(C21:G21)*'Market Data'!$E$52+SUM(I21:M21)*'Market Data'!$O$52</f>
        <v>0</v>
      </c>
      <c r="Q21" s="388">
        <v>2019</v>
      </c>
      <c r="R21" s="442">
        <f>IF('Market Penetration'!B21=0,0,1000*B21*'Market Data'!$E$51/('Market Penetration'!B21*'Market Data'!$C$51))</f>
        <v>19303.35601847613</v>
      </c>
      <c r="S21" s="443">
        <f>IF('Market Penetration'!C21=0,0,1000*C21*'Market Data'!$E$51/('Market Penetration'!C21*'Market Data'!$C$51))</f>
        <v>0</v>
      </c>
      <c r="T21" s="443">
        <f>IF('Market Penetration'!D21=0,0,1000*D21*'Market Data'!$E$51/('Market Penetration'!D21*'Market Data'!$C$51))</f>
        <v>0</v>
      </c>
      <c r="U21" s="661">
        <f>IF('Market Penetration'!E21=0,0,1000*E21*'Market Data'!$E$51/('Market Penetration'!E21*'Market Data'!$C$51))</f>
        <v>0</v>
      </c>
      <c r="V21" s="443">
        <f>IF('Market Penetration'!F21=0,0,1000*F21*'Market Data'!$E$51/('Market Penetration'!F21*'Market Data'!$C$51))</f>
        <v>0</v>
      </c>
      <c r="W21" s="656">
        <f>IF('Market Penetration'!G21=0,0,1000*G21*'Market Data'!$E$51/('Market Penetration'!G21*'Market Data'!$C$51))</f>
        <v>0</v>
      </c>
      <c r="X21" s="442">
        <f>IF('Market Penetration'!H21=0,0,1000*H21*'Market Data'!$O$51/('Market Penetration'!H21*'Market Data'!$M$51))</f>
        <v>27000.850071475434</v>
      </c>
      <c r="Y21" s="443">
        <f>IF('Market Penetration'!I21=0,0,1000*I21*'Market Data'!$O$51/('Market Penetration'!I21*'Market Data'!$M$51))</f>
        <v>0</v>
      </c>
      <c r="Z21" s="443">
        <f>IF('Market Penetration'!J21=0,0,1000*J21*'Market Data'!$O$51/('Market Penetration'!J21*'Market Data'!$M$51))</f>
        <v>0</v>
      </c>
      <c r="AA21" s="443">
        <f>IF('Market Penetration'!K21=0,0,1000*K21*'Market Data'!$O$51/('Market Penetration'!K21*'Market Data'!$M$51))</f>
        <v>0</v>
      </c>
      <c r="AB21" s="443">
        <f>IF('Market Penetration'!L21=0,0,1000*L21*'Market Data'!$O$51/('Market Penetration'!L21*'Market Data'!$M$51))</f>
        <v>0</v>
      </c>
      <c r="AC21" s="444">
        <f>IF('Market Penetration'!M21=0,0,1000*M21*'Market Data'!$O$51/('Market Penetration'!M21*'Market Data'!$M$51))</f>
        <v>0</v>
      </c>
      <c r="AD21" s="442">
        <f>IF('Market Penetration'!N21=0,0,1000*N21*('Market Data'!$E$51+'Market Data'!$O$51+'Market Data'!$Y$51)/('Market Penetration'!N21*('Market Data'!$C$51+'Market Data'!$M$51+'Market Data'!$W$51)))</f>
        <v>26226.895861333258</v>
      </c>
      <c r="AE21" s="444">
        <f>IF('Market Penetration'!O21=0,0,1000*O21*('Market Data'!$E$51+'Market Data'!$O$51+'Market Data'!$Y$51)/('Market Penetration'!O21*('Market Data'!$C$51+'Market Data'!$M$51+'Market Data'!$W$51)))</f>
        <v>0</v>
      </c>
    </row>
    <row r="22" spans="1:32" ht="15" x14ac:dyDescent="0.25">
      <c r="A22" s="387">
        <v>2020</v>
      </c>
      <c r="B22" s="407">
        <f t="shared" si="8"/>
        <v>1</v>
      </c>
      <c r="C22" s="408">
        <f>'4-6 Gas'!$M89+'4-6 Gas'!$Z89</f>
        <v>0</v>
      </c>
      <c r="D22" s="408">
        <f>'4-6 Gas'!$M141+'4-6 Gas'!$Z141</f>
        <v>0</v>
      </c>
      <c r="E22" s="667">
        <f>'4-6 Gas'!$M193+'4-6 Gas'!$Z193</f>
        <v>0</v>
      </c>
      <c r="F22" s="408">
        <f>'4-6 Gas'!$M246+'4-6 Gas'!$Z246</f>
        <v>0</v>
      </c>
      <c r="G22" s="627">
        <f>'4-6 Gas'!$M299+'4-6 Gas'!$Z299</f>
        <v>0</v>
      </c>
      <c r="H22" s="834">
        <f t="shared" si="9"/>
        <v>1</v>
      </c>
      <c r="I22" s="627">
        <f>'4-6 Diesel'!$M89+'4-6 Diesel'!$Z89</f>
        <v>0</v>
      </c>
      <c r="J22" s="627">
        <f>'4-6 Diesel'!$M141+'4-6 Diesel'!$Z141</f>
        <v>0</v>
      </c>
      <c r="K22" s="627">
        <f>'4-6 Diesel'!$M193+'4-6 Diesel'!$Z193</f>
        <v>0</v>
      </c>
      <c r="L22" s="627">
        <f>'4-6 Diesel'!$M246+'4-6 Diesel'!$Z246</f>
        <v>0</v>
      </c>
      <c r="M22" s="672">
        <f>'4-6 Diesel'!$M299+'4-6 Diesel'!$Z299</f>
        <v>0</v>
      </c>
      <c r="N22" s="407">
        <f>B22*'Market Data'!$E$52+H22*'Market Data'!$O$52</f>
        <v>0.99999999999999989</v>
      </c>
      <c r="O22" s="409">
        <f>SUM(C22:G22)*'Market Data'!$E$52+SUM(I22:M22)*'Market Data'!$O$52</f>
        <v>0</v>
      </c>
      <c r="Q22" s="387">
        <v>2020</v>
      </c>
      <c r="R22" s="445">
        <f>IF('Market Penetration'!B22=0,0,1000*B22*'Market Data'!$E$51/('Market Penetration'!B22*'Market Data'!$C$51))</f>
        <v>19303.35601847613</v>
      </c>
      <c r="S22" s="446">
        <f>IF('Market Penetration'!C22=0,0,1000*C22*'Market Data'!$E$51/('Market Penetration'!C22*'Market Data'!$C$51))</f>
        <v>0</v>
      </c>
      <c r="T22" s="446">
        <f>IF('Market Penetration'!D22=0,0,1000*D22*'Market Data'!$E$51/('Market Penetration'!D22*'Market Data'!$C$51))</f>
        <v>0</v>
      </c>
      <c r="U22" s="662">
        <f>IF('Market Penetration'!E22=0,0,1000*E22*'Market Data'!$E$51/('Market Penetration'!E22*'Market Data'!$C$51))</f>
        <v>0</v>
      </c>
      <c r="V22" s="446">
        <f>IF('Market Penetration'!F22=0,0,1000*F22*'Market Data'!$E$51/('Market Penetration'!F22*'Market Data'!$C$51))</f>
        <v>0</v>
      </c>
      <c r="W22" s="657">
        <f>IF('Market Penetration'!G22=0,0,1000*G22*'Market Data'!$E$51/('Market Penetration'!G22*'Market Data'!$C$51))</f>
        <v>0</v>
      </c>
      <c r="X22" s="445">
        <f>IF('Market Penetration'!H22=0,0,1000*H22*'Market Data'!$O$51/('Market Penetration'!H22*'Market Data'!$M$51))</f>
        <v>27000.850071475434</v>
      </c>
      <c r="Y22" s="446">
        <f>IF('Market Penetration'!I22=0,0,1000*I22*'Market Data'!$O$51/('Market Penetration'!I22*'Market Data'!$M$51))</f>
        <v>0</v>
      </c>
      <c r="Z22" s="446">
        <f>IF('Market Penetration'!J22=0,0,1000*J22*'Market Data'!$O$51/('Market Penetration'!J22*'Market Data'!$M$51))</f>
        <v>0</v>
      </c>
      <c r="AA22" s="446">
        <f>IF('Market Penetration'!K22=0,0,1000*K22*'Market Data'!$O$51/('Market Penetration'!K22*'Market Data'!$M$51))</f>
        <v>0</v>
      </c>
      <c r="AB22" s="446">
        <f>IF('Market Penetration'!L22=0,0,1000*L22*'Market Data'!$O$51/('Market Penetration'!L22*'Market Data'!$M$51))</f>
        <v>0</v>
      </c>
      <c r="AC22" s="447">
        <f>IF('Market Penetration'!M22=0,0,1000*M22*'Market Data'!$O$51/('Market Penetration'!M22*'Market Data'!$M$51))</f>
        <v>0</v>
      </c>
      <c r="AD22" s="445">
        <f>IF('Market Penetration'!N22=0,0,1000*N22*('Market Data'!$E$51+'Market Data'!$O$51+'Market Data'!$Y$51)/('Market Penetration'!N22*('Market Data'!$C$51+'Market Data'!$M$51+'Market Data'!$W$51)))</f>
        <v>26226.895861333258</v>
      </c>
      <c r="AE22" s="447">
        <f>IF('Market Penetration'!O22=0,0,1000*O22*('Market Data'!$E$51+'Market Data'!$O$51+'Market Data'!$Y$51)/('Market Penetration'!O22*('Market Data'!$C$51+'Market Data'!$M$51+'Market Data'!$W$51)))</f>
        <v>0</v>
      </c>
    </row>
    <row r="23" spans="1:32" ht="15" x14ac:dyDescent="0.25">
      <c r="A23" s="410">
        <v>2021</v>
      </c>
      <c r="B23" s="411">
        <f t="shared" si="8"/>
        <v>1</v>
      </c>
      <c r="C23" s="412">
        <f>'4-6 Gas'!$M90+'4-6 Gas'!$Z90</f>
        <v>0</v>
      </c>
      <c r="D23" s="412">
        <f>'4-6 Gas'!$M142+'4-6 Gas'!$Z142</f>
        <v>0</v>
      </c>
      <c r="E23" s="668">
        <f>'4-6 Gas'!$M194+'4-6 Gas'!$Z194</f>
        <v>0</v>
      </c>
      <c r="F23" s="412">
        <f>'4-6 Gas'!$M247+'4-6 Gas'!$Z247</f>
        <v>0</v>
      </c>
      <c r="G23" s="628">
        <f>'4-6 Gas'!$M300+'4-6 Gas'!$Z300</f>
        <v>0</v>
      </c>
      <c r="H23" s="835">
        <f t="shared" si="9"/>
        <v>1</v>
      </c>
      <c r="I23" s="628">
        <f>'4-6 Diesel'!$M90+'4-6 Diesel'!$Z90</f>
        <v>0</v>
      </c>
      <c r="J23" s="628">
        <f>'4-6 Diesel'!$M142+'4-6 Diesel'!$Z142</f>
        <v>0</v>
      </c>
      <c r="K23" s="628">
        <f>'4-6 Diesel'!$M194+'4-6 Diesel'!$Z194</f>
        <v>0</v>
      </c>
      <c r="L23" s="628">
        <f>'4-6 Diesel'!$M247+'4-6 Diesel'!$Z247</f>
        <v>0</v>
      </c>
      <c r="M23" s="673">
        <f>'4-6 Diesel'!$M300+'4-6 Diesel'!$Z300</f>
        <v>0</v>
      </c>
      <c r="N23" s="414">
        <f>B23*'Market Data'!$E$52+H23*'Market Data'!$O$52</f>
        <v>0.99999999999999989</v>
      </c>
      <c r="O23" s="415">
        <f>SUM(C23:G23)*'Market Data'!$E$52+SUM(I23:M23)*'Market Data'!$O$52</f>
        <v>0</v>
      </c>
      <c r="Q23" s="410">
        <v>2021</v>
      </c>
      <c r="R23" s="448">
        <f>IF('Market Penetration'!B23=0,0,1000*B23*'Market Data'!$E$51/('Market Penetration'!B23*'Market Data'!$C$51))</f>
        <v>19303.35601847613</v>
      </c>
      <c r="S23" s="449">
        <f>IF('Market Penetration'!C23=0,0,1000*C23*'Market Data'!$E$51/('Market Penetration'!C23*'Market Data'!$C$51))</f>
        <v>0</v>
      </c>
      <c r="T23" s="449">
        <f>IF('Market Penetration'!D23=0,0,1000*D23*'Market Data'!$E$51/('Market Penetration'!D23*'Market Data'!$C$51))</f>
        <v>0</v>
      </c>
      <c r="U23" s="663">
        <f>IF('Market Penetration'!E23=0,0,1000*E23*'Market Data'!$E$51/('Market Penetration'!E23*'Market Data'!$C$51))</f>
        <v>0</v>
      </c>
      <c r="V23" s="449">
        <f>IF('Market Penetration'!F23=0,0,1000*F23*'Market Data'!$E$51/('Market Penetration'!F23*'Market Data'!$C$51))</f>
        <v>0</v>
      </c>
      <c r="W23" s="658">
        <f>IF('Market Penetration'!G23=0,0,1000*G23*'Market Data'!$E$51/('Market Penetration'!G23*'Market Data'!$C$51))</f>
        <v>0</v>
      </c>
      <c r="X23" s="448">
        <f>IF('Market Penetration'!H23=0,0,1000*H23*'Market Data'!$O$51/('Market Penetration'!H23*'Market Data'!$M$51))</f>
        <v>27000.850071475434</v>
      </c>
      <c r="Y23" s="449">
        <f>IF('Market Penetration'!I23=0,0,1000*I23*'Market Data'!$O$51/('Market Penetration'!I23*'Market Data'!$M$51))</f>
        <v>0</v>
      </c>
      <c r="Z23" s="449">
        <f>IF('Market Penetration'!J23=0,0,1000*J23*'Market Data'!$O$51/('Market Penetration'!J23*'Market Data'!$M$51))</f>
        <v>0</v>
      </c>
      <c r="AA23" s="449">
        <f>IF('Market Penetration'!K23=0,0,1000*K23*'Market Data'!$O$51/('Market Penetration'!K23*'Market Data'!$M$51))</f>
        <v>0</v>
      </c>
      <c r="AB23" s="449">
        <f>IF('Market Penetration'!L23=0,0,1000*L23*'Market Data'!$O$51/('Market Penetration'!L23*'Market Data'!$M$51))</f>
        <v>0</v>
      </c>
      <c r="AC23" s="839">
        <f>IF('Market Penetration'!M23=0,0,1000*M23*'Market Data'!$O$51/('Market Penetration'!M23*'Market Data'!$M$51))</f>
        <v>0</v>
      </c>
      <c r="AD23" s="450">
        <f>IF('Market Penetration'!N23=0,0,1000*N23*('Market Data'!$E$51+'Market Data'!$O$51+'Market Data'!$Y$51)/('Market Penetration'!N23*('Market Data'!$C$51+'Market Data'!$M$51+'Market Data'!$W$51)))</f>
        <v>26226.895861333258</v>
      </c>
      <c r="AE23" s="451">
        <f>IF('Market Penetration'!O23=0,0,1000*O23*('Market Data'!$E$51+'Market Data'!$O$51+'Market Data'!$Y$51)/('Market Penetration'!O23*('Market Data'!$C$51+'Market Data'!$M$51+'Market Data'!$W$51)))</f>
        <v>0</v>
      </c>
    </row>
    <row r="24" spans="1:32" ht="15" x14ac:dyDescent="0.25">
      <c r="A24" s="388">
        <v>2022</v>
      </c>
      <c r="B24" s="404">
        <f t="shared" si="8"/>
        <v>1</v>
      </c>
      <c r="C24" s="405">
        <f>'4-6 Gas'!$M91+'4-6 Gas'!$Z91</f>
        <v>0</v>
      </c>
      <c r="D24" s="405">
        <f>'4-6 Gas'!$M143+'4-6 Gas'!$Z143</f>
        <v>0</v>
      </c>
      <c r="E24" s="666">
        <f>'4-6 Gas'!$M195+'4-6 Gas'!$Z195</f>
        <v>0</v>
      </c>
      <c r="F24" s="405">
        <f>'4-6 Gas'!$M248+'4-6 Gas'!$Z248</f>
        <v>0</v>
      </c>
      <c r="G24" s="626">
        <f>'4-6 Gas'!$M301+'4-6 Gas'!$Z301</f>
        <v>0</v>
      </c>
      <c r="H24" s="833">
        <f t="shared" si="9"/>
        <v>1</v>
      </c>
      <c r="I24" s="626">
        <f>'4-6 Diesel'!$M91+'4-6 Diesel'!$Z91</f>
        <v>0</v>
      </c>
      <c r="J24" s="626">
        <f>'4-6 Diesel'!$M143+'4-6 Diesel'!$Z143</f>
        <v>0</v>
      </c>
      <c r="K24" s="626">
        <f>'4-6 Diesel'!$M195+'4-6 Diesel'!$Z195</f>
        <v>0</v>
      </c>
      <c r="L24" s="626">
        <f>'4-6 Diesel'!$M248+'4-6 Diesel'!$Z248</f>
        <v>0</v>
      </c>
      <c r="M24" s="671">
        <f>'4-6 Diesel'!$M301+'4-6 Diesel'!$Z301</f>
        <v>0</v>
      </c>
      <c r="N24" s="404">
        <f>B24*'Market Data'!$E$52+H24*'Market Data'!$O$52</f>
        <v>0.99999999999999989</v>
      </c>
      <c r="O24" s="406">
        <f>SUM(C24:G24)*'Market Data'!$E$52+SUM(I24:M24)*'Market Data'!$O$52</f>
        <v>0</v>
      </c>
      <c r="Q24" s="388">
        <v>2022</v>
      </c>
      <c r="R24" s="442">
        <f>IF('Market Penetration'!B24=0,0,1000*B24*'Market Data'!$E$51/('Market Penetration'!B24*'Market Data'!$C$51))</f>
        <v>19303.35601847613</v>
      </c>
      <c r="S24" s="443">
        <f>IF('Market Penetration'!C24=0,0,1000*C24*'Market Data'!$E$51/('Market Penetration'!C24*'Market Data'!$C$51))</f>
        <v>0</v>
      </c>
      <c r="T24" s="443">
        <f>IF('Market Penetration'!D24=0,0,1000*D24*'Market Data'!$E$51/('Market Penetration'!D24*'Market Data'!$C$51))</f>
        <v>0</v>
      </c>
      <c r="U24" s="661">
        <f>IF('Market Penetration'!E24=0,0,1000*E24*'Market Data'!$E$51/('Market Penetration'!E24*'Market Data'!$C$51))</f>
        <v>0</v>
      </c>
      <c r="V24" s="443">
        <f>IF('Market Penetration'!F24=0,0,1000*F24*'Market Data'!$E$51/('Market Penetration'!F24*'Market Data'!$C$51))</f>
        <v>0</v>
      </c>
      <c r="W24" s="656">
        <f>IF('Market Penetration'!G24=0,0,1000*G24*'Market Data'!$E$51/('Market Penetration'!G24*'Market Data'!$C$51))</f>
        <v>0</v>
      </c>
      <c r="X24" s="442">
        <f>IF('Market Penetration'!H24=0,0,1000*H24*'Market Data'!$O$51/('Market Penetration'!H24*'Market Data'!$M$51))</f>
        <v>27000.850071475434</v>
      </c>
      <c r="Y24" s="443">
        <f>IF('Market Penetration'!I24=0,0,1000*I24*'Market Data'!$O$51/('Market Penetration'!I24*'Market Data'!$M$51))</f>
        <v>0</v>
      </c>
      <c r="Z24" s="443">
        <f>IF('Market Penetration'!J24=0,0,1000*J24*'Market Data'!$O$51/('Market Penetration'!J24*'Market Data'!$M$51))</f>
        <v>0</v>
      </c>
      <c r="AA24" s="443">
        <f>IF('Market Penetration'!K24=0,0,1000*K24*'Market Data'!$O$51/('Market Penetration'!K24*'Market Data'!$M$51))</f>
        <v>0</v>
      </c>
      <c r="AB24" s="443">
        <f>IF('Market Penetration'!L24=0,0,1000*L24*'Market Data'!$O$51/('Market Penetration'!L24*'Market Data'!$M$51))</f>
        <v>0</v>
      </c>
      <c r="AC24" s="444">
        <f>IF('Market Penetration'!M24=0,0,1000*M24*'Market Data'!$O$51/('Market Penetration'!M24*'Market Data'!$M$51))</f>
        <v>0</v>
      </c>
      <c r="AD24" s="442">
        <f>IF('Market Penetration'!N24=0,0,1000*N24*('Market Data'!$E$51+'Market Data'!$O$51+'Market Data'!$Y$51)/('Market Penetration'!N24*('Market Data'!$C$51+'Market Data'!$M$51+'Market Data'!$W$51)))</f>
        <v>26226.895861333258</v>
      </c>
      <c r="AE24" s="444">
        <f>IF('Market Penetration'!O24=0,0,1000*O24*('Market Data'!$E$51+'Market Data'!$O$51+'Market Data'!$Y$51)/('Market Penetration'!O24*('Market Data'!$C$51+'Market Data'!$M$51+'Market Data'!$W$51)))</f>
        <v>0</v>
      </c>
    </row>
    <row r="25" spans="1:32" ht="15" x14ac:dyDescent="0.25">
      <c r="A25" s="388">
        <v>2023</v>
      </c>
      <c r="B25" s="404">
        <f t="shared" si="8"/>
        <v>1</v>
      </c>
      <c r="C25" s="405">
        <f>'4-6 Gas'!$M92+'4-6 Gas'!$Z92</f>
        <v>0</v>
      </c>
      <c r="D25" s="405">
        <f>'4-6 Gas'!$M144+'4-6 Gas'!$Z144</f>
        <v>0</v>
      </c>
      <c r="E25" s="666">
        <f>'4-6 Gas'!$M196+'4-6 Gas'!$Z196</f>
        <v>0</v>
      </c>
      <c r="F25" s="405">
        <f>'4-6 Gas'!$M249+'4-6 Gas'!$Z249</f>
        <v>0</v>
      </c>
      <c r="G25" s="626">
        <f>'4-6 Gas'!$M302+'4-6 Gas'!$Z302</f>
        <v>0</v>
      </c>
      <c r="H25" s="833">
        <f t="shared" si="9"/>
        <v>1</v>
      </c>
      <c r="I25" s="626">
        <f>'4-6 Diesel'!$M92+'4-6 Diesel'!$Z92</f>
        <v>0</v>
      </c>
      <c r="J25" s="626">
        <f>'4-6 Diesel'!$M144+'4-6 Diesel'!$Z144</f>
        <v>0</v>
      </c>
      <c r="K25" s="626">
        <f>'4-6 Diesel'!$M196+'4-6 Diesel'!$Z196</f>
        <v>0</v>
      </c>
      <c r="L25" s="626">
        <f>'4-6 Diesel'!$M249+'4-6 Diesel'!$Z249</f>
        <v>0</v>
      </c>
      <c r="M25" s="671">
        <f>'4-6 Diesel'!$M302+'4-6 Diesel'!$Z302</f>
        <v>0</v>
      </c>
      <c r="N25" s="404">
        <f>B25*'Market Data'!$E$52+H25*'Market Data'!$O$52</f>
        <v>0.99999999999999989</v>
      </c>
      <c r="O25" s="406">
        <f>SUM(C25:G25)*'Market Data'!$E$52+SUM(I25:M25)*'Market Data'!$O$52</f>
        <v>0</v>
      </c>
      <c r="Q25" s="388">
        <v>2023</v>
      </c>
      <c r="R25" s="442">
        <f>IF('Market Penetration'!B25=0,0,1000*B25*'Market Data'!$E$51/('Market Penetration'!B25*'Market Data'!$C$51))</f>
        <v>19303.35601847613</v>
      </c>
      <c r="S25" s="443">
        <f>IF('Market Penetration'!C25=0,0,1000*C25*'Market Data'!$E$51/('Market Penetration'!C25*'Market Data'!$C$51))</f>
        <v>0</v>
      </c>
      <c r="T25" s="443">
        <f>IF('Market Penetration'!D25=0,0,1000*D25*'Market Data'!$E$51/('Market Penetration'!D25*'Market Data'!$C$51))</f>
        <v>0</v>
      </c>
      <c r="U25" s="661">
        <f>IF('Market Penetration'!E25=0,0,1000*E25*'Market Data'!$E$51/('Market Penetration'!E25*'Market Data'!$C$51))</f>
        <v>0</v>
      </c>
      <c r="V25" s="443">
        <f>IF('Market Penetration'!F25=0,0,1000*F25*'Market Data'!$E$51/('Market Penetration'!F25*'Market Data'!$C$51))</f>
        <v>0</v>
      </c>
      <c r="W25" s="656">
        <f>IF('Market Penetration'!G25=0,0,1000*G25*'Market Data'!$E$51/('Market Penetration'!G25*'Market Data'!$C$51))</f>
        <v>0</v>
      </c>
      <c r="X25" s="442">
        <f>IF('Market Penetration'!H25=0,0,1000*H25*'Market Data'!$O$51/('Market Penetration'!H25*'Market Data'!$M$51))</f>
        <v>27000.850071475434</v>
      </c>
      <c r="Y25" s="443">
        <f>IF('Market Penetration'!I25=0,0,1000*I25*'Market Data'!$O$51/('Market Penetration'!I25*'Market Data'!$M$51))</f>
        <v>0</v>
      </c>
      <c r="Z25" s="443">
        <f>IF('Market Penetration'!J25=0,0,1000*J25*'Market Data'!$O$51/('Market Penetration'!J25*'Market Data'!$M$51))</f>
        <v>0</v>
      </c>
      <c r="AA25" s="443">
        <f>IF('Market Penetration'!K25=0,0,1000*K25*'Market Data'!$O$51/('Market Penetration'!K25*'Market Data'!$M$51))</f>
        <v>0</v>
      </c>
      <c r="AB25" s="443">
        <f>IF('Market Penetration'!L25=0,0,1000*L25*'Market Data'!$O$51/('Market Penetration'!L25*'Market Data'!$M$51))</f>
        <v>0</v>
      </c>
      <c r="AC25" s="444">
        <f>IF('Market Penetration'!M25=0,0,1000*M25*'Market Data'!$O$51/('Market Penetration'!M25*'Market Data'!$M$51))</f>
        <v>0</v>
      </c>
      <c r="AD25" s="442">
        <f>IF('Market Penetration'!N25=0,0,1000*N25*('Market Data'!$E$51+'Market Data'!$O$51+'Market Data'!$Y$51)/('Market Penetration'!N25*('Market Data'!$C$51+'Market Data'!$M$51+'Market Data'!$W$51)))</f>
        <v>26226.895861333258</v>
      </c>
      <c r="AE25" s="444">
        <f>IF('Market Penetration'!O25=0,0,1000*O25*('Market Data'!$E$51+'Market Data'!$O$51+'Market Data'!$Y$51)/('Market Penetration'!O25*('Market Data'!$C$51+'Market Data'!$M$51+'Market Data'!$W$51)))</f>
        <v>0</v>
      </c>
    </row>
    <row r="26" spans="1:32" ht="15" x14ac:dyDescent="0.25">
      <c r="A26" s="388">
        <v>2024</v>
      </c>
      <c r="B26" s="404">
        <f t="shared" si="8"/>
        <v>1</v>
      </c>
      <c r="C26" s="405">
        <f>'4-6 Gas'!$M93+'4-6 Gas'!$Z93</f>
        <v>0</v>
      </c>
      <c r="D26" s="405">
        <f>'4-6 Gas'!$M145+'4-6 Gas'!$Z145</f>
        <v>0</v>
      </c>
      <c r="E26" s="666">
        <f>'4-6 Gas'!$M197+'4-6 Gas'!$Z197</f>
        <v>0</v>
      </c>
      <c r="F26" s="405">
        <f>'4-6 Gas'!$M250+'4-6 Gas'!$Z250</f>
        <v>0</v>
      </c>
      <c r="G26" s="626">
        <f>'4-6 Gas'!$M303+'4-6 Gas'!$Z303</f>
        <v>0</v>
      </c>
      <c r="H26" s="833">
        <f t="shared" si="9"/>
        <v>1</v>
      </c>
      <c r="I26" s="626">
        <f>'4-6 Diesel'!$M93+'4-6 Diesel'!$Z93</f>
        <v>0</v>
      </c>
      <c r="J26" s="626">
        <f>'4-6 Diesel'!$M145+'4-6 Diesel'!$Z145</f>
        <v>0</v>
      </c>
      <c r="K26" s="626">
        <f>'4-6 Diesel'!$M197+'4-6 Diesel'!$Z197</f>
        <v>0</v>
      </c>
      <c r="L26" s="626">
        <f>'4-6 Diesel'!$M250+'4-6 Diesel'!$Z250</f>
        <v>0</v>
      </c>
      <c r="M26" s="671">
        <f>'4-6 Diesel'!$M303+'4-6 Diesel'!$Z303</f>
        <v>0</v>
      </c>
      <c r="N26" s="404">
        <f>B26*'Market Data'!$E$52+H26*'Market Data'!$O$52</f>
        <v>0.99999999999999989</v>
      </c>
      <c r="O26" s="406">
        <f>SUM(C26:G26)*'Market Data'!$E$52+SUM(I26:M26)*'Market Data'!$O$52</f>
        <v>0</v>
      </c>
      <c r="Q26" s="388">
        <v>2024</v>
      </c>
      <c r="R26" s="442">
        <f>IF('Market Penetration'!B26=0,0,1000*B26*'Market Data'!$E$51/('Market Penetration'!B26*'Market Data'!$C$51))</f>
        <v>19303.35601847613</v>
      </c>
      <c r="S26" s="443">
        <f>IF('Market Penetration'!C26=0,0,1000*C26*'Market Data'!$E$51/('Market Penetration'!C26*'Market Data'!$C$51))</f>
        <v>0</v>
      </c>
      <c r="T26" s="443">
        <f>IF('Market Penetration'!D26=0,0,1000*D26*'Market Data'!$E$51/('Market Penetration'!D26*'Market Data'!$C$51))</f>
        <v>0</v>
      </c>
      <c r="U26" s="661">
        <f>IF('Market Penetration'!E26=0,0,1000*E26*'Market Data'!$E$51/('Market Penetration'!E26*'Market Data'!$C$51))</f>
        <v>0</v>
      </c>
      <c r="V26" s="443">
        <f>IF('Market Penetration'!F26=0,0,1000*F26*'Market Data'!$E$51/('Market Penetration'!F26*'Market Data'!$C$51))</f>
        <v>0</v>
      </c>
      <c r="W26" s="656">
        <f>IF('Market Penetration'!G26=0,0,1000*G26*'Market Data'!$E$51/('Market Penetration'!G26*'Market Data'!$C$51))</f>
        <v>0</v>
      </c>
      <c r="X26" s="442">
        <f>IF('Market Penetration'!H26=0,0,1000*H26*'Market Data'!$O$51/('Market Penetration'!H26*'Market Data'!$M$51))</f>
        <v>27000.850071475434</v>
      </c>
      <c r="Y26" s="443">
        <f>IF('Market Penetration'!I26=0,0,1000*I26*'Market Data'!$O$51/('Market Penetration'!I26*'Market Data'!$M$51))</f>
        <v>0</v>
      </c>
      <c r="Z26" s="443">
        <f>IF('Market Penetration'!J26=0,0,1000*J26*'Market Data'!$O$51/('Market Penetration'!J26*'Market Data'!$M$51))</f>
        <v>0</v>
      </c>
      <c r="AA26" s="443">
        <f>IF('Market Penetration'!K26=0,0,1000*K26*'Market Data'!$O$51/('Market Penetration'!K26*'Market Data'!$M$51))</f>
        <v>0</v>
      </c>
      <c r="AB26" s="443">
        <f>IF('Market Penetration'!L26=0,0,1000*L26*'Market Data'!$O$51/('Market Penetration'!L26*'Market Data'!$M$51))</f>
        <v>0</v>
      </c>
      <c r="AC26" s="444">
        <f>IF('Market Penetration'!M26=0,0,1000*M26*'Market Data'!$O$51/('Market Penetration'!M26*'Market Data'!$M$51))</f>
        <v>0</v>
      </c>
      <c r="AD26" s="442">
        <f>IF('Market Penetration'!N26=0,0,1000*N26*('Market Data'!$E$51+'Market Data'!$O$51+'Market Data'!$Y$51)/('Market Penetration'!N26*('Market Data'!$C$51+'Market Data'!$M$51+'Market Data'!$W$51)))</f>
        <v>26226.895861333258</v>
      </c>
      <c r="AE26" s="444">
        <f>IF('Market Penetration'!O26=0,0,1000*O26*('Market Data'!$E$51+'Market Data'!$O$51+'Market Data'!$Y$51)/('Market Penetration'!O26*('Market Data'!$C$51+'Market Data'!$M$51+'Market Data'!$W$51)))</f>
        <v>0</v>
      </c>
      <c r="AF26" s="382">
        <f>1000*K26*'Market Data'!$O$51</f>
        <v>0</v>
      </c>
    </row>
    <row r="27" spans="1:32" ht="15" x14ac:dyDescent="0.25">
      <c r="A27" s="387">
        <v>2025</v>
      </c>
      <c r="B27" s="407">
        <f t="shared" si="8"/>
        <v>1</v>
      </c>
      <c r="C27" s="408">
        <f>'4-6 Gas'!$M94+'4-6 Gas'!$Z94</f>
        <v>0</v>
      </c>
      <c r="D27" s="408">
        <f>'4-6 Gas'!$M146+'4-6 Gas'!$Z146</f>
        <v>0</v>
      </c>
      <c r="E27" s="667">
        <f>'4-6 Gas'!$M198+'4-6 Gas'!$Z198</f>
        <v>0</v>
      </c>
      <c r="F27" s="408">
        <f>'4-6 Gas'!$M251+'4-6 Gas'!$Z251</f>
        <v>0</v>
      </c>
      <c r="G27" s="627">
        <f>'4-6 Gas'!$M304+'4-6 Gas'!$Z304</f>
        <v>0</v>
      </c>
      <c r="H27" s="834">
        <f t="shared" si="9"/>
        <v>1</v>
      </c>
      <c r="I27" s="627">
        <f>'4-6 Diesel'!$M94+'4-6 Diesel'!$Z94</f>
        <v>0</v>
      </c>
      <c r="J27" s="627">
        <f>'4-6 Diesel'!$M146+'4-6 Diesel'!$Z146</f>
        <v>0</v>
      </c>
      <c r="K27" s="627">
        <f>'4-6 Diesel'!$M198+'4-6 Diesel'!$Z198</f>
        <v>0</v>
      </c>
      <c r="L27" s="627">
        <f>'4-6 Diesel'!$M251+'4-6 Diesel'!$Z251</f>
        <v>0</v>
      </c>
      <c r="M27" s="672">
        <f>'4-6 Diesel'!$M304+'4-6 Diesel'!$Z304</f>
        <v>0</v>
      </c>
      <c r="N27" s="407">
        <f>B27*'Market Data'!$E$52+H27*'Market Data'!$O$52</f>
        <v>0.99999999999999989</v>
      </c>
      <c r="O27" s="409">
        <f>SUM(C27:G27)*'Market Data'!$E$52+SUM(I27:M27)*'Market Data'!$O$52</f>
        <v>0</v>
      </c>
      <c r="Q27" s="387">
        <v>2025</v>
      </c>
      <c r="R27" s="445">
        <f>IF('Market Penetration'!B27=0,0,1000*B27*'Market Data'!$E$51/('Market Penetration'!B27*'Market Data'!$C$51))</f>
        <v>19303.35601847613</v>
      </c>
      <c r="S27" s="446">
        <f>IF('Market Penetration'!C27=0,0,1000*C27*'Market Data'!$E$51/('Market Penetration'!C27*'Market Data'!$C$51))</f>
        <v>0</v>
      </c>
      <c r="T27" s="446">
        <f>IF('Market Penetration'!D27=0,0,1000*D27*'Market Data'!$E$51/('Market Penetration'!D27*'Market Data'!$C$51))</f>
        <v>0</v>
      </c>
      <c r="U27" s="662">
        <f>IF('Market Penetration'!E27=0,0,1000*E27*'Market Data'!$E$51/('Market Penetration'!E27*'Market Data'!$C$51))</f>
        <v>0</v>
      </c>
      <c r="V27" s="446">
        <f>IF('Market Penetration'!F27=0,0,1000*F27*'Market Data'!$E$51/('Market Penetration'!F27*'Market Data'!$C$51))</f>
        <v>0</v>
      </c>
      <c r="W27" s="657">
        <f>IF('Market Penetration'!G27=0,0,1000*G27*'Market Data'!$E$51/('Market Penetration'!G27*'Market Data'!$C$51))</f>
        <v>0</v>
      </c>
      <c r="X27" s="445">
        <f>IF('Market Penetration'!H27=0,0,1000*H27*'Market Data'!$O$51/('Market Penetration'!H27*'Market Data'!$M$51))</f>
        <v>27000.850071475434</v>
      </c>
      <c r="Y27" s="446">
        <f>IF('Market Penetration'!I27=0,0,1000*I27*'Market Data'!$O$51/('Market Penetration'!I27*'Market Data'!$M$51))</f>
        <v>0</v>
      </c>
      <c r="Z27" s="446">
        <f>IF('Market Penetration'!J27=0,0,1000*J27*'Market Data'!$O$51/('Market Penetration'!J27*'Market Data'!$M$51))</f>
        <v>0</v>
      </c>
      <c r="AA27" s="446">
        <f>IF('Market Penetration'!K27=0,0,1000*K27*'Market Data'!$O$51/('Market Penetration'!K27*'Market Data'!$M$51))</f>
        <v>0</v>
      </c>
      <c r="AB27" s="446">
        <f>IF('Market Penetration'!L27=0,0,1000*L27*'Market Data'!$O$51/('Market Penetration'!L27*'Market Data'!$M$51))</f>
        <v>0</v>
      </c>
      <c r="AC27" s="447">
        <f>IF('Market Penetration'!M27=0,0,1000*M27*'Market Data'!$O$51/('Market Penetration'!M27*'Market Data'!$M$51))</f>
        <v>0</v>
      </c>
      <c r="AD27" s="445">
        <f>IF('Market Penetration'!N27=0,0,1000*N27*('Market Data'!$E$51+'Market Data'!$O$51+'Market Data'!$Y$51)/('Market Penetration'!N27*('Market Data'!$C$51+'Market Data'!$M$51+'Market Data'!$W$51)))</f>
        <v>26226.895861333258</v>
      </c>
      <c r="AE27" s="447">
        <f>IF('Market Penetration'!O27=0,0,1000*O27*('Market Data'!$E$51+'Market Data'!$O$51+'Market Data'!$Y$51)/('Market Penetration'!O27*('Market Data'!$C$51+'Market Data'!$M$51+'Market Data'!$W$51)))</f>
        <v>0</v>
      </c>
      <c r="AF27" s="382">
        <f>('Market Penetration'!K26*'Market Data'!$M$51)</f>
        <v>0</v>
      </c>
    </row>
    <row r="28" spans="1:32" ht="15" x14ac:dyDescent="0.25">
      <c r="A28" s="410">
        <v>2026</v>
      </c>
      <c r="B28" s="411">
        <f t="shared" si="8"/>
        <v>1</v>
      </c>
      <c r="C28" s="412">
        <f>'4-6 Gas'!$M95+'4-6 Gas'!$Z95</f>
        <v>0</v>
      </c>
      <c r="D28" s="412">
        <f>'4-6 Gas'!$M147+'4-6 Gas'!$Z147</f>
        <v>0</v>
      </c>
      <c r="E28" s="668">
        <f>'4-6 Gas'!$M199+'4-6 Gas'!$Z199</f>
        <v>0</v>
      </c>
      <c r="F28" s="412">
        <f>'4-6 Gas'!$M252+'4-6 Gas'!$Z252</f>
        <v>0</v>
      </c>
      <c r="G28" s="628">
        <f>'4-6 Gas'!$M305+'4-6 Gas'!$Z305</f>
        <v>0</v>
      </c>
      <c r="H28" s="835">
        <f t="shared" si="9"/>
        <v>0.97378619022928237</v>
      </c>
      <c r="I28" s="628">
        <f>'4-6 Diesel'!$M95+'4-6 Diesel'!$Z95</f>
        <v>1.7959003927871982E-2</v>
      </c>
      <c r="J28" s="628">
        <f>'4-6 Diesel'!$M147+'4-6 Diesel'!$Z147</f>
        <v>8.2495135844313297E-3</v>
      </c>
      <c r="K28" s="628">
        <f>'4-6 Diesel'!$M199+'4-6 Diesel'!$Z199</f>
        <v>0</v>
      </c>
      <c r="L28" s="628">
        <f>'4-6 Diesel'!$M252+'4-6 Diesel'!$Z252</f>
        <v>0</v>
      </c>
      <c r="M28" s="673">
        <f>'4-6 Diesel'!$M305+'4-6 Diesel'!$Z305</f>
        <v>5.2922584143657432E-6</v>
      </c>
      <c r="N28" s="414">
        <f>B28*'Market Data'!$E$52+H28*'Market Data'!$O$52</f>
        <v>0.97572610199596577</v>
      </c>
      <c r="O28" s="415">
        <f>SUM(C28:G28)*'Market Data'!$E$52+SUM(I28:M28)*'Market Data'!$O$52</f>
        <v>2.4273898004034188E-2</v>
      </c>
      <c r="Q28" s="410">
        <v>2026</v>
      </c>
      <c r="R28" s="448">
        <f>IF('Market Penetration'!B28=0,0,1000*B28*'Market Data'!$E$51/('Market Penetration'!B28*'Market Data'!$C$51))</f>
        <v>19303.35601847613</v>
      </c>
      <c r="S28" s="449">
        <f>IF('Market Penetration'!C28=0,0,1000*C28*'Market Data'!$E$51/('Market Penetration'!C28*'Market Data'!$C$51))</f>
        <v>0</v>
      </c>
      <c r="T28" s="449">
        <f>IF('Market Penetration'!D28=0,0,1000*D28*'Market Data'!$E$51/('Market Penetration'!D28*'Market Data'!$C$51))</f>
        <v>0</v>
      </c>
      <c r="U28" s="663">
        <f>IF('Market Penetration'!E28=0,0,1000*E28*'Market Data'!$E$51/('Market Penetration'!E28*'Market Data'!$C$51))</f>
        <v>0</v>
      </c>
      <c r="V28" s="449">
        <f>IF('Market Penetration'!F28=0,0,1000*F28*'Market Data'!$E$51/('Market Penetration'!F28*'Market Data'!$C$51))</f>
        <v>0</v>
      </c>
      <c r="W28" s="658">
        <f>IF('Market Penetration'!G28=0,0,1000*G28*'Market Data'!$E$51/('Market Penetration'!G28*'Market Data'!$C$51))</f>
        <v>0</v>
      </c>
      <c r="X28" s="448">
        <f>IF('Market Penetration'!H28=0,0,1000*H28*'Market Data'!$O$51/('Market Penetration'!H28*'Market Data'!$M$51))</f>
        <v>26695.80335239667</v>
      </c>
      <c r="Y28" s="449">
        <f>IF('Market Penetration'!I28=0,0,1000*I28*'Market Data'!$O$51/('Market Penetration'!I28*'Market Data'!$M$51))</f>
        <v>42199.512053211482</v>
      </c>
      <c r="Z28" s="449">
        <f>IF('Market Penetration'!J28=0,0,1000*J28*'Market Data'!$O$51/('Market Penetration'!J28*'Market Data'!$M$51))</f>
        <v>61961.070288222341</v>
      </c>
      <c r="AA28" s="449">
        <f>IF('Market Penetration'!K28=0,0,1000*K28*'Market Data'!$O$51/('Market Penetration'!K28*'Market Data'!$M$51))</f>
        <v>0</v>
      </c>
      <c r="AB28" s="449">
        <f>IF('Market Penetration'!L28=0,0,1000*L28*'Market Data'!$O$51/('Market Penetration'!L28*'Market Data'!$M$51))</f>
        <v>0</v>
      </c>
      <c r="AC28" s="839">
        <f>IF('Market Penetration'!M28=0,0,1000*M28*'Market Data'!$O$51/('Market Penetration'!M28*'Market Data'!$M$51))</f>
        <v>172364.10876320774</v>
      </c>
      <c r="AD28" s="450">
        <f>IF('Market Penetration'!N28=0,0,1000*N28*('Market Data'!$E$51+'Market Data'!$O$51+'Market Data'!$Y$51)/('Market Penetration'!N28*('Market Data'!$C$51+'Market Data'!$M$51+'Market Data'!$W$51)))</f>
        <v>25942.295586548462</v>
      </c>
      <c r="AE28" s="451">
        <f>IF('Market Penetration'!O28=0,0,1000*O28*('Market Data'!$E$51+'Market Data'!$O$51+'Market Data'!$Y$51)/('Market Penetration'!O28*('Market Data'!$C$51+'Market Data'!$M$51+'Market Data'!$W$51)))</f>
        <v>46915.540172558809</v>
      </c>
    </row>
    <row r="29" spans="1:32" ht="15" x14ac:dyDescent="0.25">
      <c r="A29" s="388">
        <v>2027</v>
      </c>
      <c r="B29" s="404">
        <f t="shared" si="8"/>
        <v>1</v>
      </c>
      <c r="C29" s="405">
        <f>'4-6 Gas'!$M96+'4-6 Gas'!$Z96</f>
        <v>0</v>
      </c>
      <c r="D29" s="405">
        <f>'4-6 Gas'!$M148+'4-6 Gas'!$Z148</f>
        <v>0</v>
      </c>
      <c r="E29" s="666">
        <f>'4-6 Gas'!$M200+'4-6 Gas'!$Z200</f>
        <v>0</v>
      </c>
      <c r="F29" s="405">
        <f>'4-6 Gas'!$M253+'4-6 Gas'!$Z253</f>
        <v>0</v>
      </c>
      <c r="G29" s="626">
        <f>'4-6 Gas'!$M306+'4-6 Gas'!$Z306</f>
        <v>0</v>
      </c>
      <c r="H29" s="833">
        <f t="shared" si="9"/>
        <v>0.94363210076290804</v>
      </c>
      <c r="I29" s="626">
        <f>'4-6 Diesel'!$M96+'4-6 Diesel'!$Z96</f>
        <v>3.4675693035266374E-2</v>
      </c>
      <c r="J29" s="626">
        <f>'4-6 Diesel'!$M148+'4-6 Diesel'!$Z148</f>
        <v>2.1632630368366018E-2</v>
      </c>
      <c r="K29" s="626">
        <f>'4-6 Diesel'!$M200+'4-6 Diesel'!$Z200</f>
        <v>0</v>
      </c>
      <c r="L29" s="626">
        <f>'4-6 Diesel'!$M253+'4-6 Diesel'!$Z253</f>
        <v>0</v>
      </c>
      <c r="M29" s="671">
        <f>'4-6 Diesel'!$M306+'4-6 Diesel'!$Z306</f>
        <v>5.9575833459557953E-5</v>
      </c>
      <c r="N29" s="404">
        <f>B29*'Market Data'!$E$52+H29*'Market Data'!$O$52</f>
        <v>0.94780351849843347</v>
      </c>
      <c r="O29" s="406">
        <f>SUM(C29:G29)*'Market Data'!$E$52+SUM(I29:M29)*'Market Data'!$O$52</f>
        <v>5.2196481501566423E-2</v>
      </c>
      <c r="Q29" s="388">
        <v>2027</v>
      </c>
      <c r="R29" s="442">
        <f>IF('Market Penetration'!B29=0,0,1000*B29*'Market Data'!$E$51/('Market Penetration'!B29*'Market Data'!$C$51))</f>
        <v>19303.35601847613</v>
      </c>
      <c r="S29" s="443">
        <f>IF('Market Penetration'!C29=0,0,1000*C29*'Market Data'!$E$51/('Market Penetration'!C29*'Market Data'!$C$51))</f>
        <v>0</v>
      </c>
      <c r="T29" s="443">
        <f>IF('Market Penetration'!D29=0,0,1000*D29*'Market Data'!$E$51/('Market Penetration'!D29*'Market Data'!$C$51))</f>
        <v>0</v>
      </c>
      <c r="U29" s="661">
        <f>IF('Market Penetration'!E29=0,0,1000*E29*'Market Data'!$E$51/('Market Penetration'!E29*'Market Data'!$C$51))</f>
        <v>0</v>
      </c>
      <c r="V29" s="443">
        <f>IF('Market Penetration'!F29=0,0,1000*F29*'Market Data'!$E$51/('Market Penetration'!F29*'Market Data'!$C$51))</f>
        <v>0</v>
      </c>
      <c r="W29" s="656">
        <f>IF('Market Penetration'!G29=0,0,1000*G29*'Market Data'!$E$51/('Market Penetration'!G29*'Market Data'!$C$51))</f>
        <v>0</v>
      </c>
      <c r="X29" s="442">
        <f>IF('Market Penetration'!H29=0,0,1000*H29*'Market Data'!$O$51/('Market Penetration'!H29*'Market Data'!$M$51))</f>
        <v>26266.471659759849</v>
      </c>
      <c r="Y29" s="443">
        <f>IF('Market Penetration'!I29=0,0,1000*I29*'Market Data'!$O$51/('Market Penetration'!I29*'Market Data'!$M$51))</f>
        <v>46377.671356936022</v>
      </c>
      <c r="Z29" s="443">
        <f>IF('Market Penetration'!J29=0,0,1000*J29*'Market Data'!$O$51/('Market Penetration'!J29*'Market Data'!$M$51))</f>
        <v>59678.005141659662</v>
      </c>
      <c r="AA29" s="443">
        <f>IF('Market Penetration'!K29=0,0,1000*K29*'Market Data'!$O$51/('Market Penetration'!K29*'Market Data'!$M$51))</f>
        <v>0</v>
      </c>
      <c r="AB29" s="443">
        <f>IF('Market Penetration'!L29=0,0,1000*L29*'Market Data'!$O$51/('Market Penetration'!L29*'Market Data'!$M$51))</f>
        <v>0</v>
      </c>
      <c r="AC29" s="444">
        <f>IF('Market Penetration'!M29=0,0,1000*M29*'Market Data'!$O$51/('Market Penetration'!M29*'Market Data'!$M$51))</f>
        <v>168119.7439323382</v>
      </c>
      <c r="AD29" s="442">
        <f>IF('Market Penetration'!N29=0,0,1000*N29*('Market Data'!$E$51+'Market Data'!$O$51+'Market Data'!$Y$51)/('Market Penetration'!N29*('Market Data'!$C$51+'Market Data'!$M$51+'Market Data'!$W$51)))</f>
        <v>25546.950821077618</v>
      </c>
      <c r="AE29" s="444">
        <f>IF('Market Penetration'!O29=0,0,1000*O29*('Market Data'!$E$51+'Market Data'!$O$51+'Market Data'!$Y$51)/('Market Penetration'!O29*('Market Data'!$C$51+'Market Data'!$M$51+'Market Data'!$W$51)))</f>
        <v>50757.91597689411</v>
      </c>
    </row>
    <row r="30" spans="1:32" ht="15" x14ac:dyDescent="0.25">
      <c r="A30" s="388">
        <v>2028</v>
      </c>
      <c r="B30" s="404">
        <f t="shared" si="8"/>
        <v>1</v>
      </c>
      <c r="C30" s="405">
        <f>'4-6 Gas'!$M97+'4-6 Gas'!$Z97</f>
        <v>0</v>
      </c>
      <c r="D30" s="405">
        <f>'4-6 Gas'!$M149+'4-6 Gas'!$Z149</f>
        <v>0</v>
      </c>
      <c r="E30" s="666">
        <f>'4-6 Gas'!$M201+'4-6 Gas'!$Z201</f>
        <v>0</v>
      </c>
      <c r="F30" s="405">
        <f>'4-6 Gas'!$M254+'4-6 Gas'!$Z254</f>
        <v>0</v>
      </c>
      <c r="G30" s="626">
        <f>'4-6 Gas'!$M307+'4-6 Gas'!$Z307</f>
        <v>0</v>
      </c>
      <c r="H30" s="833">
        <f t="shared" si="9"/>
        <v>0.83361404356431701</v>
      </c>
      <c r="I30" s="626">
        <f>'4-6 Diesel'!$M97+'4-6 Diesel'!$Z97</f>
        <v>0.10739724328508657</v>
      </c>
      <c r="J30" s="626">
        <f>'4-6 Diesel'!$M149+'4-6 Diesel'!$Z149</f>
        <v>5.8761862987616334E-2</v>
      </c>
      <c r="K30" s="626">
        <f>'4-6 Diesel'!$M201+'4-6 Diesel'!$Z201</f>
        <v>0</v>
      </c>
      <c r="L30" s="626">
        <f>'4-6 Diesel'!$M254+'4-6 Diesel'!$Z254</f>
        <v>5.7281654450382511E-8</v>
      </c>
      <c r="M30" s="671">
        <f>'4-6 Diesel'!$M307+'4-6 Diesel'!$Z307</f>
        <v>2.2679288132564166E-4</v>
      </c>
      <c r="N30" s="404">
        <f>B30*'Market Data'!$E$52+H30*'Market Data'!$O$52</f>
        <v>0.84592717460187505</v>
      </c>
      <c r="O30" s="406">
        <f>SUM(C30:G30)*'Market Data'!$E$52+SUM(I30:M30)*'Market Data'!$O$52</f>
        <v>0.15407282539812489</v>
      </c>
      <c r="Q30" s="388">
        <v>2028</v>
      </c>
      <c r="R30" s="442">
        <f>IF('Market Penetration'!B30=0,0,1000*B30*'Market Data'!$E$51/('Market Penetration'!B30*'Market Data'!$C$51))</f>
        <v>19303.35601847613</v>
      </c>
      <c r="S30" s="443">
        <f>IF('Market Penetration'!C30=0,0,1000*C30*'Market Data'!$E$51/('Market Penetration'!C30*'Market Data'!$C$51))</f>
        <v>0</v>
      </c>
      <c r="T30" s="443">
        <f>IF('Market Penetration'!D30=0,0,1000*D30*'Market Data'!$E$51/('Market Penetration'!D30*'Market Data'!$C$51))</f>
        <v>0</v>
      </c>
      <c r="U30" s="661">
        <f>IF('Market Penetration'!E30=0,0,1000*E30*'Market Data'!$E$51/('Market Penetration'!E30*'Market Data'!$C$51))</f>
        <v>0</v>
      </c>
      <c r="V30" s="443">
        <f>IF('Market Penetration'!F30=0,0,1000*F30*'Market Data'!$E$51/('Market Penetration'!F30*'Market Data'!$C$51))</f>
        <v>0</v>
      </c>
      <c r="W30" s="656">
        <f>IF('Market Penetration'!G30=0,0,1000*G30*'Market Data'!$E$51/('Market Penetration'!G30*'Market Data'!$C$51))</f>
        <v>0</v>
      </c>
      <c r="X30" s="442">
        <f>IF('Market Penetration'!H30=0,0,1000*H30*'Market Data'!$O$51/('Market Penetration'!H30*'Market Data'!$M$51))</f>
        <v>25062.091712237227</v>
      </c>
      <c r="Y30" s="443">
        <f>IF('Market Penetration'!I30=0,0,1000*I30*'Market Data'!$O$51/('Market Penetration'!I30*'Market Data'!$M$51))</f>
        <v>40326.74026539972</v>
      </c>
      <c r="Z30" s="443">
        <f>IF('Market Penetration'!J30=0,0,1000*J30*'Market Data'!$O$51/('Market Penetration'!J30*'Market Data'!$M$51))</f>
        <v>52968.296046494885</v>
      </c>
      <c r="AA30" s="443">
        <f>IF('Market Penetration'!K30=0,0,1000*K30*'Market Data'!$O$51/('Market Penetration'!K30*'Market Data'!$M$51))</f>
        <v>0</v>
      </c>
      <c r="AB30" s="443">
        <f>IF('Market Penetration'!L30=0,0,1000*L30*'Market Data'!$O$51/('Market Penetration'!L30*'Market Data'!$M$51))</f>
        <v>202262.1990468463</v>
      </c>
      <c r="AC30" s="444">
        <f>IF('Market Penetration'!M30=0,0,1000*M30*'Market Data'!$O$51/('Market Penetration'!M30*'Market Data'!$M$51))</f>
        <v>166062.23600086672</v>
      </c>
      <c r="AD30" s="442">
        <f>IF('Market Penetration'!N30=0,0,1000*N30*('Market Data'!$E$51+'Market Data'!$O$51+'Market Data'!$Y$51)/('Market Penetration'!N30*('Market Data'!$C$51+'Market Data'!$M$51+'Market Data'!$W$51)))</f>
        <v>24424.648493472036</v>
      </c>
      <c r="AE30" s="444">
        <f>IF('Market Penetration'!O30=0,0,1000*O30*('Market Data'!$E$51+'Market Data'!$O$51+'Market Data'!$Y$51)/('Market Penetration'!O30*('Market Data'!$C$51+'Market Data'!$M$51+'Market Data'!$W$51)))</f>
        <v>44088.352781790563</v>
      </c>
    </row>
    <row r="31" spans="1:32" ht="15" x14ac:dyDescent="0.25">
      <c r="A31" s="388">
        <v>2029</v>
      </c>
      <c r="B31" s="404">
        <f t="shared" si="8"/>
        <v>1</v>
      </c>
      <c r="C31" s="405">
        <f>'4-6 Gas'!$M98+'4-6 Gas'!$Z98</f>
        <v>0</v>
      </c>
      <c r="D31" s="405">
        <f>'4-6 Gas'!$M150+'4-6 Gas'!$Z150</f>
        <v>0</v>
      </c>
      <c r="E31" s="666">
        <f>'4-6 Gas'!$M202+'4-6 Gas'!$Z202</f>
        <v>0</v>
      </c>
      <c r="F31" s="405">
        <f>'4-6 Gas'!$M255+'4-6 Gas'!$Z255</f>
        <v>0</v>
      </c>
      <c r="G31" s="626">
        <f>'4-6 Gas'!$M308+'4-6 Gas'!$Z308</f>
        <v>0</v>
      </c>
      <c r="H31" s="833">
        <f t="shared" si="9"/>
        <v>0.72807467533052062</v>
      </c>
      <c r="I31" s="626">
        <f>'4-6 Diesel'!$M98+'4-6 Diesel'!$Z98</f>
        <v>0.1642413254289592</v>
      </c>
      <c r="J31" s="626">
        <f>'4-6 Diesel'!$M150+'4-6 Diesel'!$Z150</f>
        <v>0.10721587065490633</v>
      </c>
      <c r="K31" s="626">
        <f>'4-6 Diesel'!$M202+'4-6 Diesel'!$Z202</f>
        <v>0</v>
      </c>
      <c r="L31" s="626">
        <f>'4-6 Diesel'!$M255+'4-6 Diesel'!$Z255</f>
        <v>3.2422748373954877E-7</v>
      </c>
      <c r="M31" s="671">
        <f>'4-6 Diesel'!$M308+'4-6 Diesel'!$Z308</f>
        <v>4.6780435813009562E-4</v>
      </c>
      <c r="N31" s="404">
        <f>B31*'Market Data'!$E$52+H31*'Market Data'!$O$52</f>
        <v>0.74819808133672461</v>
      </c>
      <c r="O31" s="406">
        <f>SUM(C31:G31)*'Market Data'!$E$52+SUM(I31:M31)*'Market Data'!$O$52</f>
        <v>0.25180191866327528</v>
      </c>
      <c r="Q31" s="388">
        <v>2029</v>
      </c>
      <c r="R31" s="442">
        <f>IF('Market Penetration'!B31=0,0,1000*B31*'Market Data'!$E$51/('Market Penetration'!B31*'Market Data'!$C$51))</f>
        <v>19303.35601847613</v>
      </c>
      <c r="S31" s="443">
        <f>IF('Market Penetration'!C31=0,0,1000*C31*'Market Data'!$E$51/('Market Penetration'!C31*'Market Data'!$C$51))</f>
        <v>0</v>
      </c>
      <c r="T31" s="443">
        <f>IF('Market Penetration'!D31=0,0,1000*D31*'Market Data'!$E$51/('Market Penetration'!D31*'Market Data'!$C$51))</f>
        <v>0</v>
      </c>
      <c r="U31" s="661">
        <f>IF('Market Penetration'!E31=0,0,1000*E31*'Market Data'!$E$51/('Market Penetration'!E31*'Market Data'!$C$51))</f>
        <v>0</v>
      </c>
      <c r="V31" s="443">
        <f>IF('Market Penetration'!F31=0,0,1000*F31*'Market Data'!$E$51/('Market Penetration'!F31*'Market Data'!$C$51))</f>
        <v>0</v>
      </c>
      <c r="W31" s="656">
        <f>IF('Market Penetration'!G31=0,0,1000*G31*'Market Data'!$E$51/('Market Penetration'!G31*'Market Data'!$C$51))</f>
        <v>0</v>
      </c>
      <c r="X31" s="442">
        <f>IF('Market Penetration'!H31=0,0,1000*H31*'Market Data'!$O$51/('Market Penetration'!H31*'Market Data'!$M$51))</f>
        <v>23282.27491055895</v>
      </c>
      <c r="Y31" s="443">
        <f>IF('Market Penetration'!I31=0,0,1000*I31*'Market Data'!$O$51/('Market Penetration'!I31*'Market Data'!$M$51))</f>
        <v>43654.182904334077</v>
      </c>
      <c r="Z31" s="443">
        <f>IF('Market Penetration'!J31=0,0,1000*J31*'Market Data'!$O$51/('Market Penetration'!J31*'Market Data'!$M$51))</f>
        <v>53632.243087539187</v>
      </c>
      <c r="AA31" s="443">
        <f>IF('Market Penetration'!K31=0,0,1000*K31*'Market Data'!$O$51/('Market Penetration'!K31*'Market Data'!$M$51))</f>
        <v>0</v>
      </c>
      <c r="AB31" s="443">
        <f>IF('Market Penetration'!L31=0,0,1000*L31*'Market Data'!$O$51/('Market Penetration'!L31*'Market Data'!$M$51))</f>
        <v>202262.19904684628</v>
      </c>
      <c r="AC31" s="444">
        <f>IF('Market Penetration'!M31=0,0,1000*M31*'Market Data'!$O$51/('Market Penetration'!M31*'Market Data'!$M$51))</f>
        <v>165946.65011688904</v>
      </c>
      <c r="AD31" s="442">
        <f>IF('Market Penetration'!N31=0,0,1000*N31*('Market Data'!$E$51+'Market Data'!$O$51+'Market Data'!$Y$51)/('Market Penetration'!N31*('Market Data'!$C$51+'Market Data'!$M$51+'Market Data'!$W$51)))</f>
        <v>22817.087747261976</v>
      </c>
      <c r="AE31" s="444">
        <f>IF('Market Penetration'!O31=0,0,1000*O31*('Market Data'!$E$51+'Market Data'!$O$51+'Market Data'!$Y$51)/('Market Penetration'!O31*('Market Data'!$C$51+'Market Data'!$M$51+'Market Data'!$W$51)))</f>
        <v>47174.519967843706</v>
      </c>
    </row>
    <row r="32" spans="1:32" ht="15" x14ac:dyDescent="0.25">
      <c r="A32" s="387">
        <v>2030</v>
      </c>
      <c r="B32" s="407">
        <f t="shared" si="8"/>
        <v>1</v>
      </c>
      <c r="C32" s="408">
        <f>'4-6 Gas'!$M99+'4-6 Gas'!$Z99</f>
        <v>0</v>
      </c>
      <c r="D32" s="408">
        <f>'4-6 Gas'!$M151+'4-6 Gas'!$Z151</f>
        <v>0</v>
      </c>
      <c r="E32" s="667">
        <f>'4-6 Gas'!$M203+'4-6 Gas'!$Z203</f>
        <v>0</v>
      </c>
      <c r="F32" s="408">
        <f>'4-6 Gas'!$M256+'4-6 Gas'!$Z256</f>
        <v>0</v>
      </c>
      <c r="G32" s="627">
        <f>'4-6 Gas'!$M309+'4-6 Gas'!$Z309</f>
        <v>0</v>
      </c>
      <c r="H32" s="834">
        <f t="shared" si="9"/>
        <v>0.59722709901043081</v>
      </c>
      <c r="I32" s="627">
        <f>'4-6 Diesel'!$M99+'4-6 Diesel'!$Z99</f>
        <v>0.23436210939811458</v>
      </c>
      <c r="J32" s="627">
        <f>'4-6 Diesel'!$M151+'4-6 Diesel'!$Z151</f>
        <v>0.1674426862203019</v>
      </c>
      <c r="K32" s="627">
        <f>'4-6 Diesel'!$M203+'4-6 Diesel'!$Z203</f>
        <v>0</v>
      </c>
      <c r="L32" s="627">
        <f>'4-6 Diesel'!$M256+'4-6 Diesel'!$Z256</f>
        <v>9.6643106504750511E-6</v>
      </c>
      <c r="M32" s="672">
        <f>'4-6 Diesel'!$M309+'4-6 Diesel'!$Z309</f>
        <v>9.5844106050226431E-4</v>
      </c>
      <c r="N32" s="407">
        <f>B32*'Market Data'!$E$52+H32*'Market Data'!$O$52</f>
        <v>0.62703367412351152</v>
      </c>
      <c r="O32" s="409">
        <f>SUM(C32:G32)*'Market Data'!$E$52+SUM(I32:M32)*'Market Data'!$O$52</f>
        <v>0.37296632587648831</v>
      </c>
      <c r="Q32" s="387">
        <v>2030</v>
      </c>
      <c r="R32" s="445">
        <f>IF('Market Penetration'!B32=0,0,1000*B32*'Market Data'!$E$51/('Market Penetration'!B32*'Market Data'!$C$51))</f>
        <v>19303.35601847613</v>
      </c>
      <c r="S32" s="446">
        <f>IF('Market Penetration'!C32=0,0,1000*C32*'Market Data'!$E$51/('Market Penetration'!C32*'Market Data'!$C$51))</f>
        <v>0</v>
      </c>
      <c r="T32" s="446">
        <f>IF('Market Penetration'!D32=0,0,1000*D32*'Market Data'!$E$51/('Market Penetration'!D32*'Market Data'!$C$51))</f>
        <v>0</v>
      </c>
      <c r="U32" s="662">
        <f>IF('Market Penetration'!E32=0,0,1000*E32*'Market Data'!$E$51/('Market Penetration'!E32*'Market Data'!$C$51))</f>
        <v>0</v>
      </c>
      <c r="V32" s="446">
        <f>IF('Market Penetration'!F32=0,0,1000*F32*'Market Data'!$E$51/('Market Penetration'!F32*'Market Data'!$C$51))</f>
        <v>0</v>
      </c>
      <c r="W32" s="657">
        <f>IF('Market Penetration'!G32=0,0,1000*G32*'Market Data'!$E$51/('Market Penetration'!G32*'Market Data'!$C$51))</f>
        <v>0</v>
      </c>
      <c r="X32" s="445">
        <f>IF('Market Penetration'!H32=0,0,1000*H32*'Market Data'!$O$51/('Market Penetration'!H32*'Market Data'!$M$51))</f>
        <v>20988.578542483039</v>
      </c>
      <c r="Y32" s="446">
        <f>IF('Market Penetration'!I32=0,0,1000*I32*'Market Data'!$O$51/('Market Penetration'!I32*'Market Data'!$M$51))</f>
        <v>44064.173890149716</v>
      </c>
      <c r="Z32" s="446">
        <f>IF('Market Penetration'!J32=0,0,1000*J32*'Market Data'!$O$51/('Market Penetration'!J32*'Market Data'!$M$51))</f>
        <v>51418.413109740053</v>
      </c>
      <c r="AA32" s="446">
        <f>IF('Market Penetration'!K32=0,0,1000*K32*'Market Data'!$O$51/('Market Penetration'!K32*'Market Data'!$M$51))</f>
        <v>0</v>
      </c>
      <c r="AB32" s="446">
        <f>IF('Market Penetration'!L32=0,0,1000*L32*'Market Data'!$O$51/('Market Penetration'!L32*'Market Data'!$M$51))</f>
        <v>185251.01761716101</v>
      </c>
      <c r="AC32" s="447">
        <f>IF('Market Penetration'!M32=0,0,1000*M32*'Market Data'!$O$51/('Market Penetration'!M32*'Market Data'!$M$51))</f>
        <v>164409.73144796496</v>
      </c>
      <c r="AD32" s="445">
        <f>IF('Market Penetration'!N32=0,0,1000*N32*('Market Data'!$E$51+'Market Data'!$O$51+'Market Data'!$Y$51)/('Market Penetration'!N32*('Market Data'!$C$51+'Market Data'!$M$51+'Market Data'!$W$51)))</f>
        <v>20774.527884838939</v>
      </c>
      <c r="AE32" s="447">
        <f>IF('Market Penetration'!O32=0,0,1000*O32*('Market Data'!$E$51+'Market Data'!$O$51+'Market Data'!$Y$51)/('Market Penetration'!O32*('Market Data'!$C$51+'Market Data'!$M$51+'Market Data'!$W$51)))</f>
        <v>46937.706928391395</v>
      </c>
    </row>
    <row r="33" spans="1:31" ht="15" x14ac:dyDescent="0.25">
      <c r="A33" s="410">
        <v>2031</v>
      </c>
      <c r="B33" s="411">
        <f t="shared" si="8"/>
        <v>1</v>
      </c>
      <c r="C33" s="412">
        <f>'4-6 Gas'!$M100+'4-6 Gas'!$Z100</f>
        <v>0</v>
      </c>
      <c r="D33" s="412">
        <f>'4-6 Gas'!$M152+'4-6 Gas'!$Z152</f>
        <v>0</v>
      </c>
      <c r="E33" s="668">
        <f>'4-6 Gas'!$M204+'4-6 Gas'!$Z204</f>
        <v>0</v>
      </c>
      <c r="F33" s="412">
        <f>'4-6 Gas'!$M257+'4-6 Gas'!$Z257</f>
        <v>0</v>
      </c>
      <c r="G33" s="628">
        <f>'4-6 Gas'!$M310+'4-6 Gas'!$Z310</f>
        <v>0</v>
      </c>
      <c r="H33" s="835">
        <f t="shared" si="9"/>
        <v>0.46972381770932525</v>
      </c>
      <c r="I33" s="628">
        <f>'4-6 Diesel'!$M100+'4-6 Diesel'!$Z100</f>
        <v>0.30562768412590324</v>
      </c>
      <c r="J33" s="628">
        <f>'4-6 Diesel'!$M152+'4-6 Diesel'!$Z152</f>
        <v>0.22292709707254663</v>
      </c>
      <c r="K33" s="628">
        <f>'4-6 Diesel'!$M204+'4-6 Diesel'!$Z204</f>
        <v>0</v>
      </c>
      <c r="L33" s="628">
        <f>'4-6 Diesel'!$M257+'4-6 Diesel'!$Z257</f>
        <v>5.3748753268605485E-5</v>
      </c>
      <c r="M33" s="673">
        <f>'4-6 Diesel'!$M310+'4-6 Diesel'!$Z310</f>
        <v>1.6676523389562456E-3</v>
      </c>
      <c r="N33" s="414">
        <f>B33*'Market Data'!$E$52+H33*'Market Data'!$O$52</f>
        <v>0.50896607263584048</v>
      </c>
      <c r="O33" s="415">
        <f>SUM(C33:G33)*'Market Data'!$E$52+SUM(I33:M33)*'Market Data'!$O$52</f>
        <v>0.49103392736415946</v>
      </c>
      <c r="Q33" s="410">
        <v>2031</v>
      </c>
      <c r="R33" s="448">
        <f>IF('Market Penetration'!B33=0,0,1000*B33*'Market Data'!$E$51/('Market Penetration'!B33*'Market Data'!$C$51))</f>
        <v>19303.35601847613</v>
      </c>
      <c r="S33" s="449">
        <f>IF('Market Penetration'!C33=0,0,1000*C33*'Market Data'!$E$51/('Market Penetration'!C33*'Market Data'!$C$51))</f>
        <v>0</v>
      </c>
      <c r="T33" s="449">
        <f>IF('Market Penetration'!D33=0,0,1000*D33*'Market Data'!$E$51/('Market Penetration'!D33*'Market Data'!$C$51))</f>
        <v>0</v>
      </c>
      <c r="U33" s="663">
        <f>IF('Market Penetration'!E33=0,0,1000*E33*'Market Data'!$E$51/('Market Penetration'!E33*'Market Data'!$C$51))</f>
        <v>0</v>
      </c>
      <c r="V33" s="449">
        <f>IF('Market Penetration'!F33=0,0,1000*F33*'Market Data'!$E$51/('Market Penetration'!F33*'Market Data'!$C$51))</f>
        <v>0</v>
      </c>
      <c r="W33" s="658">
        <f>IF('Market Penetration'!G33=0,0,1000*G33*'Market Data'!$E$51/('Market Penetration'!G33*'Market Data'!$C$51))</f>
        <v>0</v>
      </c>
      <c r="X33" s="448">
        <f>IF('Market Penetration'!H33=0,0,1000*H33*'Market Data'!$O$51/('Market Penetration'!H33*'Market Data'!$M$51))</f>
        <v>18626.538748542673</v>
      </c>
      <c r="Y33" s="449">
        <f>IF('Market Penetration'!I33=0,0,1000*I33*'Market Data'!$O$51/('Market Penetration'!I33*'Market Data'!$M$51))</f>
        <v>42291.900774622365</v>
      </c>
      <c r="Z33" s="449">
        <f>IF('Market Penetration'!J33=0,0,1000*J33*'Market Data'!$O$51/('Market Penetration'!J33*'Market Data'!$M$51))</f>
        <v>48667.276450956386</v>
      </c>
      <c r="AA33" s="449">
        <f>IF('Market Penetration'!K33=0,0,1000*K33*'Market Data'!$O$51/('Market Penetration'!K33*'Market Data'!$M$51))</f>
        <v>0</v>
      </c>
      <c r="AB33" s="449">
        <f>IF('Market Penetration'!L33=0,0,1000*L33*'Market Data'!$O$51/('Market Penetration'!L33*'Market Data'!$M$51))</f>
        <v>178417.13154071051</v>
      </c>
      <c r="AC33" s="839">
        <f>IF('Market Penetration'!M33=0,0,1000*M33*'Market Data'!$O$51/('Market Penetration'!M33*'Market Data'!$M$51))</f>
        <v>161569.0733928206</v>
      </c>
      <c r="AD33" s="450">
        <f>IF('Market Penetration'!N33=0,0,1000*N33*('Market Data'!$E$51+'Market Data'!$O$51+'Market Data'!$Y$51)/('Market Penetration'!N33*('Market Data'!$C$51+'Market Data'!$M$51+'Market Data'!$W$51)))</f>
        <v>18721.983813293857</v>
      </c>
      <c r="AE33" s="451">
        <f>IF('Market Penetration'!O33=0,0,1000*O33*('Market Data'!$E$51+'Market Data'!$O$51+'Market Data'!$Y$51)/('Market Penetration'!O33*('Market Data'!$C$51+'Market Data'!$M$51+'Market Data'!$W$51)))</f>
        <v>44870.655037298638</v>
      </c>
    </row>
    <row r="34" spans="1:31" ht="15" x14ac:dyDescent="0.25">
      <c r="A34" s="388">
        <v>2032</v>
      </c>
      <c r="B34" s="404">
        <f t="shared" si="8"/>
        <v>1</v>
      </c>
      <c r="C34" s="405">
        <f>'4-6 Gas'!$M101+'4-6 Gas'!$Z101</f>
        <v>0</v>
      </c>
      <c r="D34" s="405">
        <f>'4-6 Gas'!$M153+'4-6 Gas'!$Z153</f>
        <v>0</v>
      </c>
      <c r="E34" s="666">
        <f>'4-6 Gas'!$M205+'4-6 Gas'!$Z205</f>
        <v>0</v>
      </c>
      <c r="F34" s="405">
        <f>'4-6 Gas'!$M258+'4-6 Gas'!$Z258</f>
        <v>0</v>
      </c>
      <c r="G34" s="626">
        <f>'4-6 Gas'!$M311+'4-6 Gas'!$Z311</f>
        <v>0</v>
      </c>
      <c r="H34" s="833">
        <f t="shared" si="9"/>
        <v>0.30420049168440555</v>
      </c>
      <c r="I34" s="626">
        <f>'4-6 Diesel'!$M101+'4-6 Diesel'!$Z101</f>
        <v>0.40983766635266389</v>
      </c>
      <c r="J34" s="626">
        <f>'4-6 Diesel'!$M153+'4-6 Diesel'!$Z153</f>
        <v>0.28258828722893836</v>
      </c>
      <c r="K34" s="626">
        <f>'4-6 Diesel'!$M205+'4-6 Diesel'!$Z205</f>
        <v>0</v>
      </c>
      <c r="L34" s="626">
        <f>'4-6 Diesel'!$M258+'4-6 Diesel'!$Z258</f>
        <v>3.0120544330949493E-4</v>
      </c>
      <c r="M34" s="671">
        <f>'4-6 Diesel'!$M311+'4-6 Diesel'!$Z311</f>
        <v>3.072349290682788E-3</v>
      </c>
      <c r="N34" s="404">
        <f>B34*'Market Data'!$E$52+H34*'Market Data'!$O$52</f>
        <v>0.3556920400415543</v>
      </c>
      <c r="O34" s="406">
        <f>SUM(C34:G34)*'Market Data'!$E$52+SUM(I34:M34)*'Market Data'!$O$52</f>
        <v>0.6443079599584457</v>
      </c>
      <c r="Q34" s="388">
        <v>2032</v>
      </c>
      <c r="R34" s="442">
        <f>IF('Market Penetration'!B34=0,0,1000*B34*'Market Data'!$E$51/('Market Penetration'!B34*'Market Data'!$C$51))</f>
        <v>19303.35601847613</v>
      </c>
      <c r="S34" s="443">
        <f>IF('Market Penetration'!C34=0,0,1000*C34*'Market Data'!$E$51/('Market Penetration'!C34*'Market Data'!$C$51))</f>
        <v>0</v>
      </c>
      <c r="T34" s="443">
        <f>IF('Market Penetration'!D34=0,0,1000*D34*'Market Data'!$E$51/('Market Penetration'!D34*'Market Data'!$C$51))</f>
        <v>0</v>
      </c>
      <c r="U34" s="661">
        <f>IF('Market Penetration'!E34=0,0,1000*E34*'Market Data'!$E$51/('Market Penetration'!E34*'Market Data'!$C$51))</f>
        <v>0</v>
      </c>
      <c r="V34" s="443">
        <f>IF('Market Penetration'!F34=0,0,1000*F34*'Market Data'!$E$51/('Market Penetration'!F34*'Market Data'!$C$51))</f>
        <v>0</v>
      </c>
      <c r="W34" s="656">
        <f>IF('Market Penetration'!G34=0,0,1000*G34*'Market Data'!$E$51/('Market Penetration'!G34*'Market Data'!$C$51))</f>
        <v>0</v>
      </c>
      <c r="X34" s="442">
        <f>IF('Market Penetration'!H34=0,0,1000*H34*'Market Data'!$O$51/('Market Penetration'!H34*'Market Data'!$M$51))</f>
        <v>15797.912308363166</v>
      </c>
      <c r="Y34" s="443">
        <f>IF('Market Penetration'!I34=0,0,1000*I34*'Market Data'!$O$51/('Market Penetration'!I34*'Market Data'!$M$51))</f>
        <v>35733.426428135419</v>
      </c>
      <c r="Z34" s="443">
        <f>IF('Market Penetration'!J34=0,0,1000*J34*'Market Data'!$O$51/('Market Penetration'!J34*'Market Data'!$M$51))</f>
        <v>44930.897755216494</v>
      </c>
      <c r="AA34" s="443">
        <f>IF('Market Penetration'!K34=0,0,1000*K34*'Market Data'!$O$51/('Market Penetration'!K34*'Market Data'!$M$51))</f>
        <v>0</v>
      </c>
      <c r="AB34" s="443">
        <f>IF('Market Penetration'!L34=0,0,1000*L34*'Market Data'!$O$51/('Market Penetration'!L34*'Market Data'!$M$51))</f>
        <v>171808.30409929535</v>
      </c>
      <c r="AC34" s="444">
        <f>IF('Market Penetration'!M34=0,0,1000*M34*'Market Data'!$O$51/('Market Penetration'!M34*'Market Data'!$M$51))</f>
        <v>156176.28206510894</v>
      </c>
      <c r="AD34" s="442">
        <f>IF('Market Penetration'!N34=0,0,1000*N34*('Market Data'!$E$51+'Market Data'!$O$51+'Market Data'!$Y$51)/('Market Penetration'!N34*('Market Data'!$C$51+'Market Data'!$M$51+'Market Data'!$W$51)))</f>
        <v>16418.230048007739</v>
      </c>
      <c r="AE34" s="444">
        <f>IF('Market Penetration'!O34=0,0,1000*O34*('Market Data'!$E$51+'Market Data'!$O$51+'Market Data'!$Y$51)/('Market Penetration'!O34*('Market Data'!$C$51+'Market Data'!$M$51+'Market Data'!$W$51)))</f>
        <v>39133.542258514964</v>
      </c>
    </row>
    <row r="35" spans="1:31" ht="15" x14ac:dyDescent="0.25">
      <c r="A35" s="388">
        <v>2033</v>
      </c>
      <c r="B35" s="404">
        <f t="shared" si="8"/>
        <v>1</v>
      </c>
      <c r="C35" s="405">
        <f>'4-6 Gas'!$M102+'4-6 Gas'!$Z102</f>
        <v>0</v>
      </c>
      <c r="D35" s="405">
        <f>'4-6 Gas'!$M154+'4-6 Gas'!$Z154</f>
        <v>0</v>
      </c>
      <c r="E35" s="666">
        <f>'4-6 Gas'!$M206+'4-6 Gas'!$Z206</f>
        <v>0</v>
      </c>
      <c r="F35" s="405">
        <f>'4-6 Gas'!$M259+'4-6 Gas'!$Z259</f>
        <v>0</v>
      </c>
      <c r="G35" s="626">
        <f>'4-6 Gas'!$M312+'4-6 Gas'!$Z312</f>
        <v>0</v>
      </c>
      <c r="H35" s="833">
        <f t="shared" si="9"/>
        <v>0.21438809359273259</v>
      </c>
      <c r="I35" s="626">
        <f>'4-6 Diesel'!$M102+'4-6 Diesel'!$Z102</f>
        <v>0.45884007666643245</v>
      </c>
      <c r="J35" s="626">
        <f>'4-6 Diesel'!$M154+'4-6 Diesel'!$Z154</f>
        <v>0.32094547286282943</v>
      </c>
      <c r="K35" s="626">
        <f>'4-6 Diesel'!$M206+'4-6 Diesel'!$Z206</f>
        <v>0</v>
      </c>
      <c r="L35" s="626">
        <f>'4-6 Diesel'!$M259+'4-6 Diesel'!$Z259</f>
        <v>1.0190038480868315E-3</v>
      </c>
      <c r="M35" s="671">
        <f>'4-6 Diesel'!$M312+'4-6 Diesel'!$Z312</f>
        <v>4.8073530299187718E-3</v>
      </c>
      <c r="N35" s="404">
        <f>B35*'Market Data'!$E$52+H35*'Market Data'!$O$52</f>
        <v>0.27252606722632933</v>
      </c>
      <c r="O35" s="406">
        <f>SUM(C35:G35)*'Market Data'!$E$52+SUM(I35:M35)*'Market Data'!$O$52</f>
        <v>0.72747393277367056</v>
      </c>
      <c r="Q35" s="388">
        <v>2033</v>
      </c>
      <c r="R35" s="442">
        <f>IF('Market Penetration'!B35=0,0,1000*B35*'Market Data'!$E$51/('Market Penetration'!B35*'Market Data'!$C$51))</f>
        <v>19303.35601847613</v>
      </c>
      <c r="S35" s="443">
        <f>IF('Market Penetration'!C35=0,0,1000*C35*'Market Data'!$E$51/('Market Penetration'!C35*'Market Data'!$C$51))</f>
        <v>0</v>
      </c>
      <c r="T35" s="443">
        <f>IF('Market Penetration'!D35=0,0,1000*D35*'Market Data'!$E$51/('Market Penetration'!D35*'Market Data'!$C$51))</f>
        <v>0</v>
      </c>
      <c r="U35" s="661">
        <f>IF('Market Penetration'!E35=0,0,1000*E35*'Market Data'!$E$51/('Market Penetration'!E35*'Market Data'!$C$51))</f>
        <v>0</v>
      </c>
      <c r="V35" s="443">
        <f>IF('Market Penetration'!F35=0,0,1000*F35*'Market Data'!$E$51/('Market Penetration'!F35*'Market Data'!$C$51))</f>
        <v>0</v>
      </c>
      <c r="W35" s="656">
        <f>IF('Market Penetration'!G35=0,0,1000*G35*'Market Data'!$E$51/('Market Penetration'!G35*'Market Data'!$C$51))</f>
        <v>0</v>
      </c>
      <c r="X35" s="442">
        <f>IF('Market Penetration'!H35=0,0,1000*H35*'Market Data'!$O$51/('Market Penetration'!H35*'Market Data'!$M$51))</f>
        <v>14368.50924301231</v>
      </c>
      <c r="Y35" s="443">
        <f>IF('Market Penetration'!I35=0,0,1000*I35*'Market Data'!$O$51/('Market Penetration'!I35*'Market Data'!$M$51))</f>
        <v>31559.282962870268</v>
      </c>
      <c r="Z35" s="443">
        <f>IF('Market Penetration'!J35=0,0,1000*J35*'Market Data'!$O$51/('Market Penetration'!J35*'Market Data'!$M$51))</f>
        <v>42577.361975930711</v>
      </c>
      <c r="AA35" s="443">
        <f>IF('Market Penetration'!K35=0,0,1000*K35*'Market Data'!$O$51/('Market Penetration'!K35*'Market Data'!$M$51))</f>
        <v>0</v>
      </c>
      <c r="AB35" s="443">
        <f>IF('Market Penetration'!L35=0,0,1000*L35*'Market Data'!$O$51/('Market Penetration'!L35*'Market Data'!$M$51))</f>
        <v>167819.20594276959</v>
      </c>
      <c r="AC35" s="444">
        <f>IF('Market Penetration'!M35=0,0,1000*M35*'Market Data'!$O$51/('Market Penetration'!M35*'Market Data'!$M$51))</f>
        <v>149384.00802556062</v>
      </c>
      <c r="AD35" s="442">
        <f>IF('Market Penetration'!N35=0,0,1000*N35*('Market Data'!$E$51+'Market Data'!$O$51+'Market Data'!$Y$51)/('Market Penetration'!N35*('Market Data'!$C$51+'Market Data'!$M$51+'Market Data'!$W$51)))</f>
        <v>15440.380526842682</v>
      </c>
      <c r="AE35" s="444">
        <f>IF('Market Penetration'!O35=0,0,1000*O35*('Market Data'!$E$51+'Market Data'!$O$51+'Market Data'!$Y$51)/('Market Penetration'!O35*('Market Data'!$C$51+'Market Data'!$M$51+'Market Data'!$W$51)))</f>
        <v>35523.650452355112</v>
      </c>
    </row>
    <row r="36" spans="1:31" ht="15" x14ac:dyDescent="0.25">
      <c r="A36" s="388">
        <v>2034</v>
      </c>
      <c r="B36" s="404">
        <f t="shared" si="8"/>
        <v>1</v>
      </c>
      <c r="C36" s="405">
        <f>'4-6 Gas'!$M103+'4-6 Gas'!$Z103</f>
        <v>0</v>
      </c>
      <c r="D36" s="405">
        <f>'4-6 Gas'!$M155+'4-6 Gas'!$Z155</f>
        <v>0</v>
      </c>
      <c r="E36" s="666">
        <f>'4-6 Gas'!$M207+'4-6 Gas'!$Z207</f>
        <v>0</v>
      </c>
      <c r="F36" s="405">
        <f>'4-6 Gas'!$M260+'4-6 Gas'!$Z260</f>
        <v>0</v>
      </c>
      <c r="G36" s="626">
        <f>'4-6 Gas'!$M313+'4-6 Gas'!$Z313</f>
        <v>0</v>
      </c>
      <c r="H36" s="833">
        <f t="shared" si="9"/>
        <v>0.17815016007886508</v>
      </c>
      <c r="I36" s="626">
        <f>'4-6 Diesel'!$M103+'4-6 Diesel'!$Z103</f>
        <v>0.47472536968170209</v>
      </c>
      <c r="J36" s="626">
        <f>'4-6 Diesel'!$M155+'4-6 Diesel'!$Z155</f>
        <v>0.33900654731697188</v>
      </c>
      <c r="K36" s="626">
        <f>'4-6 Diesel'!$M207+'4-6 Diesel'!$Z207</f>
        <v>0</v>
      </c>
      <c r="L36" s="626">
        <f>'4-6 Diesel'!$M260+'4-6 Diesel'!$Z260</f>
        <v>1.8404227692473032E-3</v>
      </c>
      <c r="M36" s="671">
        <f>'4-6 Diesel'!$M313+'4-6 Diesel'!$Z313</f>
        <v>6.2775001532136198E-3</v>
      </c>
      <c r="N36" s="404">
        <f>B36*'Market Data'!$E$52+H36*'Market Data'!$O$52</f>
        <v>0.23896986499222311</v>
      </c>
      <c r="O36" s="406">
        <f>SUM(C36:G36)*'Market Data'!$E$52+SUM(I36:M36)*'Market Data'!$O$52</f>
        <v>0.76103013500777683</v>
      </c>
      <c r="Q36" s="388">
        <v>2034</v>
      </c>
      <c r="R36" s="442">
        <f>IF('Market Penetration'!B36=0,0,1000*B36*'Market Data'!$E$51/('Market Penetration'!B36*'Market Data'!$C$51))</f>
        <v>19303.35601847613</v>
      </c>
      <c r="S36" s="443">
        <f>IF('Market Penetration'!C36=0,0,1000*C36*'Market Data'!$E$51/('Market Penetration'!C36*'Market Data'!$C$51))</f>
        <v>0</v>
      </c>
      <c r="T36" s="443">
        <f>IF('Market Penetration'!D36=0,0,1000*D36*'Market Data'!$E$51/('Market Penetration'!D36*'Market Data'!$C$51))</f>
        <v>0</v>
      </c>
      <c r="U36" s="661">
        <f>IF('Market Penetration'!E36=0,0,1000*E36*'Market Data'!$E$51/('Market Penetration'!E36*'Market Data'!$C$51))</f>
        <v>0</v>
      </c>
      <c r="V36" s="443">
        <f>IF('Market Penetration'!F36=0,0,1000*F36*'Market Data'!$E$51/('Market Penetration'!F36*'Market Data'!$C$51))</f>
        <v>0</v>
      </c>
      <c r="W36" s="656">
        <f>IF('Market Penetration'!G36=0,0,1000*G36*'Market Data'!$E$51/('Market Penetration'!G36*'Market Data'!$C$51))</f>
        <v>0</v>
      </c>
      <c r="X36" s="442">
        <f>IF('Market Penetration'!H36=0,0,1000*H36*'Market Data'!$O$51/('Market Penetration'!H36*'Market Data'!$M$51))</f>
        <v>13766.698504311831</v>
      </c>
      <c r="Y36" s="443">
        <f>IF('Market Penetration'!I36=0,0,1000*I36*'Market Data'!$O$51/('Market Penetration'!I36*'Market Data'!$M$51))</f>
        <v>30072.557463226389</v>
      </c>
      <c r="Z36" s="443">
        <f>IF('Market Penetration'!J36=0,0,1000*J36*'Market Data'!$O$51/('Market Penetration'!J36*'Market Data'!$M$51))</f>
        <v>41068.977142806223</v>
      </c>
      <c r="AA36" s="443">
        <f>IF('Market Penetration'!K36=0,0,1000*K36*'Market Data'!$O$51/('Market Penetration'!K36*'Market Data'!$M$51))</f>
        <v>0</v>
      </c>
      <c r="AB36" s="443">
        <f>IF('Market Penetration'!L36=0,0,1000*L36*'Market Data'!$O$51/('Market Penetration'!L36*'Market Data'!$M$51))</f>
        <v>164115.16620032932</v>
      </c>
      <c r="AC36" s="444">
        <f>IF('Market Penetration'!M36=0,0,1000*M36*'Market Data'!$O$51/('Market Penetration'!M36*'Market Data'!$M$51))</f>
        <v>144533.9181757624</v>
      </c>
      <c r="AD36" s="442">
        <f>IF('Market Penetration'!N36=0,0,1000*N36*('Market Data'!$E$51+'Market Data'!$O$51+'Market Data'!$Y$51)/('Market Penetration'!N36*('Market Data'!$C$51+'Market Data'!$M$51+'Market Data'!$W$51)))</f>
        <v>15108.691972199598</v>
      </c>
      <c r="AE36" s="444">
        <f>IF('Market Penetration'!O36=0,0,1000*O36*('Market Data'!$E$51+'Market Data'!$O$51+'Market Data'!$Y$51)/('Market Penetration'!O36*('Market Data'!$C$51+'Market Data'!$M$51+'Market Data'!$W$51)))</f>
        <v>34108.430456480724</v>
      </c>
    </row>
    <row r="37" spans="1:31" ht="15" x14ac:dyDescent="0.25">
      <c r="A37" s="387">
        <v>2035</v>
      </c>
      <c r="B37" s="407">
        <f t="shared" si="8"/>
        <v>1</v>
      </c>
      <c r="C37" s="408">
        <f>'4-6 Gas'!$M104+'4-6 Gas'!$Z104</f>
        <v>0</v>
      </c>
      <c r="D37" s="408">
        <f>'4-6 Gas'!$M156+'4-6 Gas'!$Z156</f>
        <v>0</v>
      </c>
      <c r="E37" s="667">
        <f>'4-6 Gas'!$M208+'4-6 Gas'!$Z208</f>
        <v>0</v>
      </c>
      <c r="F37" s="408">
        <f>'4-6 Gas'!$M261+'4-6 Gas'!$Z261</f>
        <v>0</v>
      </c>
      <c r="G37" s="627">
        <f>'4-6 Gas'!$M314+'4-6 Gas'!$Z314</f>
        <v>0</v>
      </c>
      <c r="H37" s="834">
        <f t="shared" si="9"/>
        <v>0.12777365386554951</v>
      </c>
      <c r="I37" s="627">
        <f>'4-6 Diesel'!$M104+'4-6 Diesel'!$Z104</f>
        <v>0.48868776458907826</v>
      </c>
      <c r="J37" s="627">
        <f>'4-6 Diesel'!$M156+'4-6 Diesel'!$Z156</f>
        <v>0.37074814526795635</v>
      </c>
      <c r="K37" s="627">
        <f>'4-6 Diesel'!$M208+'4-6 Diesel'!$Z208</f>
        <v>0</v>
      </c>
      <c r="L37" s="627">
        <f>'4-6 Diesel'!$M261+'4-6 Diesel'!$Z261</f>
        <v>3.0589356948439927E-3</v>
      </c>
      <c r="M37" s="672">
        <f>'4-6 Diesel'!$M314+'4-6 Diesel'!$Z314</f>
        <v>9.7315005825720207E-3</v>
      </c>
      <c r="N37" s="407">
        <f>B37*'Market Data'!$E$52+H37*'Market Data'!$O$52</f>
        <v>0.19232139289613001</v>
      </c>
      <c r="O37" s="409">
        <f>SUM(C37:G37)*'Market Data'!$E$52+SUM(I37:M37)*'Market Data'!$O$52</f>
        <v>0.80767860710386996</v>
      </c>
      <c r="Q37" s="387">
        <v>2035</v>
      </c>
      <c r="R37" s="445">
        <f>IF('Market Penetration'!B37=0,0,1000*B37*'Market Data'!$E$51/('Market Penetration'!B37*'Market Data'!$C$51))</f>
        <v>19303.35601847613</v>
      </c>
      <c r="S37" s="446">
        <f>IF('Market Penetration'!C37=0,0,1000*C37*'Market Data'!$E$51/('Market Penetration'!C37*'Market Data'!$C$51))</f>
        <v>0</v>
      </c>
      <c r="T37" s="446">
        <f>IF('Market Penetration'!D37=0,0,1000*D37*'Market Data'!$E$51/('Market Penetration'!D37*'Market Data'!$C$51))</f>
        <v>0</v>
      </c>
      <c r="U37" s="662">
        <f>IF('Market Penetration'!E37=0,0,1000*E37*'Market Data'!$E$51/('Market Penetration'!E37*'Market Data'!$C$51))</f>
        <v>0</v>
      </c>
      <c r="V37" s="446">
        <f>IF('Market Penetration'!F37=0,0,1000*F37*'Market Data'!$E$51/('Market Penetration'!F37*'Market Data'!$C$51))</f>
        <v>0</v>
      </c>
      <c r="W37" s="657">
        <f>IF('Market Penetration'!G37=0,0,1000*G37*'Market Data'!$E$51/('Market Penetration'!G37*'Market Data'!$C$51))</f>
        <v>0</v>
      </c>
      <c r="X37" s="445">
        <f>IF('Market Penetration'!H37=0,0,1000*H37*'Market Data'!$O$51/('Market Penetration'!H37*'Market Data'!$M$51))</f>
        <v>13102.440990464489</v>
      </c>
      <c r="Y37" s="446">
        <f>IF('Market Penetration'!I37=0,0,1000*I37*'Market Data'!$O$51/('Market Penetration'!I37*'Market Data'!$M$51))</f>
        <v>28143.921816327715</v>
      </c>
      <c r="Z37" s="446">
        <f>IF('Market Penetration'!J37=0,0,1000*J37*'Market Data'!$O$51/('Market Penetration'!J37*'Market Data'!$M$51))</f>
        <v>37717.704817338497</v>
      </c>
      <c r="AA37" s="446">
        <f>IF('Market Penetration'!K37=0,0,1000*K37*'Market Data'!$O$51/('Market Penetration'!K37*'Market Data'!$M$51))</f>
        <v>0</v>
      </c>
      <c r="AB37" s="446">
        <f>IF('Market Penetration'!L37=0,0,1000*L37*'Market Data'!$O$51/('Market Penetration'!L37*'Market Data'!$M$51))</f>
        <v>159759.3399389899</v>
      </c>
      <c r="AC37" s="447">
        <f>IF('Market Penetration'!M37=0,0,1000*M37*'Market Data'!$O$51/('Market Penetration'!M37*'Market Data'!$M$51))</f>
        <v>136311.08551885892</v>
      </c>
      <c r="AD37" s="445">
        <f>IF('Market Penetration'!N37=0,0,1000*N37*('Market Data'!$E$51+'Market Data'!$O$51+'Market Data'!$Y$51)/('Market Penetration'!N37*('Market Data'!$C$51+'Market Data'!$M$51+'Market Data'!$W$51)))</f>
        <v>14950.437270944702</v>
      </c>
      <c r="AE37" s="447">
        <f>IF('Market Penetration'!O37=0,0,1000*O37*('Market Data'!$E$51+'Market Data'!$O$51+'Market Data'!$Y$51)/('Market Penetration'!O37*('Market Data'!$C$51+'Market Data'!$M$51+'Market Data'!$W$51)))</f>
        <v>31968.449448002313</v>
      </c>
    </row>
    <row r="38" spans="1:31" ht="15" x14ac:dyDescent="0.25">
      <c r="A38" s="410">
        <v>2036</v>
      </c>
      <c r="B38" s="411">
        <f t="shared" si="8"/>
        <v>1</v>
      </c>
      <c r="C38" s="412">
        <f>'4-6 Gas'!$M105+'4-6 Gas'!$Z105</f>
        <v>0</v>
      </c>
      <c r="D38" s="412">
        <f>'4-6 Gas'!$M157+'4-6 Gas'!$Z157</f>
        <v>0</v>
      </c>
      <c r="E38" s="668">
        <f>'4-6 Gas'!$M209+'4-6 Gas'!$Z209</f>
        <v>0</v>
      </c>
      <c r="F38" s="412">
        <f>'4-6 Gas'!$M262+'4-6 Gas'!$Z262</f>
        <v>0</v>
      </c>
      <c r="G38" s="628">
        <f>'4-6 Gas'!$M315+'4-6 Gas'!$Z315</f>
        <v>0</v>
      </c>
      <c r="H38" s="835">
        <f t="shared" si="9"/>
        <v>9.9710187189733901E-2</v>
      </c>
      <c r="I38" s="628">
        <f>'4-6 Diesel'!$M105+'4-6 Diesel'!$Z105</f>
        <v>0.49082769452000963</v>
      </c>
      <c r="J38" s="628">
        <f>'4-6 Diesel'!$M157+'4-6 Diesel'!$Z157</f>
        <v>0.39036605652997486</v>
      </c>
      <c r="K38" s="628">
        <f>'4-6 Diesel'!$M209+'4-6 Diesel'!$Z209</f>
        <v>4.2182830784083818E-5</v>
      </c>
      <c r="L38" s="628">
        <f>'4-6 Diesel'!$M262+'4-6 Diesel'!$Z262</f>
        <v>5.5904383319879021E-3</v>
      </c>
      <c r="M38" s="673">
        <f>'4-6 Diesel'!$M315+'4-6 Diesel'!$Z315</f>
        <v>1.3463440597509608E-2</v>
      </c>
      <c r="N38" s="414">
        <f>B38*'Market Data'!$E$52+H38*'Market Data'!$O$52</f>
        <v>0.16633471893737906</v>
      </c>
      <c r="O38" s="415">
        <f>SUM(C38:G38)*'Market Data'!$E$52+SUM(I38:M38)*'Market Data'!$O$52</f>
        <v>0.83366528106262083</v>
      </c>
      <c r="Q38" s="410">
        <v>2036</v>
      </c>
      <c r="R38" s="448">
        <f>IF('Market Penetration'!B38=0,0,1000*B38*'Market Data'!$E$51/('Market Penetration'!B38*'Market Data'!$C$51))</f>
        <v>19303.35601847613</v>
      </c>
      <c r="S38" s="449">
        <f>IF('Market Penetration'!C38=0,0,1000*C38*'Market Data'!$E$51/('Market Penetration'!C38*'Market Data'!$C$51))</f>
        <v>0</v>
      </c>
      <c r="T38" s="449">
        <f>IF('Market Penetration'!D38=0,0,1000*D38*'Market Data'!$E$51/('Market Penetration'!D38*'Market Data'!$C$51))</f>
        <v>0</v>
      </c>
      <c r="U38" s="663">
        <f>IF('Market Penetration'!E38=0,0,1000*E38*'Market Data'!$E$51/('Market Penetration'!E38*'Market Data'!$C$51))</f>
        <v>0</v>
      </c>
      <c r="V38" s="449">
        <f>IF('Market Penetration'!F38=0,0,1000*F38*'Market Data'!$E$51/('Market Penetration'!F38*'Market Data'!$C$51))</f>
        <v>0</v>
      </c>
      <c r="W38" s="658">
        <f>IF('Market Penetration'!G38=0,0,1000*G38*'Market Data'!$E$51/('Market Penetration'!G38*'Market Data'!$C$51))</f>
        <v>0</v>
      </c>
      <c r="X38" s="448">
        <f>IF('Market Penetration'!H38=0,0,1000*H38*'Market Data'!$O$51/('Market Penetration'!H38*'Market Data'!$M$51))</f>
        <v>12785.232427076515</v>
      </c>
      <c r="Y38" s="449">
        <f>IF('Market Penetration'!I38=0,0,1000*I38*'Market Data'!$O$51/('Market Penetration'!I38*'Market Data'!$M$51))</f>
        <v>27392.164471418459</v>
      </c>
      <c r="Z38" s="449">
        <f>IF('Market Penetration'!J38=0,0,1000*J38*'Market Data'!$O$51/('Market Penetration'!J38*'Market Data'!$M$51))</f>
        <v>34934.023835938562</v>
      </c>
      <c r="AA38" s="449">
        <f>IF('Market Penetration'!K38=0,0,1000*K38*'Market Data'!$O$51/('Market Penetration'!K38*'Market Data'!$M$51))</f>
        <v>28898.810030365261</v>
      </c>
      <c r="AB38" s="449">
        <f>IF('Market Penetration'!L38=0,0,1000*L38*'Market Data'!$O$51/('Market Penetration'!L38*'Market Data'!$M$51))</f>
        <v>152546.0266768357</v>
      </c>
      <c r="AC38" s="839">
        <f>IF('Market Penetration'!M38=0,0,1000*M38*'Market Data'!$O$51/('Market Penetration'!M38*'Market Data'!$M$51))</f>
        <v>127032.63887634176</v>
      </c>
      <c r="AD38" s="450">
        <f>IF('Market Penetration'!N38=0,0,1000*N38*('Market Data'!$E$51+'Market Data'!$O$51+'Market Data'!$Y$51)/('Market Penetration'!N38*('Market Data'!$C$51+'Market Data'!$M$51+'Market Data'!$W$51)))</f>
        <v>15045.533477272864</v>
      </c>
      <c r="AE38" s="451">
        <f>IF('Market Penetration'!O38=0,0,1000*O38*('Market Data'!$E$51+'Market Data'!$O$51+'Market Data'!$Y$51)/('Market Penetration'!O38*('Market Data'!$C$51+'Market Data'!$M$51+'Market Data'!$W$51)))</f>
        <v>30792.80885297291</v>
      </c>
    </row>
    <row r="39" spans="1:31" ht="15" x14ac:dyDescent="0.25">
      <c r="A39" s="388">
        <v>2037</v>
      </c>
      <c r="B39" s="404">
        <f t="shared" si="8"/>
        <v>1</v>
      </c>
      <c r="C39" s="405">
        <f>'4-6 Gas'!$M106+'4-6 Gas'!$Z106</f>
        <v>0</v>
      </c>
      <c r="D39" s="405">
        <f>'4-6 Gas'!$M158+'4-6 Gas'!$Z158</f>
        <v>0</v>
      </c>
      <c r="E39" s="666">
        <f>'4-6 Gas'!$M210+'4-6 Gas'!$Z210</f>
        <v>0</v>
      </c>
      <c r="F39" s="405">
        <f>'4-6 Gas'!$M263+'4-6 Gas'!$Z263</f>
        <v>0</v>
      </c>
      <c r="G39" s="626">
        <f>'4-6 Gas'!$M316+'4-6 Gas'!$Z316</f>
        <v>0</v>
      </c>
      <c r="H39" s="833">
        <f t="shared" si="9"/>
        <v>8.9833212397061324E-2</v>
      </c>
      <c r="I39" s="626">
        <f>'4-6 Diesel'!$M106+'4-6 Diesel'!$Z106</f>
        <v>0.48758438898039291</v>
      </c>
      <c r="J39" s="626">
        <f>'4-6 Diesel'!$M158+'4-6 Diesel'!$Z158</f>
        <v>0.39939006102204516</v>
      </c>
      <c r="K39" s="626">
        <f>'4-6 Diesel'!$M210+'4-6 Diesel'!$Z210</f>
        <v>1.2058257800150993E-4</v>
      </c>
      <c r="L39" s="626">
        <f>'4-6 Diesel'!$M263+'4-6 Diesel'!$Z263</f>
        <v>7.3985589993510814E-3</v>
      </c>
      <c r="M39" s="671">
        <f>'4-6 Diesel'!$M316+'4-6 Diesel'!$Z316</f>
        <v>1.5673196023148039E-2</v>
      </c>
      <c r="N39" s="404">
        <f>B39*'Market Data'!$E$52+H39*'Market Data'!$O$52</f>
        <v>0.15718867413111942</v>
      </c>
      <c r="O39" s="406">
        <f>SUM(C39:G39)*'Market Data'!$E$52+SUM(I39:M39)*'Market Data'!$O$52</f>
        <v>0.84281132586888052</v>
      </c>
      <c r="Q39" s="388">
        <v>2037</v>
      </c>
      <c r="R39" s="442">
        <f>IF('Market Penetration'!B39=0,0,1000*B39*'Market Data'!$E$51/('Market Penetration'!B39*'Market Data'!$C$51))</f>
        <v>19303.35601847613</v>
      </c>
      <c r="S39" s="443">
        <f>IF('Market Penetration'!C39=0,0,1000*C39*'Market Data'!$E$51/('Market Penetration'!C39*'Market Data'!$C$51))</f>
        <v>0</v>
      </c>
      <c r="T39" s="443">
        <f>IF('Market Penetration'!D39=0,0,1000*D39*'Market Data'!$E$51/('Market Penetration'!D39*'Market Data'!$C$51))</f>
        <v>0</v>
      </c>
      <c r="U39" s="661">
        <f>IF('Market Penetration'!E39=0,0,1000*E39*'Market Data'!$E$51/('Market Penetration'!E39*'Market Data'!$C$51))</f>
        <v>0</v>
      </c>
      <c r="V39" s="443">
        <f>IF('Market Penetration'!F39=0,0,1000*F39*'Market Data'!$E$51/('Market Penetration'!F39*'Market Data'!$C$51))</f>
        <v>0</v>
      </c>
      <c r="W39" s="656">
        <f>IF('Market Penetration'!G39=0,0,1000*G39*'Market Data'!$E$51/('Market Penetration'!G39*'Market Data'!$C$51))</f>
        <v>0</v>
      </c>
      <c r="X39" s="442">
        <f>IF('Market Penetration'!H39=0,0,1000*H39*'Market Data'!$O$51/('Market Penetration'!H39*'Market Data'!$M$51))</f>
        <v>12619.173541742617</v>
      </c>
      <c r="Y39" s="443">
        <f>IF('Market Penetration'!I39=0,0,1000*I39*'Market Data'!$O$51/('Market Penetration'!I39*'Market Data'!$M$51))</f>
        <v>27278.575707721655</v>
      </c>
      <c r="Z39" s="443">
        <f>IF('Market Penetration'!J39=0,0,1000*J39*'Market Data'!$O$51/('Market Penetration'!J39*'Market Data'!$M$51))</f>
        <v>33672.26325374216</v>
      </c>
      <c r="AA39" s="443">
        <f>IF('Market Penetration'!K39=0,0,1000*K39*'Market Data'!$O$51/('Market Penetration'!K39*'Market Data'!$M$51))</f>
        <v>28905.676035595181</v>
      </c>
      <c r="AB39" s="443">
        <f>IF('Market Penetration'!L39=0,0,1000*L39*'Market Data'!$O$51/('Market Penetration'!L39*'Market Data'!$M$51))</f>
        <v>148294.58349826589</v>
      </c>
      <c r="AC39" s="444">
        <f>IF('Market Penetration'!M39=0,0,1000*M39*'Market Data'!$O$51/('Market Penetration'!M39*'Market Data'!$M$51))</f>
        <v>122772.48096216643</v>
      </c>
      <c r="AD39" s="442">
        <f>IF('Market Penetration'!N39=0,0,1000*N39*('Market Data'!$E$51+'Market Data'!$O$51+'Market Data'!$Y$51)/('Market Penetration'!N39*('Market Data'!$C$51+'Market Data'!$M$51+'Market Data'!$W$51)))</f>
        <v>15077.066128148172</v>
      </c>
      <c r="AE39" s="444">
        <f>IF('Market Penetration'!O39=0,0,1000*O39*('Market Data'!$E$51+'Market Data'!$O$51+'Market Data'!$Y$51)/('Market Penetration'!O39*('Market Data'!$C$51+'Market Data'!$M$51+'Market Data'!$W$51)))</f>
        <v>30422.978289233804</v>
      </c>
    </row>
    <row r="40" spans="1:31" ht="15" x14ac:dyDescent="0.25">
      <c r="A40" s="388">
        <v>2038</v>
      </c>
      <c r="B40" s="404">
        <f t="shared" si="8"/>
        <v>1</v>
      </c>
      <c r="C40" s="405">
        <f>'4-6 Gas'!$M107+'4-6 Gas'!$Z107</f>
        <v>0</v>
      </c>
      <c r="D40" s="405">
        <f>'4-6 Gas'!$M159+'4-6 Gas'!$Z159</f>
        <v>0</v>
      </c>
      <c r="E40" s="666">
        <f>'4-6 Gas'!$M211+'4-6 Gas'!$Z211</f>
        <v>0</v>
      </c>
      <c r="F40" s="405">
        <f>'4-6 Gas'!$M264+'4-6 Gas'!$Z264</f>
        <v>0</v>
      </c>
      <c r="G40" s="626">
        <f>'4-6 Gas'!$M317+'4-6 Gas'!$Z317</f>
        <v>0</v>
      </c>
      <c r="H40" s="833">
        <f t="shared" si="9"/>
        <v>8.2914795997168E-2</v>
      </c>
      <c r="I40" s="626">
        <f>'4-6 Diesel'!$M107+'4-6 Diesel'!$Z107</f>
        <v>0.47907033614530481</v>
      </c>
      <c r="J40" s="626">
        <f>'4-6 Diesel'!$M159+'4-6 Diesel'!$Z159</f>
        <v>0.4091267643866669</v>
      </c>
      <c r="K40" s="626">
        <f>'4-6 Diesel'!$M211+'4-6 Diesel'!$Z211</f>
        <v>4.0808816284993756E-4</v>
      </c>
      <c r="L40" s="626">
        <f>'4-6 Diesel'!$M264+'4-6 Diesel'!$Z264</f>
        <v>9.4886399657298018E-3</v>
      </c>
      <c r="M40" s="671">
        <f>'4-6 Diesel'!$M317+'4-6 Diesel'!$Z317</f>
        <v>1.89913753422805E-2</v>
      </c>
      <c r="N40" s="404">
        <f>B40*'Market Data'!$E$52+H40*'Market Data'!$O$52</f>
        <v>0.15078224425658651</v>
      </c>
      <c r="O40" s="406">
        <f>SUM(C40:G40)*'Market Data'!$E$52+SUM(I40:M40)*'Market Data'!$O$52</f>
        <v>0.8492177557434134</v>
      </c>
      <c r="Q40" s="388">
        <v>2038</v>
      </c>
      <c r="R40" s="442">
        <f>IF('Market Penetration'!B40=0,0,1000*B40*'Market Data'!$E$51/('Market Penetration'!B40*'Market Data'!$C$51))</f>
        <v>19303.35601847613</v>
      </c>
      <c r="S40" s="443">
        <f>IF('Market Penetration'!C40=0,0,1000*C40*'Market Data'!$E$51/('Market Penetration'!C40*'Market Data'!$C$51))</f>
        <v>0</v>
      </c>
      <c r="T40" s="443">
        <f>IF('Market Penetration'!D40=0,0,1000*D40*'Market Data'!$E$51/('Market Penetration'!D40*'Market Data'!$C$51))</f>
        <v>0</v>
      </c>
      <c r="U40" s="661">
        <f>IF('Market Penetration'!E40=0,0,1000*E40*'Market Data'!$E$51/('Market Penetration'!E40*'Market Data'!$C$51))</f>
        <v>0</v>
      </c>
      <c r="V40" s="443">
        <f>IF('Market Penetration'!F40=0,0,1000*F40*'Market Data'!$E$51/('Market Penetration'!F40*'Market Data'!$C$51))</f>
        <v>0</v>
      </c>
      <c r="W40" s="656">
        <f>IF('Market Penetration'!G40=0,0,1000*G40*'Market Data'!$E$51/('Market Penetration'!G40*'Market Data'!$C$51))</f>
        <v>0</v>
      </c>
      <c r="X40" s="442">
        <f>IF('Market Penetration'!H40=0,0,1000*H40*'Market Data'!$O$51/('Market Penetration'!H40*'Market Data'!$M$51))</f>
        <v>12682.36317850768</v>
      </c>
      <c r="Y40" s="443">
        <f>IF('Market Penetration'!I40=0,0,1000*I40*'Market Data'!$O$51/('Market Penetration'!I40*'Market Data'!$M$51))</f>
        <v>27226.220911184395</v>
      </c>
      <c r="Z40" s="443">
        <f>IF('Market Penetration'!J40=0,0,1000*J40*'Market Data'!$O$51/('Market Penetration'!J40*'Market Data'!$M$51))</f>
        <v>32317.809404226438</v>
      </c>
      <c r="AA40" s="443">
        <f>IF('Market Penetration'!K40=0,0,1000*K40*'Market Data'!$O$51/('Market Penetration'!K40*'Market Data'!$M$51))</f>
        <v>28898.993788295873</v>
      </c>
      <c r="AB40" s="443">
        <f>IF('Market Penetration'!L40=0,0,1000*L40*'Market Data'!$O$51/('Market Penetration'!L40*'Market Data'!$M$51))</f>
        <v>142808.17012426502</v>
      </c>
      <c r="AC40" s="444">
        <f>IF('Market Penetration'!M40=0,0,1000*M40*'Market Data'!$O$51/('Market Penetration'!M40*'Market Data'!$M$51))</f>
        <v>117156.51814293535</v>
      </c>
      <c r="AD40" s="442">
        <f>IF('Market Penetration'!N40=0,0,1000*N40*('Market Data'!$E$51+'Market Data'!$O$51+'Market Data'!$Y$51)/('Market Penetration'!N40*('Market Data'!$C$51+'Market Data'!$M$51+'Market Data'!$W$51)))</f>
        <v>15249.489456649431</v>
      </c>
      <c r="AE40" s="444">
        <f>IF('Market Penetration'!O40=0,0,1000*O40*('Market Data'!$E$51+'Market Data'!$O$51+'Market Data'!$Y$51)/('Market Penetration'!O40*('Market Data'!$C$51+'Market Data'!$M$51+'Market Data'!$W$51)))</f>
        <v>30070.272436572599</v>
      </c>
    </row>
    <row r="41" spans="1:31" ht="15" x14ac:dyDescent="0.25">
      <c r="A41" s="388">
        <v>2039</v>
      </c>
      <c r="B41" s="404">
        <f t="shared" si="8"/>
        <v>1</v>
      </c>
      <c r="C41" s="405">
        <f>'4-6 Gas'!$M108+'4-6 Gas'!$Z108</f>
        <v>0</v>
      </c>
      <c r="D41" s="405">
        <f>'4-6 Gas'!$M160+'4-6 Gas'!$Z160</f>
        <v>0</v>
      </c>
      <c r="E41" s="666">
        <f>'4-6 Gas'!$M212+'4-6 Gas'!$Z212</f>
        <v>0</v>
      </c>
      <c r="F41" s="405">
        <f>'4-6 Gas'!$M265+'4-6 Gas'!$Z265</f>
        <v>0</v>
      </c>
      <c r="G41" s="626">
        <f>'4-6 Gas'!$M318+'4-6 Gas'!$Z318</f>
        <v>0</v>
      </c>
      <c r="H41" s="833">
        <f t="shared" si="9"/>
        <v>7.7841829128036055E-2</v>
      </c>
      <c r="I41" s="626">
        <f>'4-6 Diesel'!$M108+'4-6 Diesel'!$Z108</f>
        <v>0.46572223101036636</v>
      </c>
      <c r="J41" s="626">
        <f>'4-6 Diesel'!$M160+'4-6 Diesel'!$Z160</f>
        <v>0.41983308417548554</v>
      </c>
      <c r="K41" s="626">
        <f>'4-6 Diesel'!$M212+'4-6 Diesel'!$Z212</f>
        <v>1.3830528788605619E-3</v>
      </c>
      <c r="L41" s="626">
        <f>'4-6 Diesel'!$M265+'4-6 Diesel'!$Z265</f>
        <v>1.2035714777348178E-2</v>
      </c>
      <c r="M41" s="671">
        <f>'4-6 Diesel'!$M318+'4-6 Diesel'!$Z318</f>
        <v>2.3184088029903287E-2</v>
      </c>
      <c r="N41" s="404">
        <f>B41*'Market Data'!$E$52+H41*'Market Data'!$O$52</f>
        <v>0.14608469432255483</v>
      </c>
      <c r="O41" s="406">
        <f>SUM(C41:G41)*'Market Data'!$E$52+SUM(I41:M41)*'Market Data'!$O$52</f>
        <v>0.85391530567744511</v>
      </c>
      <c r="Q41" s="388">
        <v>2039</v>
      </c>
      <c r="R41" s="442">
        <f>IF('Market Penetration'!B41=0,0,1000*B41*'Market Data'!$E$51/('Market Penetration'!B41*'Market Data'!$C$51))</f>
        <v>19303.35601847613</v>
      </c>
      <c r="S41" s="443">
        <f>IF('Market Penetration'!C41=0,0,1000*C41*'Market Data'!$E$51/('Market Penetration'!C41*'Market Data'!$C$51))</f>
        <v>0</v>
      </c>
      <c r="T41" s="443">
        <f>IF('Market Penetration'!D41=0,0,1000*D41*'Market Data'!$E$51/('Market Penetration'!D41*'Market Data'!$C$51))</f>
        <v>0</v>
      </c>
      <c r="U41" s="661">
        <f>IF('Market Penetration'!E41=0,0,1000*E41*'Market Data'!$E$51/('Market Penetration'!E41*'Market Data'!$C$51))</f>
        <v>0</v>
      </c>
      <c r="V41" s="443">
        <f>IF('Market Penetration'!F41=0,0,1000*F41*'Market Data'!$E$51/('Market Penetration'!F41*'Market Data'!$C$51))</f>
        <v>0</v>
      </c>
      <c r="W41" s="656">
        <f>IF('Market Penetration'!G41=0,0,1000*G41*'Market Data'!$E$51/('Market Penetration'!G41*'Market Data'!$C$51))</f>
        <v>0</v>
      </c>
      <c r="X41" s="442">
        <f>IF('Market Penetration'!H41=0,0,1000*H41*'Market Data'!$O$51/('Market Penetration'!H41*'Market Data'!$M$51))</f>
        <v>12440.329445319076</v>
      </c>
      <c r="Y41" s="443">
        <f>IF('Market Penetration'!I41=0,0,1000*I41*'Market Data'!$O$51/('Market Penetration'!I41*'Market Data'!$M$51))</f>
        <v>27634.7172308587</v>
      </c>
      <c r="Z41" s="443">
        <f>IF('Market Penetration'!J41=0,0,1000*J41*'Market Data'!$O$51/('Market Penetration'!J41*'Market Data'!$M$51))</f>
        <v>30914.605499908965</v>
      </c>
      <c r="AA41" s="443">
        <f>IF('Market Penetration'!K41=0,0,1000*K41*'Market Data'!$O$51/('Market Penetration'!K41*'Market Data'!$M$51))</f>
        <v>28906.829266258766</v>
      </c>
      <c r="AB41" s="443">
        <f>IF('Market Penetration'!L41=0,0,1000*L41*'Market Data'!$O$51/('Market Penetration'!L41*'Market Data'!$M$51))</f>
        <v>135141.34503139078</v>
      </c>
      <c r="AC41" s="444">
        <f>IF('Market Penetration'!M41=0,0,1000*M41*'Market Data'!$O$51/('Market Penetration'!M41*'Market Data'!$M$51))</f>
        <v>111172.18833577201</v>
      </c>
      <c r="AD41" s="442">
        <f>IF('Market Penetration'!N41=0,0,1000*N41*('Market Data'!$E$51+'Market Data'!$O$51+'Market Data'!$Y$51)/('Market Penetration'!N41*('Market Data'!$C$51+'Market Data'!$M$51+'Market Data'!$W$51)))</f>
        <v>15173.108657457586</v>
      </c>
      <c r="AE41" s="444">
        <f>IF('Market Penetration'!O41=0,0,1000*O41*('Market Data'!$E$51+'Market Data'!$O$51+'Market Data'!$Y$51)/('Market Penetration'!O41*('Market Data'!$C$51+'Market Data'!$M$51+'Market Data'!$W$51)))</f>
        <v>29960.963942584611</v>
      </c>
    </row>
    <row r="42" spans="1:31" ht="15" x14ac:dyDescent="0.25">
      <c r="A42" s="387">
        <v>2040</v>
      </c>
      <c r="B42" s="407">
        <f t="shared" si="8"/>
        <v>1</v>
      </c>
      <c r="C42" s="408">
        <f>'4-6 Gas'!$M109+'4-6 Gas'!$Z109</f>
        <v>0</v>
      </c>
      <c r="D42" s="408">
        <f>'4-6 Gas'!$M161+'4-6 Gas'!$Z161</f>
        <v>0</v>
      </c>
      <c r="E42" s="667">
        <f>'4-6 Gas'!$M213+'4-6 Gas'!$Z213</f>
        <v>0</v>
      </c>
      <c r="F42" s="408">
        <f>'4-6 Gas'!$M266+'4-6 Gas'!$Z266</f>
        <v>0</v>
      </c>
      <c r="G42" s="627">
        <f>'4-6 Gas'!$M319+'4-6 Gas'!$Z319</f>
        <v>0</v>
      </c>
      <c r="H42" s="834">
        <f t="shared" si="9"/>
        <v>7.1149442989137501E-2</v>
      </c>
      <c r="I42" s="627">
        <f>'4-6 Diesel'!$M109+'4-6 Diesel'!$Z109</f>
        <v>0.45388640499513255</v>
      </c>
      <c r="J42" s="627">
        <f>'4-6 Diesel'!$M161+'4-6 Diesel'!$Z161</f>
        <v>0.42619840162582578</v>
      </c>
      <c r="K42" s="627">
        <f>'4-6 Diesel'!$M213+'4-6 Diesel'!$Z213</f>
        <v>4.5987910587920603E-3</v>
      </c>
      <c r="L42" s="627">
        <f>'4-6 Diesel'!$M266+'4-6 Diesel'!$Z266</f>
        <v>1.5047498265484597E-2</v>
      </c>
      <c r="M42" s="672">
        <f>'4-6 Diesel'!$M319+'4-6 Diesel'!$Z319</f>
        <v>2.9119461065627628E-2</v>
      </c>
      <c r="N42" s="407">
        <f>B42*'Market Data'!$E$52+H42*'Market Data'!$O$52</f>
        <v>0.13988756769502048</v>
      </c>
      <c r="O42" s="409">
        <f>SUM(C42:G42)*'Market Data'!$E$52+SUM(I42:M42)*'Market Data'!$O$52</f>
        <v>0.86011243230497947</v>
      </c>
      <c r="Q42" s="387">
        <v>2040</v>
      </c>
      <c r="R42" s="445">
        <f>IF('Market Penetration'!B42=0,0,1000*B42*'Market Data'!$E$51/('Market Penetration'!B42*'Market Data'!$C$51))</f>
        <v>19303.35601847613</v>
      </c>
      <c r="S42" s="446">
        <f>IF('Market Penetration'!C42=0,0,1000*C42*'Market Data'!$E$51/('Market Penetration'!C42*'Market Data'!$C$51))</f>
        <v>0</v>
      </c>
      <c r="T42" s="446">
        <f>IF('Market Penetration'!D42=0,0,1000*D42*'Market Data'!$E$51/('Market Penetration'!D42*'Market Data'!$C$51))</f>
        <v>0</v>
      </c>
      <c r="U42" s="662">
        <f>IF('Market Penetration'!E42=0,0,1000*E42*'Market Data'!$E$51/('Market Penetration'!E42*'Market Data'!$C$51))</f>
        <v>0</v>
      </c>
      <c r="V42" s="446">
        <f>IF('Market Penetration'!F42=0,0,1000*F42*'Market Data'!$E$51/('Market Penetration'!F42*'Market Data'!$C$51))</f>
        <v>0</v>
      </c>
      <c r="W42" s="657">
        <f>IF('Market Penetration'!G42=0,0,1000*G42*'Market Data'!$E$51/('Market Penetration'!G42*'Market Data'!$C$51))</f>
        <v>0</v>
      </c>
      <c r="X42" s="445">
        <f>IF('Market Penetration'!H42=0,0,1000*H42*'Market Data'!$O$51/('Market Penetration'!H42*'Market Data'!$M$51))</f>
        <v>12290.495398219089</v>
      </c>
      <c r="Y42" s="446">
        <f>IF('Market Penetration'!I42=0,0,1000*I42*'Market Data'!$O$51/('Market Penetration'!I42*'Market Data'!$M$51))</f>
        <v>27835.650282115967</v>
      </c>
      <c r="Z42" s="446">
        <f>IF('Market Penetration'!J42=0,0,1000*J42*'Market Data'!$O$51/('Market Penetration'!J42*'Market Data'!$M$51))</f>
        <v>29628.130648589286</v>
      </c>
      <c r="AA42" s="446">
        <f>IF('Market Penetration'!K42=0,0,1000*K42*'Market Data'!$O$51/('Market Penetration'!K42*'Market Data'!$M$51))</f>
        <v>28908.881846739569</v>
      </c>
      <c r="AB42" s="446">
        <f>IF('Market Penetration'!L42=0,0,1000*L42*'Market Data'!$O$51/('Market Penetration'!L42*'Market Data'!$M$51))</f>
        <v>127428.56180427369</v>
      </c>
      <c r="AC42" s="447">
        <f>IF('Market Penetration'!M42=0,0,1000*M42*'Market Data'!$O$51/('Market Penetration'!M42*'Market Data'!$M$51))</f>
        <v>104422.06609150772</v>
      </c>
      <c r="AD42" s="445">
        <f>IF('Market Penetration'!N42=0,0,1000*N42*('Market Data'!$E$51+'Market Data'!$O$51+'Market Data'!$Y$51)/('Market Penetration'!N42*('Market Data'!$C$51+'Market Data'!$M$51+'Market Data'!$W$51)))</f>
        <v>15214.622808347145</v>
      </c>
      <c r="AE42" s="447">
        <f>IF('Market Penetration'!O42=0,0,1000*O42*('Market Data'!$E$51+'Market Data'!$O$51+'Market Data'!$Y$51)/('Market Penetration'!O42*('Market Data'!$C$51+'Market Data'!$M$51+'Market Data'!$W$51)))</f>
        <v>29726.176073615177</v>
      </c>
    </row>
    <row r="43" spans="1:31" ht="15" x14ac:dyDescent="0.25">
      <c r="A43" s="388">
        <v>2041</v>
      </c>
      <c r="B43" s="411">
        <f t="shared" si="8"/>
        <v>1</v>
      </c>
      <c r="C43" s="412">
        <f>'4-6 Gas'!$M110+'4-6 Gas'!$Z110</f>
        <v>0</v>
      </c>
      <c r="D43" s="412">
        <f>'4-6 Gas'!$M162+'4-6 Gas'!$Z162</f>
        <v>0</v>
      </c>
      <c r="E43" s="668">
        <f>'4-6 Gas'!$M214+'4-6 Gas'!$Z214</f>
        <v>0</v>
      </c>
      <c r="F43" s="412">
        <f>'4-6 Gas'!$M267+'4-6 Gas'!$Z267</f>
        <v>0</v>
      </c>
      <c r="G43" s="628">
        <f>'4-6 Gas'!$M320+'4-6 Gas'!$Z320</f>
        <v>0</v>
      </c>
      <c r="H43" s="835">
        <f t="shared" si="9"/>
        <v>6.449358880455025E-2</v>
      </c>
      <c r="I43" s="628">
        <f>'4-6 Diesel'!$M110+'4-6 Diesel'!$Z110</f>
        <v>0.43972136876688861</v>
      </c>
      <c r="J43" s="628">
        <f>'4-6 Diesel'!$M162+'4-6 Diesel'!$Z162</f>
        <v>0.42550316447376468</v>
      </c>
      <c r="K43" s="628">
        <f>'4-6 Diesel'!$M214+'4-6 Diesel'!$Z214</f>
        <v>1.3490162213093567E-2</v>
      </c>
      <c r="L43" s="628">
        <f>'4-6 Diesel'!$M267+'4-6 Diesel'!$Z267</f>
        <v>1.8794835455571948E-2</v>
      </c>
      <c r="M43" s="673">
        <f>'4-6 Diesel'!$M320+'4-6 Diesel'!$Z320</f>
        <v>3.799688028613106E-2</v>
      </c>
      <c r="N43" s="414">
        <f>B43*'Market Data'!$E$52+H43*'Market Data'!$O$52</f>
        <v>0.13372426953197089</v>
      </c>
      <c r="O43" s="415">
        <f>SUM(C43:G43)*'Market Data'!$E$52+SUM(I43:M43)*'Market Data'!$O$52</f>
        <v>0.86627573046802908</v>
      </c>
      <c r="Q43" s="388">
        <v>2041</v>
      </c>
      <c r="R43" s="448">
        <f>IF('Market Penetration'!B43=0,0,1000*B43*'Market Data'!$E$51/('Market Penetration'!B43*'Market Data'!$C$51))</f>
        <v>19303.35601847613</v>
      </c>
      <c r="S43" s="449">
        <f>IF('Market Penetration'!C43=0,0,1000*C43*'Market Data'!$E$51/('Market Penetration'!C43*'Market Data'!$C$51))</f>
        <v>0</v>
      </c>
      <c r="T43" s="449">
        <f>IF('Market Penetration'!D43=0,0,1000*D43*'Market Data'!$E$51/('Market Penetration'!D43*'Market Data'!$C$51))</f>
        <v>0</v>
      </c>
      <c r="U43" s="663">
        <f>IF('Market Penetration'!E43=0,0,1000*E43*'Market Data'!$E$51/('Market Penetration'!E43*'Market Data'!$C$51))</f>
        <v>0</v>
      </c>
      <c r="V43" s="449">
        <f>IF('Market Penetration'!F43=0,0,1000*F43*'Market Data'!$E$51/('Market Penetration'!F43*'Market Data'!$C$51))</f>
        <v>0</v>
      </c>
      <c r="W43" s="658">
        <f>IF('Market Penetration'!G43=0,0,1000*G43*'Market Data'!$E$51/('Market Penetration'!G43*'Market Data'!$C$51))</f>
        <v>0</v>
      </c>
      <c r="X43" s="448">
        <f>IF('Market Penetration'!H43=0,0,1000*H43*'Market Data'!$O$51/('Market Penetration'!H43*'Market Data'!$M$51))</f>
        <v>12357.50440895754</v>
      </c>
      <c r="Y43" s="449">
        <f>IF('Market Penetration'!I43=0,0,1000*I43*'Market Data'!$O$51/('Market Penetration'!I43*'Market Data'!$M$51))</f>
        <v>27623.818251166729</v>
      </c>
      <c r="Z43" s="449">
        <f>IF('Market Penetration'!J43=0,0,1000*J43*'Market Data'!$O$51/('Market Penetration'!J43*'Market Data'!$M$51))</f>
        <v>28605.650522010958</v>
      </c>
      <c r="AA43" s="449">
        <f>IF('Market Penetration'!K43=0,0,1000*K43*'Market Data'!$O$51/('Market Penetration'!K43*'Market Data'!$M$51))</f>
        <v>28915.627249472484</v>
      </c>
      <c r="AB43" s="449">
        <f>IF('Market Penetration'!L43=0,0,1000*L43*'Market Data'!$O$51/('Market Penetration'!L43*'Market Data'!$M$51))</f>
        <v>116580.4391019013</v>
      </c>
      <c r="AC43" s="839">
        <f>IF('Market Penetration'!M43=0,0,1000*M43*'Market Data'!$O$51/('Market Penetration'!M43*'Market Data'!$M$51))</f>
        <v>95916.479665709368</v>
      </c>
      <c r="AD43" s="450">
        <f>IF('Market Penetration'!N43=0,0,1000*N43*('Market Data'!$E$51+'Market Data'!$O$51+'Market Data'!$Y$51)/('Market Penetration'!N43*('Market Data'!$C$51+'Market Data'!$M$51+'Market Data'!$W$51)))</f>
        <v>15430.078952429329</v>
      </c>
      <c r="AE43" s="451">
        <f>IF('Market Penetration'!O43=0,0,1000*O43*('Market Data'!$E$51+'Market Data'!$O$51+'Market Data'!$Y$51)/('Market Penetration'!O43*('Market Data'!$C$51+'Market Data'!$M$51+'Market Data'!$W$51)))</f>
        <v>29402.824430246816</v>
      </c>
    </row>
    <row r="44" spans="1:31" ht="15" x14ac:dyDescent="0.25">
      <c r="A44" s="388">
        <v>2042</v>
      </c>
      <c r="B44" s="404">
        <f t="shared" si="8"/>
        <v>1</v>
      </c>
      <c r="C44" s="405">
        <f>'4-6 Gas'!$M111+'4-6 Gas'!$Z111</f>
        <v>0</v>
      </c>
      <c r="D44" s="405">
        <f>'4-6 Gas'!$M163+'4-6 Gas'!$Z163</f>
        <v>0</v>
      </c>
      <c r="E44" s="666">
        <f>'4-6 Gas'!$M215+'4-6 Gas'!$Z215</f>
        <v>0</v>
      </c>
      <c r="F44" s="405">
        <f>'4-6 Gas'!$M268+'4-6 Gas'!$Z268</f>
        <v>0</v>
      </c>
      <c r="G44" s="626">
        <f>'4-6 Gas'!$M321+'4-6 Gas'!$Z321</f>
        <v>0</v>
      </c>
      <c r="H44" s="833">
        <f t="shared" si="9"/>
        <v>5.6437217589237809E-2</v>
      </c>
      <c r="I44" s="626">
        <f>'4-6 Diesel'!$M111+'4-6 Diesel'!$Z111</f>
        <v>0.41713673448696298</v>
      </c>
      <c r="J44" s="626">
        <f>'4-6 Diesel'!$M163+'4-6 Diesel'!$Z163</f>
        <v>0.41979932614945659</v>
      </c>
      <c r="K44" s="626">
        <f>'4-6 Diesel'!$M215+'4-6 Diesel'!$Z215</f>
        <v>3.2660521327915103E-2</v>
      </c>
      <c r="L44" s="626">
        <f>'4-6 Diesel'!$M268+'4-6 Diesel'!$Z268</f>
        <v>2.3494815864383196E-2</v>
      </c>
      <c r="M44" s="671">
        <f>'4-6 Diesel'!$M321+'4-6 Diesel'!$Z321</f>
        <v>5.0471384582044379E-2</v>
      </c>
      <c r="N44" s="404">
        <f>B44*'Market Data'!$E$52+H44*'Market Data'!$O$52</f>
        <v>0.12626409739851846</v>
      </c>
      <c r="O44" s="406">
        <f>SUM(C44:G44)*'Market Data'!$E$52+SUM(I44:M44)*'Market Data'!$O$52</f>
        <v>0.87373590260148148</v>
      </c>
      <c r="Q44" s="388">
        <v>2042</v>
      </c>
      <c r="R44" s="442">
        <f>IF('Market Penetration'!B44=0,0,1000*B44*'Market Data'!$E$51/('Market Penetration'!B44*'Market Data'!$C$51))</f>
        <v>19303.35601847613</v>
      </c>
      <c r="S44" s="443">
        <f>IF('Market Penetration'!C44=0,0,1000*C44*'Market Data'!$E$51/('Market Penetration'!C44*'Market Data'!$C$51))</f>
        <v>0</v>
      </c>
      <c r="T44" s="443">
        <f>IF('Market Penetration'!D44=0,0,1000*D44*'Market Data'!$E$51/('Market Penetration'!D44*'Market Data'!$C$51))</f>
        <v>0</v>
      </c>
      <c r="U44" s="661">
        <f>IF('Market Penetration'!E44=0,0,1000*E44*'Market Data'!$E$51/('Market Penetration'!E44*'Market Data'!$C$51))</f>
        <v>0</v>
      </c>
      <c r="V44" s="443">
        <f>IF('Market Penetration'!F44=0,0,1000*F44*'Market Data'!$E$51/('Market Penetration'!F44*'Market Data'!$C$51))</f>
        <v>0</v>
      </c>
      <c r="W44" s="656">
        <f>IF('Market Penetration'!G44=0,0,1000*G44*'Market Data'!$E$51/('Market Penetration'!G44*'Market Data'!$C$51))</f>
        <v>0</v>
      </c>
      <c r="X44" s="442">
        <f>IF('Market Penetration'!H44=0,0,1000*H44*'Market Data'!$O$51/('Market Penetration'!H44*'Market Data'!$M$51))</f>
        <v>12236.339256610496</v>
      </c>
      <c r="Y44" s="443">
        <f>IF('Market Penetration'!I44=0,0,1000*I44*'Market Data'!$O$51/('Market Penetration'!I44*'Market Data'!$M$51))</f>
        <v>27555.006162363781</v>
      </c>
      <c r="Z44" s="443">
        <f>IF('Market Penetration'!J44=0,0,1000*J44*'Market Data'!$O$51/('Market Penetration'!J44*'Market Data'!$M$51))</f>
        <v>27352.90085391582</v>
      </c>
      <c r="AA44" s="443">
        <f>IF('Market Penetration'!K44=0,0,1000*K44*'Market Data'!$O$51/('Market Penetration'!K44*'Market Data'!$M$51))</f>
        <v>28921.257443239756</v>
      </c>
      <c r="AB44" s="443">
        <f>IF('Market Penetration'!L44=0,0,1000*L44*'Market Data'!$O$51/('Market Penetration'!L44*'Market Data'!$M$51))</f>
        <v>103825.73021069373</v>
      </c>
      <c r="AC44" s="444">
        <f>IF('Market Penetration'!M44=0,0,1000*M44*'Market Data'!$O$51/('Market Penetration'!M44*'Market Data'!$M$51))</f>
        <v>86694.919375793543</v>
      </c>
      <c r="AD44" s="442">
        <f>IF('Market Penetration'!N44=0,0,1000*N44*('Market Data'!$E$51+'Market Data'!$O$51+'Market Data'!$Y$51)/('Market Penetration'!N44*('Market Data'!$C$51+'Market Data'!$M$51+'Market Data'!$W$51)))</f>
        <v>15579.220811158497</v>
      </c>
      <c r="AE44" s="444">
        <f>IF('Market Penetration'!O44=0,0,1000*O44*('Market Data'!$E$51+'Market Data'!$O$51+'Market Data'!$Y$51)/('Market Penetration'!O44*('Market Data'!$C$51+'Market Data'!$M$51+'Market Data'!$W$51)))</f>
        <v>29101.104021852076</v>
      </c>
    </row>
    <row r="45" spans="1:31" ht="15" x14ac:dyDescent="0.25">
      <c r="A45" s="388">
        <v>2043</v>
      </c>
      <c r="B45" s="404">
        <f t="shared" si="8"/>
        <v>1</v>
      </c>
      <c r="C45" s="405">
        <f>'4-6 Gas'!$M112+'4-6 Gas'!$Z112</f>
        <v>0</v>
      </c>
      <c r="D45" s="405">
        <f>'4-6 Gas'!$M164+'4-6 Gas'!$Z164</f>
        <v>0</v>
      </c>
      <c r="E45" s="666">
        <f>'4-6 Gas'!$M216+'4-6 Gas'!$Z216</f>
        <v>0</v>
      </c>
      <c r="F45" s="405">
        <f>'4-6 Gas'!$M269+'4-6 Gas'!$Z269</f>
        <v>0</v>
      </c>
      <c r="G45" s="626">
        <f>'4-6 Gas'!$M322+'4-6 Gas'!$Z322</f>
        <v>0</v>
      </c>
      <c r="H45" s="833">
        <f t="shared" si="9"/>
        <v>3.5479657497735073E-2</v>
      </c>
      <c r="I45" s="626">
        <f>'4-6 Diesel'!$M112+'4-6 Diesel'!$Z112</f>
        <v>0.40096689708542482</v>
      </c>
      <c r="J45" s="626">
        <f>'4-6 Diesel'!$M164+'4-6 Diesel'!$Z164</f>
        <v>0.41239828712399151</v>
      </c>
      <c r="K45" s="626">
        <f>'4-6 Diesel'!$M216+'4-6 Diesel'!$Z216</f>
        <v>5.8240075586070757E-2</v>
      </c>
      <c r="L45" s="626">
        <f>'4-6 Diesel'!$M269+'4-6 Diesel'!$Z269</f>
        <v>2.8306811079097927E-2</v>
      </c>
      <c r="M45" s="671">
        <f>'4-6 Diesel'!$M322+'4-6 Diesel'!$Z322</f>
        <v>6.4608271627679903E-2</v>
      </c>
      <c r="N45" s="404">
        <f>B45*'Market Data'!$E$52+H45*'Market Data'!$O$52</f>
        <v>0.10685746858248021</v>
      </c>
      <c r="O45" s="406">
        <f>SUM(C45:G45)*'Market Data'!$E$52+SUM(I45:M45)*'Market Data'!$O$52</f>
        <v>0.89314253141751976</v>
      </c>
      <c r="Q45" s="388">
        <v>2043</v>
      </c>
      <c r="R45" s="442">
        <f>IF('Market Penetration'!B45=0,0,1000*B45*'Market Data'!$E$51/('Market Penetration'!B45*'Market Data'!$C$51))</f>
        <v>19303.35601847613</v>
      </c>
      <c r="S45" s="443">
        <f>IF('Market Penetration'!C45=0,0,1000*C45*'Market Data'!$E$51/('Market Penetration'!C45*'Market Data'!$C$51))</f>
        <v>0</v>
      </c>
      <c r="T45" s="443">
        <f>IF('Market Penetration'!D45=0,0,1000*D45*'Market Data'!$E$51/('Market Penetration'!D45*'Market Data'!$C$51))</f>
        <v>0</v>
      </c>
      <c r="U45" s="661">
        <f>IF('Market Penetration'!E45=0,0,1000*E45*'Market Data'!$E$51/('Market Penetration'!E45*'Market Data'!$C$51))</f>
        <v>0</v>
      </c>
      <c r="V45" s="443">
        <f>IF('Market Penetration'!F45=0,0,1000*F45*'Market Data'!$E$51/('Market Penetration'!F45*'Market Data'!$C$51))</f>
        <v>0</v>
      </c>
      <c r="W45" s="656">
        <f>IF('Market Penetration'!G45=0,0,1000*G45*'Market Data'!$E$51/('Market Penetration'!G45*'Market Data'!$C$51))</f>
        <v>0</v>
      </c>
      <c r="X45" s="442">
        <f>IF('Market Penetration'!H45=0,0,1000*H45*'Market Data'!$O$51/('Market Penetration'!H45*'Market Data'!$M$51))</f>
        <v>12090.904931794557</v>
      </c>
      <c r="Y45" s="443">
        <f>IF('Market Penetration'!I45=0,0,1000*I45*'Market Data'!$O$51/('Market Penetration'!I45*'Market Data'!$M$51))</f>
        <v>26685.506626550581</v>
      </c>
      <c r="Z45" s="443">
        <f>IF('Market Penetration'!J45=0,0,1000*J45*'Market Data'!$O$51/('Market Penetration'!J45*'Market Data'!$M$51))</f>
        <v>25897.817562370361</v>
      </c>
      <c r="AA45" s="443">
        <f>IF('Market Penetration'!K45=0,0,1000*K45*'Market Data'!$O$51/('Market Penetration'!K45*'Market Data'!$M$51))</f>
        <v>28909.169235399564</v>
      </c>
      <c r="AB45" s="443">
        <f>IF('Market Penetration'!L45=0,0,1000*L45*'Market Data'!$O$51/('Market Penetration'!L45*'Market Data'!$M$51))</f>
        <v>93774.267897335187</v>
      </c>
      <c r="AC45" s="444">
        <f>IF('Market Penetration'!M45=0,0,1000*M45*'Market Data'!$O$51/('Market Penetration'!M45*'Market Data'!$M$51))</f>
        <v>77346.086762091756</v>
      </c>
      <c r="AD45" s="442">
        <f>IF('Market Penetration'!N45=0,0,1000*N45*('Market Data'!$E$51+'Market Data'!$O$51+'Market Data'!$Y$51)/('Market Penetration'!N45*('Market Data'!$C$51+'Market Data'!$M$51+'Market Data'!$W$51)))</f>
        <v>16311.725848173159</v>
      </c>
      <c r="AE45" s="444">
        <f>IF('Market Penetration'!O45=0,0,1000*O45*('Market Data'!$E$51+'Market Data'!$O$51+'Market Data'!$Y$51)/('Market Penetration'!O45*('Market Data'!$C$51+'Market Data'!$M$51+'Market Data'!$W$51)))</f>
        <v>28283.841209154572</v>
      </c>
    </row>
    <row r="46" spans="1:31" ht="15" x14ac:dyDescent="0.25">
      <c r="A46" s="388">
        <v>2044</v>
      </c>
      <c r="B46" s="404">
        <f t="shared" si="8"/>
        <v>1</v>
      </c>
      <c r="C46" s="405">
        <f>'4-6 Gas'!$M113+'4-6 Gas'!$Z113</f>
        <v>0</v>
      </c>
      <c r="D46" s="405">
        <f>'4-6 Gas'!$M165+'4-6 Gas'!$Z165</f>
        <v>0</v>
      </c>
      <c r="E46" s="666">
        <f>'4-6 Gas'!$M217+'4-6 Gas'!$Z217</f>
        <v>0</v>
      </c>
      <c r="F46" s="405">
        <f>'4-6 Gas'!$M270+'4-6 Gas'!$Z270</f>
        <v>0</v>
      </c>
      <c r="G46" s="626">
        <f>'4-6 Gas'!$M323+'4-6 Gas'!$Z323</f>
        <v>0</v>
      </c>
      <c r="H46" s="833">
        <f t="shared" si="9"/>
        <v>2.359395727082314E-2</v>
      </c>
      <c r="I46" s="626">
        <f>'4-6 Diesel'!$M113+'4-6 Diesel'!$Z113</f>
        <v>0.38186210383070773</v>
      </c>
      <c r="J46" s="626">
        <f>'4-6 Diesel'!$M165+'4-6 Diesel'!$Z165</f>
        <v>0.39911389883800041</v>
      </c>
      <c r="K46" s="626">
        <f>'4-6 Diesel'!$M217+'4-6 Diesel'!$Z217</f>
        <v>7.9504585269857986E-2</v>
      </c>
      <c r="L46" s="626">
        <f>'4-6 Diesel'!$M270+'4-6 Diesel'!$Z270</f>
        <v>3.345054820799765E-2</v>
      </c>
      <c r="M46" s="671">
        <f>'4-6 Diesel'!$M323+'4-6 Diesel'!$Z323</f>
        <v>8.2474906582612986E-2</v>
      </c>
      <c r="N46" s="404">
        <f>B46*'Market Data'!$E$52+H46*'Market Data'!$O$52</f>
        <v>9.5851350908700839E-2</v>
      </c>
      <c r="O46" s="406">
        <f>SUM(C46:G46)*'Market Data'!$E$52+SUM(I46:M46)*'Market Data'!$O$52</f>
        <v>0.90414864909129911</v>
      </c>
      <c r="Q46" s="388">
        <v>2044</v>
      </c>
      <c r="R46" s="442">
        <f>IF('Market Penetration'!B46=0,0,1000*B46*'Market Data'!$E$51/('Market Penetration'!B46*'Market Data'!$C$51))</f>
        <v>19303.35601847613</v>
      </c>
      <c r="S46" s="443">
        <f>IF('Market Penetration'!C46=0,0,1000*C46*'Market Data'!$E$51/('Market Penetration'!C46*'Market Data'!$C$51))</f>
        <v>0</v>
      </c>
      <c r="T46" s="443">
        <f>IF('Market Penetration'!D46=0,0,1000*D46*'Market Data'!$E$51/('Market Penetration'!D46*'Market Data'!$C$51))</f>
        <v>0</v>
      </c>
      <c r="U46" s="661">
        <f>IF('Market Penetration'!E46=0,0,1000*E46*'Market Data'!$E$51/('Market Penetration'!E46*'Market Data'!$C$51))</f>
        <v>0</v>
      </c>
      <c r="V46" s="443">
        <f>IF('Market Penetration'!F46=0,0,1000*F46*'Market Data'!$E$51/('Market Penetration'!F46*'Market Data'!$C$51))</f>
        <v>0</v>
      </c>
      <c r="W46" s="656">
        <f>IF('Market Penetration'!G46=0,0,1000*G46*'Market Data'!$E$51/('Market Penetration'!G46*'Market Data'!$C$51))</f>
        <v>0</v>
      </c>
      <c r="X46" s="442">
        <f>IF('Market Penetration'!H46=0,0,1000*H46*'Market Data'!$O$51/('Market Penetration'!H46*'Market Data'!$M$51))</f>
        <v>12059.553512210807</v>
      </c>
      <c r="Y46" s="443">
        <f>IF('Market Penetration'!I46=0,0,1000*I46*'Market Data'!$O$51/('Market Penetration'!I46*'Market Data'!$M$51))</f>
        <v>26126.336121560231</v>
      </c>
      <c r="Z46" s="443">
        <f>IF('Market Penetration'!J46=0,0,1000*J46*'Market Data'!$O$51/('Market Penetration'!J46*'Market Data'!$M$51))</f>
        <v>24888.106744359113</v>
      </c>
      <c r="AA46" s="443">
        <f>IF('Market Penetration'!K46=0,0,1000*K46*'Market Data'!$O$51/('Market Penetration'!K46*'Market Data'!$M$51))</f>
        <v>28630.365027594999</v>
      </c>
      <c r="AB46" s="443">
        <f>IF('Market Penetration'!L46=0,0,1000*L46*'Market Data'!$O$51/('Market Penetration'!L46*'Market Data'!$M$51))</f>
        <v>83710.445308795272</v>
      </c>
      <c r="AC46" s="444">
        <f>IF('Market Penetration'!M46=0,0,1000*M46*'Market Data'!$O$51/('Market Penetration'!M46*'Market Data'!$M$51))</f>
        <v>65949.702831522183</v>
      </c>
      <c r="AD46" s="442">
        <f>IF('Market Penetration'!N46=0,0,1000*N46*('Market Data'!$E$51+'Market Data'!$O$51+'Market Data'!$Y$51)/('Market Penetration'!N46*('Market Data'!$C$51+'Market Data'!$M$51+'Market Data'!$W$51)))</f>
        <v>16978.732778748334</v>
      </c>
      <c r="AE46" s="444">
        <f>IF('Market Penetration'!O46=0,0,1000*O46*('Market Data'!$E$51+'Market Data'!$O$51+'Market Data'!$Y$51)/('Market Penetration'!O46*('Market Data'!$C$51+'Market Data'!$M$51+'Market Data'!$W$51)))</f>
        <v>27834.157923193423</v>
      </c>
    </row>
    <row r="47" spans="1:31" ht="15" x14ac:dyDescent="0.25">
      <c r="A47" s="387">
        <v>2045</v>
      </c>
      <c r="B47" s="407">
        <f t="shared" si="8"/>
        <v>1</v>
      </c>
      <c r="C47" s="408">
        <f>'4-6 Gas'!$M114+'4-6 Gas'!$Z114</f>
        <v>0</v>
      </c>
      <c r="D47" s="408">
        <f>'4-6 Gas'!$M166+'4-6 Gas'!$Z166</f>
        <v>0</v>
      </c>
      <c r="E47" s="667">
        <f>'4-6 Gas'!$M218+'4-6 Gas'!$Z218</f>
        <v>0</v>
      </c>
      <c r="F47" s="408">
        <f>'4-6 Gas'!$M271+'4-6 Gas'!$Z271</f>
        <v>0</v>
      </c>
      <c r="G47" s="627">
        <f>'4-6 Gas'!$M324+'4-6 Gas'!$Z324</f>
        <v>0</v>
      </c>
      <c r="H47" s="834">
        <f t="shared" si="9"/>
        <v>1.399593797762444E-2</v>
      </c>
      <c r="I47" s="627">
        <f>'4-6 Diesel'!$M114+'4-6 Diesel'!$Z114</f>
        <v>0.36163599255170809</v>
      </c>
      <c r="J47" s="627">
        <f>'4-6 Diesel'!$M166+'4-6 Diesel'!$Z166</f>
        <v>0.38295458363729074</v>
      </c>
      <c r="K47" s="627">
        <f>'4-6 Diesel'!$M218+'4-6 Diesel'!$Z218</f>
        <v>0.1008846320706609</v>
      </c>
      <c r="L47" s="627">
        <f>'4-6 Diesel'!$M271+'4-6 Diesel'!$Z271</f>
        <v>3.9209100752923075E-2</v>
      </c>
      <c r="M47" s="672">
        <f>'4-6 Diesel'!$M324+'4-6 Diesel'!$Z324</f>
        <v>0.10131975300979279</v>
      </c>
      <c r="N47" s="407">
        <f>B47*'Market Data'!$E$52+H47*'Market Data'!$O$52</f>
        <v>8.6963617938878524E-2</v>
      </c>
      <c r="O47" s="409">
        <f>SUM(C47:G47)*'Market Data'!$E$52+SUM(I47:M47)*'Market Data'!$O$52</f>
        <v>0.91303638206112137</v>
      </c>
      <c r="Q47" s="387">
        <v>2045</v>
      </c>
      <c r="R47" s="445">
        <f>IF('Market Penetration'!B47=0,0,1000*B47*'Market Data'!$E$51/('Market Penetration'!B47*'Market Data'!$C$51))</f>
        <v>19303.35601847613</v>
      </c>
      <c r="S47" s="446">
        <f>IF('Market Penetration'!C47=0,0,1000*C47*'Market Data'!$E$51/('Market Penetration'!C47*'Market Data'!$C$51))</f>
        <v>0</v>
      </c>
      <c r="T47" s="446">
        <f>IF('Market Penetration'!D47=0,0,1000*D47*'Market Data'!$E$51/('Market Penetration'!D47*'Market Data'!$C$51))</f>
        <v>0</v>
      </c>
      <c r="U47" s="662">
        <f>IF('Market Penetration'!E47=0,0,1000*E47*'Market Data'!$E$51/('Market Penetration'!E47*'Market Data'!$C$51))</f>
        <v>0</v>
      </c>
      <c r="V47" s="446">
        <f>IF('Market Penetration'!F47=0,0,1000*F47*'Market Data'!$E$51/('Market Penetration'!F47*'Market Data'!$C$51))</f>
        <v>0</v>
      </c>
      <c r="W47" s="657">
        <f>IF('Market Penetration'!G47=0,0,1000*G47*'Market Data'!$E$51/('Market Penetration'!G47*'Market Data'!$C$51))</f>
        <v>0</v>
      </c>
      <c r="X47" s="445">
        <f>IF('Market Penetration'!H47=0,0,1000*H47*'Market Data'!$O$51/('Market Penetration'!H47*'Market Data'!$M$51))</f>
        <v>12244.044018990846</v>
      </c>
      <c r="Y47" s="446">
        <f>IF('Market Penetration'!I47=0,0,1000*I47*'Market Data'!$O$51/('Market Penetration'!I47*'Market Data'!$M$51))</f>
        <v>25675.182143929855</v>
      </c>
      <c r="Z47" s="446">
        <f>IF('Market Penetration'!J47=0,0,1000*J47*'Market Data'!$O$51/('Market Penetration'!J47*'Market Data'!$M$51))</f>
        <v>24158.580837403715</v>
      </c>
      <c r="AA47" s="446">
        <f>IF('Market Penetration'!K47=0,0,1000*K47*'Market Data'!$O$51/('Market Penetration'!K47*'Market Data'!$M$51))</f>
        <v>27431.476688776031</v>
      </c>
      <c r="AB47" s="446">
        <f>IF('Market Penetration'!L47=0,0,1000*L47*'Market Data'!$O$51/('Market Penetration'!L47*'Market Data'!$M$51))</f>
        <v>74361.89520414306</v>
      </c>
      <c r="AC47" s="447">
        <f>IF('Market Penetration'!M47=0,0,1000*M47*'Market Data'!$O$51/('Market Penetration'!M47*'Market Data'!$M$51))</f>
        <v>57861.349596535671</v>
      </c>
      <c r="AD47" s="445">
        <f>IF('Market Penetration'!N47=0,0,1000*N47*('Market Data'!$E$51+'Market Data'!$O$51+'Market Data'!$Y$51)/('Market Penetration'!N47*('Market Data'!$C$51+'Market Data'!$M$51+'Market Data'!$W$51)))</f>
        <v>17775.983662223174</v>
      </c>
      <c r="AE47" s="447">
        <f>IF('Market Penetration'!O47=0,0,1000*O47*('Market Data'!$E$51+'Market Data'!$O$51+'Market Data'!$Y$51)/('Market Penetration'!O47*('Market Data'!$C$51+'Market Data'!$M$51+'Market Data'!$W$51)))</f>
        <v>27470.811572579158</v>
      </c>
    </row>
    <row r="48" spans="1:31" ht="15" x14ac:dyDescent="0.25">
      <c r="A48" s="388">
        <v>2046</v>
      </c>
      <c r="B48" s="411">
        <f t="shared" si="8"/>
        <v>1</v>
      </c>
      <c r="C48" s="412">
        <f>'4-6 Gas'!$M115+'4-6 Gas'!$Z115</f>
        <v>0</v>
      </c>
      <c r="D48" s="412">
        <f>'4-6 Gas'!$M167+'4-6 Gas'!$Z167</f>
        <v>0</v>
      </c>
      <c r="E48" s="668">
        <f>'4-6 Gas'!$M219+'4-6 Gas'!$Z219</f>
        <v>0</v>
      </c>
      <c r="F48" s="412">
        <f>'4-6 Gas'!$M272+'4-6 Gas'!$Z272</f>
        <v>0</v>
      </c>
      <c r="G48" s="628">
        <f>'4-6 Gas'!$M325+'4-6 Gas'!$Z325</f>
        <v>0</v>
      </c>
      <c r="H48" s="835">
        <f t="shared" si="9"/>
        <v>9.8985240261505458E-3</v>
      </c>
      <c r="I48" s="628">
        <f>'4-6 Diesel'!$M115+'4-6 Diesel'!$Z115</f>
        <v>0.34601861283597346</v>
      </c>
      <c r="J48" s="628">
        <f>'4-6 Diesel'!$M167+'4-6 Diesel'!$Z167</f>
        <v>0.36887682413847322</v>
      </c>
      <c r="K48" s="628">
        <f>'4-6 Diesel'!$M219+'4-6 Diesel'!$Z219</f>
        <v>0.11403555231280621</v>
      </c>
      <c r="L48" s="628">
        <f>'4-6 Diesel'!$M272+'4-6 Diesel'!$Z272</f>
        <v>4.4885033428597364E-2</v>
      </c>
      <c r="M48" s="673">
        <f>'4-6 Diesel'!$M325+'4-6 Diesel'!$Z325</f>
        <v>0.11628545325799912</v>
      </c>
      <c r="N48" s="414">
        <f>B48*'Market Data'!$E$52+H48*'Market Data'!$O$52</f>
        <v>8.3169426663046248E-2</v>
      </c>
      <c r="O48" s="415">
        <f>SUM(C48:G48)*'Market Data'!$E$52+SUM(I48:M48)*'Market Data'!$O$52</f>
        <v>0.91683057333695372</v>
      </c>
      <c r="Q48" s="388">
        <v>2046</v>
      </c>
      <c r="R48" s="448">
        <f>IF('Market Penetration'!B48=0,0,1000*B48*'Market Data'!$E$51/('Market Penetration'!B48*'Market Data'!$C$51))</f>
        <v>19303.35601847613</v>
      </c>
      <c r="S48" s="449">
        <f>IF('Market Penetration'!C48=0,0,1000*C48*'Market Data'!$E$51/('Market Penetration'!C48*'Market Data'!$C$51))</f>
        <v>0</v>
      </c>
      <c r="T48" s="449">
        <f>IF('Market Penetration'!D48=0,0,1000*D48*'Market Data'!$E$51/('Market Penetration'!D48*'Market Data'!$C$51))</f>
        <v>0</v>
      </c>
      <c r="U48" s="663">
        <f>IF('Market Penetration'!E48=0,0,1000*E48*'Market Data'!$E$51/('Market Penetration'!E48*'Market Data'!$C$51))</f>
        <v>0</v>
      </c>
      <c r="V48" s="449">
        <f>IF('Market Penetration'!F48=0,0,1000*F48*'Market Data'!$E$51/('Market Penetration'!F48*'Market Data'!$C$51))</f>
        <v>0</v>
      </c>
      <c r="W48" s="658">
        <f>IF('Market Penetration'!G48=0,0,1000*G48*'Market Data'!$E$51/('Market Penetration'!G48*'Market Data'!$C$51))</f>
        <v>0</v>
      </c>
      <c r="X48" s="448">
        <f>IF('Market Penetration'!H48=0,0,1000*H48*'Market Data'!$O$51/('Market Penetration'!H48*'Market Data'!$M$51))</f>
        <v>12359.419602406506</v>
      </c>
      <c r="Y48" s="449">
        <f>IF('Market Penetration'!I48=0,0,1000*I48*'Market Data'!$O$51/('Market Penetration'!I48*'Market Data'!$M$51))</f>
        <v>25630.826988179528</v>
      </c>
      <c r="Z48" s="449">
        <f>IF('Market Penetration'!J48=0,0,1000*J48*'Market Data'!$O$51/('Market Penetration'!J48*'Market Data'!$M$51))</f>
        <v>23956.630522584695</v>
      </c>
      <c r="AA48" s="449">
        <f>IF('Market Penetration'!K48=0,0,1000*K48*'Market Data'!$O$51/('Market Penetration'!K48*'Market Data'!$M$51))</f>
        <v>25428.137911597336</v>
      </c>
      <c r="AB48" s="449">
        <f>IF('Market Penetration'!L48=0,0,1000*L48*'Market Data'!$O$51/('Market Penetration'!L48*'Market Data'!$M$51))</f>
        <v>67978.752477802205</v>
      </c>
      <c r="AC48" s="839">
        <f>IF('Market Penetration'!M48=0,0,1000*M48*'Market Data'!$O$51/('Market Penetration'!M48*'Market Data'!$M$51))</f>
        <v>53042.838897907612</v>
      </c>
      <c r="AD48" s="450">
        <f>IF('Market Penetration'!N48=0,0,1000*N48*('Market Data'!$E$51+'Market Data'!$O$51+'Market Data'!$Y$51)/('Market Penetration'!N48*('Market Data'!$C$51+'Market Data'!$M$51+'Market Data'!$W$51)))</f>
        <v>18177.804934526575</v>
      </c>
      <c r="AE48" s="451">
        <f>IF('Market Penetration'!O48=0,0,1000*O48*('Market Data'!$E$51+'Market Data'!$O$51+'Market Data'!$Y$51)/('Market Penetration'!O48*('Market Data'!$C$51+'Market Data'!$M$51+'Market Data'!$W$51)))</f>
        <v>27324.464461616546</v>
      </c>
    </row>
    <row r="49" spans="1:31" ht="15" x14ac:dyDescent="0.25">
      <c r="A49" s="388">
        <v>2047</v>
      </c>
      <c r="B49" s="404">
        <f t="shared" si="8"/>
        <v>1</v>
      </c>
      <c r="C49" s="405">
        <f>'4-6 Gas'!$M116+'4-6 Gas'!$Z116</f>
        <v>0</v>
      </c>
      <c r="D49" s="405">
        <f>'4-6 Gas'!$M168+'4-6 Gas'!$Z168</f>
        <v>0</v>
      </c>
      <c r="E49" s="666">
        <f>'4-6 Gas'!$M220+'4-6 Gas'!$Z220</f>
        <v>0</v>
      </c>
      <c r="F49" s="405">
        <f>'4-6 Gas'!$M273+'4-6 Gas'!$Z273</f>
        <v>0</v>
      </c>
      <c r="G49" s="626">
        <f>'4-6 Gas'!$M326+'4-6 Gas'!$Z326</f>
        <v>0</v>
      </c>
      <c r="H49" s="833">
        <f t="shared" si="9"/>
        <v>6.4445005647562059E-3</v>
      </c>
      <c r="I49" s="626">
        <f>'4-6 Diesel'!$M116+'4-6 Diesel'!$Z116</f>
        <v>0.3323121638711608</v>
      </c>
      <c r="J49" s="626">
        <f>'4-6 Diesel'!$M168+'4-6 Diesel'!$Z168</f>
        <v>0.35556615128646918</v>
      </c>
      <c r="K49" s="626">
        <f>'4-6 Diesel'!$M220+'4-6 Diesel'!$Z220</f>
        <v>0.12830449338976213</v>
      </c>
      <c r="L49" s="626">
        <f>'4-6 Diesel'!$M273+'4-6 Diesel'!$Z273</f>
        <v>5.0760069447707626E-2</v>
      </c>
      <c r="M49" s="671">
        <f>'4-6 Diesel'!$M326+'4-6 Diesel'!$Z326</f>
        <v>0.12661262144014412</v>
      </c>
      <c r="N49" s="404">
        <f>B49*'Market Data'!$E$52+H49*'Market Data'!$O$52</f>
        <v>7.9971012775909386E-2</v>
      </c>
      <c r="O49" s="406">
        <f>SUM(C49:G49)*'Market Data'!$E$52+SUM(I49:M49)*'Market Data'!$O$52</f>
        <v>0.92002898722409054</v>
      </c>
      <c r="Q49" s="388">
        <v>2047</v>
      </c>
      <c r="R49" s="442">
        <f>IF('Market Penetration'!B49=0,0,1000*B49*'Market Data'!$E$51/('Market Penetration'!B49*'Market Data'!$C$51))</f>
        <v>19303.35601847613</v>
      </c>
      <c r="S49" s="443">
        <f>IF('Market Penetration'!C49=0,0,1000*C49*'Market Data'!$E$51/('Market Penetration'!C49*'Market Data'!$C$51))</f>
        <v>0</v>
      </c>
      <c r="T49" s="443">
        <f>IF('Market Penetration'!D49=0,0,1000*D49*'Market Data'!$E$51/('Market Penetration'!D49*'Market Data'!$C$51))</f>
        <v>0</v>
      </c>
      <c r="U49" s="661">
        <f>IF('Market Penetration'!E49=0,0,1000*E49*'Market Data'!$E$51/('Market Penetration'!E49*'Market Data'!$C$51))</f>
        <v>0</v>
      </c>
      <c r="V49" s="443">
        <f>IF('Market Penetration'!F49=0,0,1000*F49*'Market Data'!$E$51/('Market Penetration'!F49*'Market Data'!$C$51))</f>
        <v>0</v>
      </c>
      <c r="W49" s="656">
        <f>IF('Market Penetration'!G49=0,0,1000*G49*'Market Data'!$E$51/('Market Penetration'!G49*'Market Data'!$C$51))</f>
        <v>0</v>
      </c>
      <c r="X49" s="442">
        <f>IF('Market Penetration'!H49=0,0,1000*H49*'Market Data'!$O$51/('Market Penetration'!H49*'Market Data'!$M$51))</f>
        <v>12576.121949051136</v>
      </c>
      <c r="Y49" s="443">
        <f>IF('Market Penetration'!I49=0,0,1000*I49*'Market Data'!$O$51/('Market Penetration'!I49*'Market Data'!$M$51))</f>
        <v>25710.18562048877</v>
      </c>
      <c r="Z49" s="443">
        <f>IF('Market Penetration'!J49=0,0,1000*J49*'Market Data'!$O$51/('Market Penetration'!J49*'Market Data'!$M$51))</f>
        <v>23897.094135585619</v>
      </c>
      <c r="AA49" s="443">
        <f>IF('Market Penetration'!K49=0,0,1000*K49*'Market Data'!$O$51/('Market Penetration'!K49*'Market Data'!$M$51))</f>
        <v>23647.452795087294</v>
      </c>
      <c r="AB49" s="443">
        <f>IF('Market Penetration'!L49=0,0,1000*L49*'Market Data'!$O$51/('Market Penetration'!L49*'Market Data'!$M$51))</f>
        <v>62902.768231273265</v>
      </c>
      <c r="AC49" s="444">
        <f>IF('Market Penetration'!M49=0,0,1000*M49*'Market Data'!$O$51/('Market Penetration'!M49*'Market Data'!$M$51))</f>
        <v>50922.399876254778</v>
      </c>
      <c r="AD49" s="442">
        <f>IF('Market Penetration'!N49=0,0,1000*N49*('Market Data'!$E$51+'Market Data'!$O$51+'Market Data'!$Y$51)/('Market Penetration'!N49*('Market Data'!$C$51+'Market Data'!$M$51+'Market Data'!$W$51)))</f>
        <v>18562.404027385051</v>
      </c>
      <c r="AE49" s="444">
        <f>IF('Market Penetration'!O49=0,0,1000*O49*('Market Data'!$E$51+'Market Data'!$O$51+'Market Data'!$Y$51)/('Market Penetration'!O49*('Market Data'!$C$51+'Market Data'!$M$51+'Market Data'!$W$51)))</f>
        <v>27203.23519547555</v>
      </c>
    </row>
    <row r="50" spans="1:31" ht="15" x14ac:dyDescent="0.25">
      <c r="A50" s="388">
        <v>2048</v>
      </c>
      <c r="B50" s="404">
        <f t="shared" si="8"/>
        <v>1</v>
      </c>
      <c r="C50" s="405">
        <f>'4-6 Gas'!$M117+'4-6 Gas'!$Z117</f>
        <v>0</v>
      </c>
      <c r="D50" s="405">
        <f>'4-6 Gas'!$M169+'4-6 Gas'!$Z169</f>
        <v>0</v>
      </c>
      <c r="E50" s="666">
        <f>'4-6 Gas'!$M221+'4-6 Gas'!$Z221</f>
        <v>0</v>
      </c>
      <c r="F50" s="405">
        <f>'4-6 Gas'!$M274+'4-6 Gas'!$Z274</f>
        <v>0</v>
      </c>
      <c r="G50" s="626">
        <f>'4-6 Gas'!$M327+'4-6 Gas'!$Z327</f>
        <v>0</v>
      </c>
      <c r="H50" s="833">
        <f t="shared" si="9"/>
        <v>5.3950703347179774E-3</v>
      </c>
      <c r="I50" s="626">
        <f>'4-6 Diesel'!$M117+'4-6 Diesel'!$Z117</f>
        <v>0.32371003848910818</v>
      </c>
      <c r="J50" s="626">
        <f>'4-6 Diesel'!$M169+'4-6 Diesel'!$Z169</f>
        <v>0.34419940044761388</v>
      </c>
      <c r="K50" s="626">
        <f>'4-6 Diesel'!$M221+'4-6 Diesel'!$Z221</f>
        <v>0.13700394552111267</v>
      </c>
      <c r="L50" s="626">
        <f>'4-6 Diesel'!$M274+'4-6 Diesel'!$Z274</f>
        <v>5.7252408157802394E-2</v>
      </c>
      <c r="M50" s="671">
        <f>'4-6 Diesel'!$M327+'4-6 Diesel'!$Z327</f>
        <v>0.13243913704964497</v>
      </c>
      <c r="N50" s="404">
        <f>B50*'Market Data'!$E$52+H50*'Market Data'!$O$52</f>
        <v>7.8999243979648665E-2</v>
      </c>
      <c r="O50" s="406">
        <f>SUM(C50:G50)*'Market Data'!$E$52+SUM(I50:M50)*'Market Data'!$O$52</f>
        <v>0.92100075602035125</v>
      </c>
      <c r="Q50" s="388">
        <v>2048</v>
      </c>
      <c r="R50" s="442">
        <f>IF('Market Penetration'!B50=0,0,1000*B50*'Market Data'!$E$51/('Market Penetration'!B50*'Market Data'!$C$51))</f>
        <v>19303.35601847613</v>
      </c>
      <c r="S50" s="443">
        <f>IF('Market Penetration'!C50=0,0,1000*C50*'Market Data'!$E$51/('Market Penetration'!C50*'Market Data'!$C$51))</f>
        <v>0</v>
      </c>
      <c r="T50" s="443">
        <f>IF('Market Penetration'!D50=0,0,1000*D50*'Market Data'!$E$51/('Market Penetration'!D50*'Market Data'!$C$51))</f>
        <v>0</v>
      </c>
      <c r="U50" s="661">
        <f>IF('Market Penetration'!E50=0,0,1000*E50*'Market Data'!$E$51/('Market Penetration'!E50*'Market Data'!$C$51))</f>
        <v>0</v>
      </c>
      <c r="V50" s="443">
        <f>IF('Market Penetration'!F50=0,0,1000*F50*'Market Data'!$E$51/('Market Penetration'!F50*'Market Data'!$C$51))</f>
        <v>0</v>
      </c>
      <c r="W50" s="656">
        <f>IF('Market Penetration'!G50=0,0,1000*G50*'Market Data'!$E$51/('Market Penetration'!G50*'Market Data'!$C$51))</f>
        <v>0</v>
      </c>
      <c r="X50" s="442">
        <f>IF('Market Penetration'!H50=0,0,1000*H50*'Market Data'!$O$51/('Market Penetration'!H50*'Market Data'!$M$51))</f>
        <v>12626.904314795569</v>
      </c>
      <c r="Y50" s="443">
        <f>IF('Market Penetration'!I50=0,0,1000*I50*'Market Data'!$O$51/('Market Penetration'!I50*'Market Data'!$M$51))</f>
        <v>25726.879330867549</v>
      </c>
      <c r="Z50" s="443">
        <f>IF('Market Penetration'!J50=0,0,1000*J50*'Market Data'!$O$51/('Market Penetration'!J50*'Market Data'!$M$51))</f>
        <v>24070.856657412067</v>
      </c>
      <c r="AA50" s="443">
        <f>IF('Market Penetration'!K50=0,0,1000*K50*'Market Data'!$O$51/('Market Penetration'!K50*'Market Data'!$M$51))</f>
        <v>22515.141702782272</v>
      </c>
      <c r="AB50" s="443">
        <f>IF('Market Penetration'!L50=0,0,1000*L50*'Market Data'!$O$51/('Market Penetration'!L50*'Market Data'!$M$51))</f>
        <v>59171.170054451264</v>
      </c>
      <c r="AC50" s="444">
        <f>IF('Market Penetration'!M50=0,0,1000*M50*'Market Data'!$O$51/('Market Penetration'!M50*'Market Data'!$M$51))</f>
        <v>49527.081010050315</v>
      </c>
      <c r="AD50" s="442">
        <f>IF('Market Penetration'!N50=0,0,1000*N50*('Market Data'!$E$51+'Market Data'!$O$51+'Market Data'!$Y$51)/('Market Penetration'!N50*('Market Data'!$C$51+'Market Data'!$M$51+'Market Data'!$W$51)))</f>
        <v>18678.786151633427</v>
      </c>
      <c r="AE50" s="444">
        <f>IF('Market Penetration'!O50=0,0,1000*O50*('Market Data'!$E$51+'Market Data'!$O$51+'Market Data'!$Y$51)/('Market Penetration'!O50*('Market Data'!$C$51+'Market Data'!$M$51+'Market Data'!$W$51)))</f>
        <v>27168.611866774336</v>
      </c>
    </row>
    <row r="51" spans="1:31" ht="15" x14ac:dyDescent="0.25">
      <c r="A51" s="388">
        <v>2049</v>
      </c>
      <c r="B51" s="404">
        <f t="shared" si="8"/>
        <v>1</v>
      </c>
      <c r="C51" s="405">
        <f>'4-6 Gas'!$M118+'4-6 Gas'!$Z118</f>
        <v>0</v>
      </c>
      <c r="D51" s="405">
        <f>'4-6 Gas'!$M170+'4-6 Gas'!$Z170</f>
        <v>0</v>
      </c>
      <c r="E51" s="666">
        <f>'4-6 Gas'!$M222+'4-6 Gas'!$Z222</f>
        <v>0</v>
      </c>
      <c r="F51" s="405">
        <f>'4-6 Gas'!$M275+'4-6 Gas'!$Z275</f>
        <v>0</v>
      </c>
      <c r="G51" s="626">
        <f>'4-6 Gas'!$M328+'4-6 Gas'!$Z328</f>
        <v>0</v>
      </c>
      <c r="H51" s="833">
        <f t="shared" si="9"/>
        <v>3.6643094991564151E-3</v>
      </c>
      <c r="I51" s="626">
        <f>'4-6 Diesel'!$M118+'4-6 Diesel'!$Z118</f>
        <v>0.31509145825838614</v>
      </c>
      <c r="J51" s="626">
        <f>'4-6 Diesel'!$M170+'4-6 Diesel'!$Z170</f>
        <v>0.33573313438839358</v>
      </c>
      <c r="K51" s="626">
        <f>'4-6 Diesel'!$M222+'4-6 Diesel'!$Z222</f>
        <v>0.14327878220072698</v>
      </c>
      <c r="L51" s="626">
        <f>'4-6 Diesel'!$M275+'4-6 Diesel'!$Z275</f>
        <v>6.3431083148864753E-2</v>
      </c>
      <c r="M51" s="671">
        <f>'4-6 Diesel'!$M328+'4-6 Diesel'!$Z328</f>
        <v>0.1388012325044721</v>
      </c>
      <c r="N51" s="404">
        <f>B51*'Market Data'!$E$52+H51*'Market Data'!$O$52</f>
        <v>7.7396565377825258E-2</v>
      </c>
      <c r="O51" s="406">
        <f>SUM(C51:G51)*'Market Data'!$E$52+SUM(I51:M51)*'Market Data'!$O$52</f>
        <v>0.92260343462217465</v>
      </c>
      <c r="Q51" s="388">
        <v>2049</v>
      </c>
      <c r="R51" s="442">
        <f>IF('Market Penetration'!B51=0,0,1000*B51*'Market Data'!$E$51/('Market Penetration'!B51*'Market Data'!$C$51))</f>
        <v>19303.35601847613</v>
      </c>
      <c r="S51" s="443">
        <f>IF('Market Penetration'!C51=0,0,1000*C51*'Market Data'!$E$51/('Market Penetration'!C51*'Market Data'!$C$51))</f>
        <v>0</v>
      </c>
      <c r="T51" s="443">
        <f>IF('Market Penetration'!D51=0,0,1000*D51*'Market Data'!$E$51/('Market Penetration'!D51*'Market Data'!$C$51))</f>
        <v>0</v>
      </c>
      <c r="U51" s="661">
        <f>IF('Market Penetration'!E51=0,0,1000*E51*'Market Data'!$E$51/('Market Penetration'!E51*'Market Data'!$C$51))</f>
        <v>0</v>
      </c>
      <c r="V51" s="443">
        <f>IF('Market Penetration'!F51=0,0,1000*F51*'Market Data'!$E$51/('Market Penetration'!F51*'Market Data'!$C$51))</f>
        <v>0</v>
      </c>
      <c r="W51" s="656">
        <f>IF('Market Penetration'!G51=0,0,1000*G51*'Market Data'!$E$51/('Market Penetration'!G51*'Market Data'!$C$51))</f>
        <v>0</v>
      </c>
      <c r="X51" s="442">
        <f>IF('Market Penetration'!H51=0,0,1000*H51*'Market Data'!$O$51/('Market Penetration'!H51*'Market Data'!$M$51))</f>
        <v>12998.554374015139</v>
      </c>
      <c r="Y51" s="443">
        <f>IF('Market Penetration'!I51=0,0,1000*I51*'Market Data'!$O$51/('Market Penetration'!I51*'Market Data'!$M$51))</f>
        <v>25815.293172978512</v>
      </c>
      <c r="Z51" s="443">
        <f>IF('Market Penetration'!J51=0,0,1000*J51*'Market Data'!$O$51/('Market Penetration'!J51*'Market Data'!$M$51))</f>
        <v>24091.942122693123</v>
      </c>
      <c r="AA51" s="443">
        <f>IF('Market Penetration'!K51=0,0,1000*K51*'Market Data'!$O$51/('Market Penetration'!K51*'Market Data'!$M$51))</f>
        <v>21643.93013271597</v>
      </c>
      <c r="AB51" s="443">
        <f>IF('Market Penetration'!L51=0,0,1000*L51*'Market Data'!$O$51/('Market Penetration'!L51*'Market Data'!$M$51))</f>
        <v>56775.431594793918</v>
      </c>
      <c r="AC51" s="444">
        <f>IF('Market Penetration'!M51=0,0,1000*M51*'Market Data'!$O$51/('Market Penetration'!M51*'Market Data'!$M$51))</f>
        <v>48264.899929921827</v>
      </c>
      <c r="AD51" s="442">
        <f>IF('Market Penetration'!N51=0,0,1000*N51*('Market Data'!$E$51+'Market Data'!$O$51+'Market Data'!$Y$51)/('Market Penetration'!N51*('Market Data'!$C$51+'Market Data'!$M$51+'Market Data'!$W$51)))</f>
        <v>18901.425692712852</v>
      </c>
      <c r="AE51" s="444">
        <f>IF('Market Penetration'!O51=0,0,1000*O51*('Market Data'!$E$51+'Market Data'!$O$51+'Market Data'!$Y$51)/('Market Penetration'!O51*('Market Data'!$C$51+'Market Data'!$M$51+'Market Data'!$W$51)))</f>
        <v>27108.247055430627</v>
      </c>
    </row>
    <row r="52" spans="1:31" ht="15.75" thickBot="1" x14ac:dyDescent="0.3">
      <c r="A52" s="389">
        <v>2050</v>
      </c>
      <c r="B52" s="416">
        <f t="shared" si="8"/>
        <v>1</v>
      </c>
      <c r="C52" s="417">
        <f>'4-6 Gas'!$M119+'4-6 Gas'!$Z119</f>
        <v>0</v>
      </c>
      <c r="D52" s="417">
        <f>'4-6 Gas'!$M171+'4-6 Gas'!$Z171</f>
        <v>0</v>
      </c>
      <c r="E52" s="669">
        <f>'4-6 Gas'!$M223+'4-6 Gas'!$Z223</f>
        <v>0</v>
      </c>
      <c r="F52" s="417">
        <f>'4-6 Gas'!$M276+'4-6 Gas'!$Z276</f>
        <v>0</v>
      </c>
      <c r="G52" s="629">
        <f>'4-6 Gas'!$M329+'4-6 Gas'!$Z329</f>
        <v>0</v>
      </c>
      <c r="H52" s="836">
        <f t="shared" si="9"/>
        <v>2.8142937916061372E-3</v>
      </c>
      <c r="I52" s="629">
        <f>'4-6 Diesel'!$M119+'4-6 Diesel'!$Z119</f>
        <v>0.30160379299522799</v>
      </c>
      <c r="J52" s="629">
        <f>'4-6 Diesel'!$M171+'4-6 Diesel'!$Z171</f>
        <v>0.32104095236391927</v>
      </c>
      <c r="K52" s="629">
        <f>'4-6 Diesel'!$M223+'4-6 Diesel'!$Z223</f>
        <v>0.15742737225518894</v>
      </c>
      <c r="L52" s="629">
        <f>'4-6 Diesel'!$M276+'4-6 Diesel'!$Z276</f>
        <v>7.2406289815803077E-2</v>
      </c>
      <c r="M52" s="674">
        <f>'4-6 Diesel'!$M329+'4-6 Diesel'!$Z329</f>
        <v>0.14470729877825461</v>
      </c>
      <c r="N52" s="416">
        <f>B52*'Market Data'!$E$52+H52*'Market Data'!$O$52</f>
        <v>7.6609453745926911E-2</v>
      </c>
      <c r="O52" s="418">
        <f>SUM(C52:G52)*'Market Data'!$E$52+SUM(I52:M52)*'Market Data'!$O$52</f>
        <v>0.92339054625407302</v>
      </c>
      <c r="Q52" s="389">
        <v>2050</v>
      </c>
      <c r="R52" s="452">
        <f>IF('Market Penetration'!B52=0,0,1000*B52*'Market Data'!$E$51/('Market Penetration'!B52*'Market Data'!$C$51))</f>
        <v>19303.35601847613</v>
      </c>
      <c r="S52" s="453">
        <f>IF('Market Penetration'!C52=0,0,1000*C52*'Market Data'!$E$51/('Market Penetration'!C52*'Market Data'!$C$51))</f>
        <v>0</v>
      </c>
      <c r="T52" s="453">
        <f>IF('Market Penetration'!D52=0,0,1000*D52*'Market Data'!$E$51/('Market Penetration'!D52*'Market Data'!$C$51))</f>
        <v>0</v>
      </c>
      <c r="U52" s="664">
        <f>IF('Market Penetration'!E52=0,0,1000*E52*'Market Data'!$E$51/('Market Penetration'!E52*'Market Data'!$C$51))</f>
        <v>0</v>
      </c>
      <c r="V52" s="453">
        <f>IF('Market Penetration'!F52=0,0,1000*F52*'Market Data'!$E$51/('Market Penetration'!F52*'Market Data'!$C$51))</f>
        <v>0</v>
      </c>
      <c r="W52" s="659">
        <f>IF('Market Penetration'!G52=0,0,1000*G52*'Market Data'!$E$51/('Market Penetration'!G52*'Market Data'!$C$51))</f>
        <v>0</v>
      </c>
      <c r="X52" s="452">
        <f>IF('Market Penetration'!H52=0,0,1000*H52*'Market Data'!$O$51/('Market Penetration'!H52*'Market Data'!$M$51))</f>
        <v>13117.204018225835</v>
      </c>
      <c r="Y52" s="453">
        <f>IF('Market Penetration'!I52=0,0,1000*I52*'Market Data'!$O$51/('Market Penetration'!I52*'Market Data'!$M$51))</f>
        <v>26228.475466030552</v>
      </c>
      <c r="Z52" s="453">
        <f>IF('Market Penetration'!J52=0,0,1000*J52*'Market Data'!$O$51/('Market Penetration'!J52*'Market Data'!$M$51))</f>
        <v>24459.379775692971</v>
      </c>
      <c r="AA52" s="453">
        <f>IF('Market Penetration'!K52=0,0,1000*K52*'Market Data'!$O$51/('Market Penetration'!K52*'Market Data'!$M$51))</f>
        <v>20239.704065947739</v>
      </c>
      <c r="AB52" s="453">
        <f>IF('Market Penetration'!L52=0,0,1000*L52*'Market Data'!$O$51/('Market Penetration'!L52*'Market Data'!$M$51))</f>
        <v>53699.339462800366</v>
      </c>
      <c r="AC52" s="454">
        <f>IF('Market Penetration'!M52=0,0,1000*M52*'Market Data'!$O$51/('Market Penetration'!M52*'Market Data'!$M$51))</f>
        <v>47132.254517581903</v>
      </c>
      <c r="AD52" s="452">
        <f>IF('Market Penetration'!N52=0,0,1000*N52*('Market Data'!$E$51+'Market Data'!$O$51+'Market Data'!$Y$51)/('Market Penetration'!N52*('Market Data'!$C$51+'Market Data'!$M$51+'Market Data'!$W$51)))</f>
        <v>18998.568872468975</v>
      </c>
      <c r="AE52" s="454">
        <f>IF('Market Penetration'!O52=0,0,1000*O52*('Market Data'!$E$51+'Market Data'!$O$51+'Market Data'!$Y$51)/('Market Penetration'!O52*('Market Data'!$C$51+'Market Data'!$M$51+'Market Data'!$W$51)))</f>
        <v>27081.74705450566</v>
      </c>
    </row>
    <row r="53" spans="1:31" x14ac:dyDescent="0.2">
      <c r="A53" s="383"/>
      <c r="B53" s="383"/>
    </row>
    <row r="54" spans="1:31" x14ac:dyDescent="0.2">
      <c r="A54" s="1127" t="str">
        <f>"Run id: '"&amp;'Run Model'!B2&amp;"'"</f>
        <v>Run id: 'Run ID / Description'</v>
      </c>
      <c r="B54" s="383"/>
    </row>
    <row r="55" spans="1:31" x14ac:dyDescent="0.2">
      <c r="A55" s="1127" t="s">
        <v>130</v>
      </c>
      <c r="B55" s="383"/>
      <c r="H55" s="1118"/>
      <c r="I55" s="1118"/>
      <c r="J55" s="1118"/>
      <c r="K55" s="1118"/>
      <c r="L55" s="1118"/>
      <c r="M55" s="1118"/>
    </row>
    <row r="56" spans="1:31" x14ac:dyDescent="0.2">
      <c r="A56" s="1128" t="str">
        <f>"Gasoline, Centrally Refueled: " &amp;TEXT(RtimeCls1Cent1,"mm/dd/yyyy hh:mm")</f>
        <v>Gasoline, Centrally Refueled: 11/04/2020 14:43</v>
      </c>
      <c r="B56" s="384"/>
      <c r="H56" s="1118"/>
      <c r="I56" s="1118"/>
      <c r="J56" s="1118"/>
      <c r="K56" s="1118"/>
      <c r="L56" s="1118"/>
      <c r="M56" s="1118"/>
    </row>
    <row r="57" spans="1:31" x14ac:dyDescent="0.2">
      <c r="A57" s="1128" t="str">
        <f>"Gasoline, Non-Centrally Refueled: " &amp;TEXT(RtimeCls1NCent1,"mm/dd/yyyy hh:mm")</f>
        <v>Gasoline, Non-Centrally Refueled: 11/04/2020 14:43</v>
      </c>
      <c r="H57" s="1118"/>
      <c r="I57" s="1118"/>
      <c r="J57" s="1118"/>
      <c r="K57" s="1118"/>
      <c r="L57" s="1118"/>
      <c r="M57" s="1118"/>
    </row>
    <row r="58" spans="1:31" x14ac:dyDescent="0.2">
      <c r="A58" s="1128" t="str">
        <f>"Diesel, Centrally Refueled: " &amp;TEXT(RtimeCls2Cent1,"mm/dd/yyyy hh:mm")</f>
        <v>Diesel, Centrally Refueled: 11/04/2020 14:43</v>
      </c>
      <c r="H58" s="1118"/>
      <c r="I58" s="1118"/>
      <c r="J58" s="1118"/>
      <c r="K58" s="1118"/>
      <c r="L58" s="1118"/>
      <c r="M58" s="1118"/>
    </row>
    <row r="59" spans="1:31" x14ac:dyDescent="0.2">
      <c r="A59" s="1128" t="str">
        <f>"Diesel, Non-Centrally Refueled: " &amp;TEXT(RtimeCls2NCent1,"mm/dd/yyyy hh:mm")</f>
        <v>Diesel, Non-Centrally Refueled: 11/04/2020 14:43</v>
      </c>
      <c r="H59" s="1118"/>
      <c r="I59" s="1118"/>
      <c r="J59" s="1118"/>
      <c r="K59" s="1118"/>
      <c r="L59" s="1118"/>
      <c r="M59" s="1118"/>
    </row>
    <row r="60" spans="1:31" x14ac:dyDescent="0.2">
      <c r="H60" s="1118"/>
      <c r="I60" s="1118"/>
      <c r="J60" s="1118"/>
      <c r="K60" s="1118"/>
      <c r="L60" s="1118"/>
      <c r="M60" s="1118"/>
    </row>
    <row r="61" spans="1:31" x14ac:dyDescent="0.2">
      <c r="H61" s="1118"/>
      <c r="I61" s="1118"/>
      <c r="J61" s="1118"/>
      <c r="K61" s="1118"/>
      <c r="L61" s="1118"/>
      <c r="M61" s="1118"/>
    </row>
    <row r="62" spans="1:31" x14ac:dyDescent="0.2">
      <c r="H62" s="1118"/>
      <c r="I62" s="1118"/>
      <c r="J62" s="1118"/>
      <c r="K62" s="1118"/>
      <c r="L62" s="1118"/>
      <c r="M62" s="1118"/>
    </row>
    <row r="63" spans="1:31" x14ac:dyDescent="0.2">
      <c r="H63" s="1118"/>
      <c r="I63" s="1118"/>
      <c r="J63" s="1118"/>
      <c r="K63" s="1118"/>
      <c r="L63" s="1118"/>
      <c r="M63" s="1118"/>
    </row>
    <row r="64" spans="1:31" x14ac:dyDescent="0.2">
      <c r="H64" s="1118"/>
      <c r="I64" s="1118"/>
      <c r="J64" s="1118"/>
      <c r="K64" s="1118"/>
      <c r="L64" s="1118"/>
      <c r="M64" s="1118"/>
    </row>
  </sheetData>
  <mergeCells count="14">
    <mergeCell ref="A3:O3"/>
    <mergeCell ref="Q3:AE3"/>
    <mergeCell ref="N5:O5"/>
    <mergeCell ref="N4:O4"/>
    <mergeCell ref="R4:W4"/>
    <mergeCell ref="X4:AC4"/>
    <mergeCell ref="R5:W5"/>
    <mergeCell ref="X5:AC5"/>
    <mergeCell ref="H5:M5"/>
    <mergeCell ref="H4:M4"/>
    <mergeCell ref="B5:G5"/>
    <mergeCell ref="B4:G4"/>
    <mergeCell ref="AD5:AE5"/>
    <mergeCell ref="AD4:AE4"/>
  </mergeCells>
  <phoneticPr fontId="59" type="noConversion"/>
  <conditionalFormatting sqref="B6:M52 R6:AC52">
    <cfRule type="expression" dxfId="10"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ktPen">
    <tabColor indexed="17"/>
    <pageSetUpPr fitToPage="1"/>
  </sheetPr>
  <dimension ref="A1:R59"/>
  <sheetViews>
    <sheetView showZeros="0" zoomScale="70" zoomScaleNormal="70" workbookViewId="0">
      <pane ySplit="8" topLeftCell="A9" activePane="bottomLeft" state="frozen"/>
      <selection pane="bottomLeft" activeCell="I38" sqref="I38:J38"/>
    </sheetView>
  </sheetViews>
  <sheetFormatPr defaultColWidth="9.140625" defaultRowHeight="12.75" x14ac:dyDescent="0.2"/>
  <cols>
    <col min="1" max="1" width="9.140625" style="382"/>
    <col min="2" max="2" width="13.28515625" style="382" customWidth="1"/>
    <col min="3" max="7" width="10.42578125" style="382" customWidth="1"/>
    <col min="8" max="8" width="13.85546875" style="382" customWidth="1"/>
    <col min="9" max="13" width="10.42578125" style="382" customWidth="1"/>
    <col min="14" max="14" width="9.140625" style="382"/>
    <col min="15" max="15" width="11.7109375" style="382" customWidth="1"/>
    <col min="16" max="16384" width="9.140625" style="382"/>
  </cols>
  <sheetData>
    <row r="1" spans="1:18" x14ac:dyDescent="0.2">
      <c r="A1" s="840" t="s">
        <v>205</v>
      </c>
    </row>
    <row r="3" spans="1:18" ht="19.5" thickBot="1" x14ac:dyDescent="0.35">
      <c r="A3" s="1685" t="s">
        <v>132</v>
      </c>
      <c r="B3" s="1686"/>
      <c r="C3" s="1686"/>
      <c r="D3" s="1686"/>
      <c r="E3" s="1686"/>
      <c r="F3" s="1686"/>
      <c r="G3" s="1686"/>
      <c r="H3" s="1686"/>
      <c r="I3" s="1686"/>
      <c r="J3" s="1686"/>
      <c r="K3" s="1686"/>
      <c r="L3" s="1686"/>
      <c r="M3" s="1686"/>
      <c r="N3" s="1686"/>
      <c r="O3" s="1686"/>
    </row>
    <row r="4" spans="1:18" ht="15" x14ac:dyDescent="0.25">
      <c r="A4" s="385"/>
      <c r="B4" s="1679" t="s">
        <v>265</v>
      </c>
      <c r="C4" s="1680"/>
      <c r="D4" s="1680"/>
      <c r="E4" s="1680"/>
      <c r="F4" s="1680"/>
      <c r="G4" s="1681"/>
      <c r="H4" s="1679" t="s">
        <v>266</v>
      </c>
      <c r="I4" s="1680"/>
      <c r="J4" s="1680"/>
      <c r="K4" s="1680"/>
      <c r="L4" s="1680"/>
      <c r="M4" s="1681"/>
      <c r="N4" s="1677" t="s">
        <v>267</v>
      </c>
      <c r="O4" s="1678"/>
    </row>
    <row r="5" spans="1:18" ht="15" x14ac:dyDescent="0.25">
      <c r="A5" s="386"/>
      <c r="B5" s="1687" t="s">
        <v>133</v>
      </c>
      <c r="C5" s="1688"/>
      <c r="D5" s="1688"/>
      <c r="E5" s="1688"/>
      <c r="F5" s="1688"/>
      <c r="G5" s="1689"/>
      <c r="H5" s="1687" t="s">
        <v>133</v>
      </c>
      <c r="I5" s="1688"/>
      <c r="J5" s="1688"/>
      <c r="K5" s="1688"/>
      <c r="L5" s="1688"/>
      <c r="M5" s="1689"/>
      <c r="N5" s="1690" t="s">
        <v>133</v>
      </c>
      <c r="O5" s="1676"/>
    </row>
    <row r="6" spans="1:18" ht="15" x14ac:dyDescent="0.25">
      <c r="A6" s="386"/>
      <c r="B6" s="1053" t="s">
        <v>72</v>
      </c>
      <c r="C6" s="1054" t="s">
        <v>68</v>
      </c>
      <c r="D6" s="1054" t="s">
        <v>69</v>
      </c>
      <c r="E6" s="1054" t="s">
        <v>70</v>
      </c>
      <c r="F6" s="1054" t="s">
        <v>178</v>
      </c>
      <c r="G6" s="1055" t="s">
        <v>179</v>
      </c>
      <c r="H6" s="1053" t="s">
        <v>72</v>
      </c>
      <c r="I6" s="1054" t="s">
        <v>68</v>
      </c>
      <c r="J6" s="1054" t="s">
        <v>69</v>
      </c>
      <c r="K6" s="1054" t="s">
        <v>70</v>
      </c>
      <c r="L6" s="1054" t="s">
        <v>178</v>
      </c>
      <c r="M6" s="1055" t="s">
        <v>179</v>
      </c>
      <c r="N6" s="617"/>
      <c r="O6" s="618"/>
    </row>
    <row r="7" spans="1:18" s="828" customFormat="1" ht="30" x14ac:dyDescent="0.2">
      <c r="A7" s="822"/>
      <c r="B7" s="1056" t="str">
        <f t="shared" ref="B7:G7" si="0">INDEX(TECH_OPT_DESC_Cls1,MATCH(B6,TECH_OPT_ROWS_Cls1,0))</f>
        <v>Conventional gasoline</v>
      </c>
      <c r="C7" s="1057" t="str">
        <f t="shared" si="0"/>
        <v>not used</v>
      </c>
      <c r="D7" s="1057" t="str">
        <f t="shared" si="0"/>
        <v>not used</v>
      </c>
      <c r="E7" s="1057" t="str">
        <f t="shared" si="0"/>
        <v>not used</v>
      </c>
      <c r="F7" s="1057" t="str">
        <f t="shared" si="0"/>
        <v>not used</v>
      </c>
      <c r="G7" s="1058" t="str">
        <f t="shared" si="0"/>
        <v>not used</v>
      </c>
      <c r="H7" s="1056" t="str">
        <f t="shared" ref="H7:M7" si="1">INDEX(TECH_OPT_DESC_Cls2,MATCH(H6,TECH_OPT_ROWS_Cls2,0))</f>
        <v>Conventional Diesel ICE</v>
      </c>
      <c r="I7" s="1057" t="str">
        <f t="shared" si="1"/>
        <v>Adv Conv</v>
      </c>
      <c r="J7" s="1057" t="str">
        <f t="shared" si="1"/>
        <v>HEV</v>
      </c>
      <c r="K7" s="1057" t="str">
        <f t="shared" si="1"/>
        <v>BEV</v>
      </c>
      <c r="L7" s="1057" t="str">
        <f t="shared" si="1"/>
        <v>FCEV</v>
      </c>
      <c r="M7" s="1058" t="str">
        <f t="shared" si="1"/>
        <v>PHEV</v>
      </c>
      <c r="N7" s="826" t="s">
        <v>73</v>
      </c>
      <c r="O7" s="827" t="s">
        <v>144</v>
      </c>
    </row>
    <row r="8" spans="1:18" ht="15.75" thickBot="1" x14ac:dyDescent="0.3">
      <c r="A8" s="390" t="s">
        <v>3</v>
      </c>
      <c r="B8" s="1059" t="str">
        <f t="shared" ref="B8:G8" si="2">INDEX(TECH_OPT_FUEL1_Cls1,MATCH(B6,TECH_OPT_ROWS_Cls1,0))</f>
        <v>Diesel</v>
      </c>
      <c r="C8" s="1060" t="str">
        <f t="shared" si="2"/>
        <v>Diesel</v>
      </c>
      <c r="D8" s="1060" t="str">
        <f t="shared" si="2"/>
        <v>Diesel</v>
      </c>
      <c r="E8" s="1060" t="str">
        <f t="shared" si="2"/>
        <v>Diesel</v>
      </c>
      <c r="F8" s="1060" t="str">
        <f t="shared" si="2"/>
        <v>Electricity</v>
      </c>
      <c r="G8" s="1061" t="str">
        <f t="shared" si="2"/>
        <v>Hydrogen</v>
      </c>
      <c r="H8" s="1062" t="str">
        <f t="shared" ref="H8:M8" si="3">INDEX(TECH_OPT_FUEL1_Cls2,MATCH(H6,TECH_OPT_ROWS_Cls2,0))</f>
        <v>Diesel</v>
      </c>
      <c r="I8" s="1060" t="str">
        <f t="shared" si="3"/>
        <v>Diesel</v>
      </c>
      <c r="J8" s="1060" t="str">
        <f t="shared" si="3"/>
        <v>Diesel</v>
      </c>
      <c r="K8" s="1060" t="str">
        <f t="shared" si="3"/>
        <v>Electricity</v>
      </c>
      <c r="L8" s="1060" t="str">
        <f t="shared" si="3"/>
        <v>Hydrogen</v>
      </c>
      <c r="M8" s="1061" t="str">
        <f t="shared" si="3"/>
        <v>Diesel</v>
      </c>
      <c r="N8" s="634"/>
      <c r="O8" s="399"/>
    </row>
    <row r="9" spans="1:18" ht="15.75" thickTop="1" x14ac:dyDescent="0.25">
      <c r="A9" s="388">
        <v>2007</v>
      </c>
      <c r="B9" s="639">
        <f>1-SUM(C9:G9)</f>
        <v>1</v>
      </c>
      <c r="C9" s="640">
        <f>'4-6 Gas'!$N76+'4-6 Gas'!$AA76</f>
        <v>0</v>
      </c>
      <c r="D9" s="640">
        <f>'4-6 Gas'!$N128+'4-6 Gas'!$AA128</f>
        <v>0</v>
      </c>
      <c r="E9" s="640">
        <f>'4-6 Gas'!$N180+'4-6 Gas'!$AA180</f>
        <v>0</v>
      </c>
      <c r="F9" s="640">
        <f>'4-6 Gas'!$N233+'4-6 Gas'!$AA233</f>
        <v>0</v>
      </c>
      <c r="G9" s="641">
        <f>'4-6 Gas'!$N286+'4-6 Gas'!$AA286</f>
        <v>0</v>
      </c>
      <c r="H9" s="625">
        <f>1-SUM(I9:M9)</f>
        <v>1</v>
      </c>
      <c r="I9" s="625">
        <f>'4-6 Diesel'!$N76+'4-6 Diesel'!$AA76</f>
        <v>0</v>
      </c>
      <c r="J9" s="625">
        <f>'4-6 Diesel'!$N128+'4-6 Diesel'!$AA128</f>
        <v>0</v>
      </c>
      <c r="K9" s="625">
        <f>'4-6 Diesel'!$N180+'4-6 Diesel'!$AA180</f>
        <v>0</v>
      </c>
      <c r="L9" s="625">
        <f>'4-6 Diesel'!$N233+'4-6 Diesel'!$AA233</f>
        <v>0</v>
      </c>
      <c r="M9" s="625">
        <f>'4-6 Diesel'!$N286+'4-6 Diesel'!$AA286</f>
        <v>0</v>
      </c>
      <c r="N9" s="632">
        <f>B9*'Market Data'!$C$52+H9*'Market Data'!$M$52</f>
        <v>1</v>
      </c>
      <c r="O9" s="413">
        <f>SUM(C9:G9)*'Market Data'!$C$52+SUM(I9:M9)*'Market Data'!$M$52</f>
        <v>0</v>
      </c>
      <c r="R9" s="126"/>
    </row>
    <row r="10" spans="1:18" ht="15" x14ac:dyDescent="0.25">
      <c r="A10" s="388">
        <v>2008</v>
      </c>
      <c r="B10" s="642">
        <f t="shared" ref="B10:B52" si="4">1-SUM(C10:G10)</f>
        <v>1</v>
      </c>
      <c r="C10" s="643">
        <f>'4-6 Gas'!$N77+'4-6 Gas'!$AA77</f>
        <v>0</v>
      </c>
      <c r="D10" s="643">
        <f>'4-6 Gas'!$N129+'4-6 Gas'!$AA129</f>
        <v>0</v>
      </c>
      <c r="E10" s="643">
        <f>'4-6 Gas'!$N181+'4-6 Gas'!$AA181</f>
        <v>0</v>
      </c>
      <c r="F10" s="643">
        <f>'4-6 Gas'!$N234+'4-6 Gas'!$AA234</f>
        <v>0</v>
      </c>
      <c r="G10" s="644">
        <f>'4-6 Gas'!$N287+'4-6 Gas'!$AA287</f>
        <v>0</v>
      </c>
      <c r="H10" s="626">
        <f t="shared" ref="H10:H52" si="5">1-SUM(I10:M10)</f>
        <v>1</v>
      </c>
      <c r="I10" s="626">
        <f>'4-6 Diesel'!$N77+'4-6 Diesel'!$AA77</f>
        <v>0</v>
      </c>
      <c r="J10" s="626">
        <f>'4-6 Diesel'!$N129+'4-6 Diesel'!$AA129</f>
        <v>0</v>
      </c>
      <c r="K10" s="626">
        <f>'4-6 Diesel'!$N181+'4-6 Diesel'!$AA181</f>
        <v>0</v>
      </c>
      <c r="L10" s="626">
        <f>'4-6 Diesel'!$N234+'4-6 Diesel'!$AA234</f>
        <v>0</v>
      </c>
      <c r="M10" s="626">
        <f>'4-6 Diesel'!$N287+'4-6 Diesel'!$AA287</f>
        <v>0</v>
      </c>
      <c r="N10" s="630">
        <f>B10*'Market Data'!$C$52+H10*'Market Data'!$M$52</f>
        <v>1</v>
      </c>
      <c r="O10" s="406">
        <f>SUM(C10:G10)*'Market Data'!$C$52+SUM(I10:M10)*'Market Data'!$M$52</f>
        <v>0</v>
      </c>
      <c r="R10" s="126"/>
    </row>
    <row r="11" spans="1:18" ht="15" x14ac:dyDescent="0.25">
      <c r="A11" s="388">
        <v>2009</v>
      </c>
      <c r="B11" s="642">
        <f t="shared" si="4"/>
        <v>1</v>
      </c>
      <c r="C11" s="643">
        <f>'4-6 Gas'!$N78+'4-6 Gas'!$AA78</f>
        <v>0</v>
      </c>
      <c r="D11" s="643">
        <f>'4-6 Gas'!$N130+'4-6 Gas'!$AA130</f>
        <v>0</v>
      </c>
      <c r="E11" s="643">
        <f>'4-6 Gas'!$N182+'4-6 Gas'!$AA182</f>
        <v>0</v>
      </c>
      <c r="F11" s="643">
        <f>'4-6 Gas'!$N235+'4-6 Gas'!$AA235</f>
        <v>0</v>
      </c>
      <c r="G11" s="644">
        <f>'4-6 Gas'!$N288+'4-6 Gas'!$AA288</f>
        <v>0</v>
      </c>
      <c r="H11" s="626">
        <f t="shared" si="5"/>
        <v>1</v>
      </c>
      <c r="I11" s="626">
        <f>'4-6 Diesel'!$N78+'4-6 Diesel'!$AA78</f>
        <v>0</v>
      </c>
      <c r="J11" s="626">
        <f>'4-6 Diesel'!$N130+'4-6 Diesel'!$AA130</f>
        <v>0</v>
      </c>
      <c r="K11" s="626">
        <f>'4-6 Diesel'!$N182+'4-6 Diesel'!$AA182</f>
        <v>0</v>
      </c>
      <c r="L11" s="626">
        <f>'4-6 Diesel'!$N235+'4-6 Diesel'!$AA235</f>
        <v>0</v>
      </c>
      <c r="M11" s="626">
        <f>'4-6 Diesel'!$N288+'4-6 Diesel'!$AA288</f>
        <v>0</v>
      </c>
      <c r="N11" s="630">
        <f>B11*'Market Data'!$C$52+H11*'Market Data'!$M$52</f>
        <v>1</v>
      </c>
      <c r="O11" s="406">
        <f>SUM(C11:G11)*'Market Data'!$C$52+SUM(I11:M11)*'Market Data'!$M$52</f>
        <v>0</v>
      </c>
      <c r="R11" s="126"/>
    </row>
    <row r="12" spans="1:18" ht="15" x14ac:dyDescent="0.25">
      <c r="A12" s="387">
        <v>2010</v>
      </c>
      <c r="B12" s="645">
        <f t="shared" si="4"/>
        <v>1</v>
      </c>
      <c r="C12" s="646">
        <f>'4-6 Gas'!$N79+'4-6 Gas'!$AA79</f>
        <v>0</v>
      </c>
      <c r="D12" s="646">
        <f>'4-6 Gas'!$N131+'4-6 Gas'!$AA131</f>
        <v>0</v>
      </c>
      <c r="E12" s="646">
        <f>'4-6 Gas'!$N183+'4-6 Gas'!$AA183</f>
        <v>0</v>
      </c>
      <c r="F12" s="646">
        <f>'4-6 Gas'!$N236+'4-6 Gas'!$AA236</f>
        <v>0</v>
      </c>
      <c r="G12" s="647">
        <f>'4-6 Gas'!$N289+'4-6 Gas'!$AA289</f>
        <v>0</v>
      </c>
      <c r="H12" s="627">
        <f t="shared" si="5"/>
        <v>1</v>
      </c>
      <c r="I12" s="627">
        <f>'4-6 Diesel'!$N79+'4-6 Diesel'!$AA79</f>
        <v>0</v>
      </c>
      <c r="J12" s="627">
        <f>'4-6 Diesel'!$N131+'4-6 Diesel'!$AA131</f>
        <v>0</v>
      </c>
      <c r="K12" s="627">
        <f>'4-6 Diesel'!$N183+'4-6 Diesel'!$AA183</f>
        <v>0</v>
      </c>
      <c r="L12" s="627">
        <f>'4-6 Diesel'!$N236+'4-6 Diesel'!$AA236</f>
        <v>0</v>
      </c>
      <c r="M12" s="627">
        <f>'4-6 Diesel'!$N289+'4-6 Diesel'!$AA289</f>
        <v>0</v>
      </c>
      <c r="N12" s="631">
        <f>B12*'Market Data'!$C$52+H12*'Market Data'!$M$52</f>
        <v>1</v>
      </c>
      <c r="O12" s="409">
        <f>SUM(C12:G12)*'Market Data'!$C$52+SUM(I12:M12)*'Market Data'!$M$52</f>
        <v>0</v>
      </c>
      <c r="R12" s="126"/>
    </row>
    <row r="13" spans="1:18" ht="15" x14ac:dyDescent="0.25">
      <c r="A13" s="616">
        <v>2011</v>
      </c>
      <c r="B13" s="649">
        <f t="shared" si="4"/>
        <v>1</v>
      </c>
      <c r="C13" s="650">
        <f>'4-6 Gas'!$N80+'4-6 Gas'!$AA80</f>
        <v>0</v>
      </c>
      <c r="D13" s="650">
        <f>'4-6 Gas'!$N132+'4-6 Gas'!$AA132</f>
        <v>0</v>
      </c>
      <c r="E13" s="650">
        <f>'4-6 Gas'!$N184+'4-6 Gas'!$AA184</f>
        <v>0</v>
      </c>
      <c r="F13" s="650">
        <f>'4-6 Gas'!$N237+'4-6 Gas'!$AA237</f>
        <v>0</v>
      </c>
      <c r="G13" s="651">
        <f>'4-6 Gas'!$N290+'4-6 Gas'!$AA290</f>
        <v>0</v>
      </c>
      <c r="H13" s="628">
        <f t="shared" si="5"/>
        <v>1</v>
      </c>
      <c r="I13" s="628">
        <f>'4-6 Diesel'!$N80+'4-6 Diesel'!$AA80</f>
        <v>0</v>
      </c>
      <c r="J13" s="628">
        <f>'4-6 Diesel'!$N132+'4-6 Diesel'!$AA132</f>
        <v>0</v>
      </c>
      <c r="K13" s="628">
        <f>'4-6 Diesel'!$N184+'4-6 Diesel'!$AA184</f>
        <v>0</v>
      </c>
      <c r="L13" s="628">
        <f>'4-6 Diesel'!$N237+'4-6 Diesel'!$AA237</f>
        <v>0</v>
      </c>
      <c r="M13" s="628">
        <f>'4-6 Diesel'!$N290+'4-6 Diesel'!$AA290</f>
        <v>0</v>
      </c>
      <c r="N13" s="632">
        <f>B13*'Market Data'!$C$52+H13*'Market Data'!$M$52</f>
        <v>1</v>
      </c>
      <c r="O13" s="413">
        <f>SUM(C13:G13)*'Market Data'!$C$52+SUM(I13:M13)*'Market Data'!$M$52</f>
        <v>0</v>
      </c>
      <c r="R13" s="126"/>
    </row>
    <row r="14" spans="1:18" ht="15" x14ac:dyDescent="0.25">
      <c r="A14" s="388">
        <v>2012</v>
      </c>
      <c r="B14" s="642">
        <f t="shared" si="4"/>
        <v>1</v>
      </c>
      <c r="C14" s="643">
        <f>'4-6 Gas'!$N81+'4-6 Gas'!$AA81</f>
        <v>0</v>
      </c>
      <c r="D14" s="643">
        <f>'4-6 Gas'!$N133+'4-6 Gas'!$AA133</f>
        <v>0</v>
      </c>
      <c r="E14" s="643">
        <f>'4-6 Gas'!$N185+'4-6 Gas'!$AA185</f>
        <v>0</v>
      </c>
      <c r="F14" s="643">
        <f>'4-6 Gas'!$N238+'4-6 Gas'!$AA238</f>
        <v>0</v>
      </c>
      <c r="G14" s="644">
        <f>'4-6 Gas'!$N291+'4-6 Gas'!$AA291</f>
        <v>0</v>
      </c>
      <c r="H14" s="626">
        <f t="shared" si="5"/>
        <v>1</v>
      </c>
      <c r="I14" s="626">
        <f>'4-6 Diesel'!$N81+'4-6 Diesel'!$AA81</f>
        <v>0</v>
      </c>
      <c r="J14" s="626">
        <f>'4-6 Diesel'!$N133+'4-6 Diesel'!$AA133</f>
        <v>0</v>
      </c>
      <c r="K14" s="626">
        <f>'4-6 Diesel'!$N185+'4-6 Diesel'!$AA185</f>
        <v>0</v>
      </c>
      <c r="L14" s="626">
        <f>'4-6 Diesel'!$N238+'4-6 Diesel'!$AA238</f>
        <v>0</v>
      </c>
      <c r="M14" s="626">
        <f>'4-6 Diesel'!$N291+'4-6 Diesel'!$AA291</f>
        <v>0</v>
      </c>
      <c r="N14" s="630">
        <f>B14*'Market Data'!$C$52+H14*'Market Data'!$M$52</f>
        <v>1</v>
      </c>
      <c r="O14" s="406">
        <f>SUM(C14:G14)*'Market Data'!$C$52+SUM(I14:M14)*'Market Data'!$M$52</f>
        <v>0</v>
      </c>
      <c r="R14" s="126"/>
    </row>
    <row r="15" spans="1:18" ht="15" x14ac:dyDescent="0.25">
      <c r="A15" s="388">
        <v>2013</v>
      </c>
      <c r="B15" s="642">
        <f t="shared" si="4"/>
        <v>1</v>
      </c>
      <c r="C15" s="643">
        <f>'4-6 Gas'!$N82+'4-6 Gas'!$AA82</f>
        <v>0</v>
      </c>
      <c r="D15" s="643">
        <f>'4-6 Gas'!$N134+'4-6 Gas'!$AA134</f>
        <v>0</v>
      </c>
      <c r="E15" s="643">
        <f>'4-6 Gas'!$N186+'4-6 Gas'!$AA186</f>
        <v>0</v>
      </c>
      <c r="F15" s="643">
        <f>'4-6 Gas'!$N239+'4-6 Gas'!$AA239</f>
        <v>0</v>
      </c>
      <c r="G15" s="644">
        <f>'4-6 Gas'!$N292+'4-6 Gas'!$AA292</f>
        <v>0</v>
      </c>
      <c r="H15" s="626">
        <f t="shared" si="5"/>
        <v>1</v>
      </c>
      <c r="I15" s="626">
        <f>'4-6 Diesel'!$N82+'4-6 Diesel'!$AA82</f>
        <v>0</v>
      </c>
      <c r="J15" s="626">
        <f>'4-6 Diesel'!$N134+'4-6 Diesel'!$AA134</f>
        <v>0</v>
      </c>
      <c r="K15" s="626">
        <f>'4-6 Diesel'!$N186+'4-6 Diesel'!$AA186</f>
        <v>0</v>
      </c>
      <c r="L15" s="626">
        <f>'4-6 Diesel'!$N239+'4-6 Diesel'!$AA239</f>
        <v>0</v>
      </c>
      <c r="M15" s="626">
        <f>'4-6 Diesel'!$N292+'4-6 Diesel'!$AA292</f>
        <v>0</v>
      </c>
      <c r="N15" s="630">
        <f>B15*'Market Data'!$C$52+H15*'Market Data'!$M$52</f>
        <v>1</v>
      </c>
      <c r="O15" s="406">
        <f>SUM(C15:G15)*'Market Data'!$C$52+SUM(I15:M15)*'Market Data'!$M$52</f>
        <v>0</v>
      </c>
      <c r="R15" s="126"/>
    </row>
    <row r="16" spans="1:18" ht="15" x14ac:dyDescent="0.25">
      <c r="A16" s="388">
        <v>2014</v>
      </c>
      <c r="B16" s="642">
        <f t="shared" si="4"/>
        <v>1</v>
      </c>
      <c r="C16" s="643">
        <f>'4-6 Gas'!$N83+'4-6 Gas'!$AA83</f>
        <v>0</v>
      </c>
      <c r="D16" s="643">
        <f>'4-6 Gas'!$N135+'4-6 Gas'!$AA135</f>
        <v>0</v>
      </c>
      <c r="E16" s="643">
        <f>'4-6 Gas'!$N187+'4-6 Gas'!$AA187</f>
        <v>0</v>
      </c>
      <c r="F16" s="643">
        <f>'4-6 Gas'!$N240+'4-6 Gas'!$AA240</f>
        <v>0</v>
      </c>
      <c r="G16" s="644">
        <f>'4-6 Gas'!$N293+'4-6 Gas'!$AA293</f>
        <v>0</v>
      </c>
      <c r="H16" s="626">
        <f t="shared" si="5"/>
        <v>1</v>
      </c>
      <c r="I16" s="626">
        <f>'4-6 Diesel'!$N83+'4-6 Diesel'!$AA83</f>
        <v>0</v>
      </c>
      <c r="J16" s="626">
        <f>'4-6 Diesel'!$N135+'4-6 Diesel'!$AA135</f>
        <v>0</v>
      </c>
      <c r="K16" s="626">
        <f>'4-6 Diesel'!$N187+'4-6 Diesel'!$AA187</f>
        <v>0</v>
      </c>
      <c r="L16" s="626">
        <f>'4-6 Diesel'!$N240+'4-6 Diesel'!$AA240</f>
        <v>0</v>
      </c>
      <c r="M16" s="626">
        <f>'4-6 Diesel'!$N293+'4-6 Diesel'!$AA293</f>
        <v>0</v>
      </c>
      <c r="N16" s="630">
        <f>B16*'Market Data'!$C$52+H16*'Market Data'!$M$52</f>
        <v>1</v>
      </c>
      <c r="O16" s="406">
        <f>SUM(C16:G16)*'Market Data'!$C$52+SUM(I16:M16)*'Market Data'!$M$52</f>
        <v>0</v>
      </c>
      <c r="R16" s="126"/>
    </row>
    <row r="17" spans="1:18" ht="15" x14ac:dyDescent="0.25">
      <c r="A17" s="387">
        <v>2015</v>
      </c>
      <c r="B17" s="645">
        <f t="shared" si="4"/>
        <v>1</v>
      </c>
      <c r="C17" s="646">
        <f>'4-6 Gas'!$N84+'4-6 Gas'!$AA84</f>
        <v>0</v>
      </c>
      <c r="D17" s="646">
        <f>'4-6 Gas'!$N136+'4-6 Gas'!$AA136</f>
        <v>0</v>
      </c>
      <c r="E17" s="646">
        <f>'4-6 Gas'!$N188+'4-6 Gas'!$AA188</f>
        <v>0</v>
      </c>
      <c r="F17" s="646">
        <f>'4-6 Gas'!$N241+'4-6 Gas'!$AA241</f>
        <v>0</v>
      </c>
      <c r="G17" s="647">
        <f>'4-6 Gas'!$N294+'4-6 Gas'!$AA294</f>
        <v>0</v>
      </c>
      <c r="H17" s="627">
        <f t="shared" si="5"/>
        <v>1</v>
      </c>
      <c r="I17" s="627">
        <f>'4-6 Diesel'!$N84+'4-6 Diesel'!$AA84</f>
        <v>0</v>
      </c>
      <c r="J17" s="627">
        <f>'4-6 Diesel'!$N136+'4-6 Diesel'!$AA136</f>
        <v>0</v>
      </c>
      <c r="K17" s="627">
        <f>'4-6 Diesel'!$N188+'4-6 Diesel'!$AA188</f>
        <v>0</v>
      </c>
      <c r="L17" s="627">
        <f>'4-6 Diesel'!$N241+'4-6 Diesel'!$AA241</f>
        <v>0</v>
      </c>
      <c r="M17" s="627">
        <f>'4-6 Diesel'!$N294+'4-6 Diesel'!$AA294</f>
        <v>0</v>
      </c>
      <c r="N17" s="631">
        <f>B17*'Market Data'!$C$52+H17*'Market Data'!$M$52</f>
        <v>1</v>
      </c>
      <c r="O17" s="409">
        <f>SUM(C17:G17)*'Market Data'!$C$52+SUM(I17:M17)*'Market Data'!$M$52</f>
        <v>0</v>
      </c>
      <c r="R17" s="126"/>
    </row>
    <row r="18" spans="1:18" ht="15" x14ac:dyDescent="0.25">
      <c r="A18" s="616">
        <v>2016</v>
      </c>
      <c r="B18" s="649">
        <f t="shared" si="4"/>
        <v>1</v>
      </c>
      <c r="C18" s="650">
        <f>'4-6 Gas'!$N85+'4-6 Gas'!$AA85</f>
        <v>0</v>
      </c>
      <c r="D18" s="650">
        <f>'4-6 Gas'!$N137+'4-6 Gas'!$AA137</f>
        <v>0</v>
      </c>
      <c r="E18" s="650">
        <f>'4-6 Gas'!$N189+'4-6 Gas'!$AA189</f>
        <v>0</v>
      </c>
      <c r="F18" s="650">
        <f>'4-6 Gas'!$N242+'4-6 Gas'!$AA242</f>
        <v>0</v>
      </c>
      <c r="G18" s="651">
        <f>'4-6 Gas'!$N295+'4-6 Gas'!$AA295</f>
        <v>0</v>
      </c>
      <c r="H18" s="628">
        <f t="shared" si="5"/>
        <v>1</v>
      </c>
      <c r="I18" s="628">
        <f>'4-6 Diesel'!$N85+'4-6 Diesel'!$AA85</f>
        <v>0</v>
      </c>
      <c r="J18" s="628">
        <f>'4-6 Diesel'!$N137+'4-6 Diesel'!$AA137</f>
        <v>0</v>
      </c>
      <c r="K18" s="628">
        <f>'4-6 Diesel'!$N189+'4-6 Diesel'!$AA189</f>
        <v>0</v>
      </c>
      <c r="L18" s="628">
        <f>'4-6 Diesel'!$N242+'4-6 Diesel'!$AA242</f>
        <v>0</v>
      </c>
      <c r="M18" s="628">
        <f>'4-6 Diesel'!$N295+'4-6 Diesel'!$AA295</f>
        <v>0</v>
      </c>
      <c r="N18" s="632">
        <f>B18*'Market Data'!$C$52+H18*'Market Data'!$M$52</f>
        <v>1</v>
      </c>
      <c r="O18" s="413">
        <f>SUM(C18:G18)*'Market Data'!$C$52+SUM(I18:M18)*'Market Data'!$M$52</f>
        <v>0</v>
      </c>
      <c r="R18" s="126"/>
    </row>
    <row r="19" spans="1:18" ht="15" x14ac:dyDescent="0.25">
      <c r="A19" s="388">
        <v>2017</v>
      </c>
      <c r="B19" s="642">
        <f t="shared" si="4"/>
        <v>1</v>
      </c>
      <c r="C19" s="643">
        <f>'4-6 Gas'!$N86+'4-6 Gas'!$AA86</f>
        <v>0</v>
      </c>
      <c r="D19" s="643">
        <f>'4-6 Gas'!$N138+'4-6 Gas'!$AA138</f>
        <v>0</v>
      </c>
      <c r="E19" s="643">
        <f>'4-6 Gas'!$N190+'4-6 Gas'!$AA190</f>
        <v>0</v>
      </c>
      <c r="F19" s="643">
        <f>'4-6 Gas'!$N243+'4-6 Gas'!$AA243</f>
        <v>0</v>
      </c>
      <c r="G19" s="644">
        <f>'4-6 Gas'!$N296+'4-6 Gas'!$AA296</f>
        <v>0</v>
      </c>
      <c r="H19" s="626">
        <f t="shared" si="5"/>
        <v>1</v>
      </c>
      <c r="I19" s="626">
        <f>'4-6 Diesel'!$N86+'4-6 Diesel'!$AA86</f>
        <v>0</v>
      </c>
      <c r="J19" s="626">
        <f>'4-6 Diesel'!$N138+'4-6 Diesel'!$AA138</f>
        <v>0</v>
      </c>
      <c r="K19" s="626">
        <f>'4-6 Diesel'!$N190+'4-6 Diesel'!$AA190</f>
        <v>0</v>
      </c>
      <c r="L19" s="626">
        <f>'4-6 Diesel'!$N243+'4-6 Diesel'!$AA243</f>
        <v>0</v>
      </c>
      <c r="M19" s="626">
        <f>'4-6 Diesel'!$N296+'4-6 Diesel'!$AA296</f>
        <v>0</v>
      </c>
      <c r="N19" s="630">
        <f>B19*'Market Data'!$C$52+H19*'Market Data'!$M$52</f>
        <v>1</v>
      </c>
      <c r="O19" s="406">
        <f>SUM(C19:G19)*'Market Data'!$C$52+SUM(I19:M19)*'Market Data'!$M$52</f>
        <v>0</v>
      </c>
      <c r="R19" s="126"/>
    </row>
    <row r="20" spans="1:18" ht="15" x14ac:dyDescent="0.25">
      <c r="A20" s="388">
        <v>2018</v>
      </c>
      <c r="B20" s="642">
        <f t="shared" si="4"/>
        <v>1</v>
      </c>
      <c r="C20" s="643">
        <f>'4-6 Gas'!$N87+'4-6 Gas'!$AA87</f>
        <v>0</v>
      </c>
      <c r="D20" s="643">
        <f>'4-6 Gas'!$N139+'4-6 Gas'!$AA139</f>
        <v>0</v>
      </c>
      <c r="E20" s="643">
        <f>'4-6 Gas'!$N191+'4-6 Gas'!$AA191</f>
        <v>0</v>
      </c>
      <c r="F20" s="643">
        <f>'4-6 Gas'!$N244+'4-6 Gas'!$AA244</f>
        <v>0</v>
      </c>
      <c r="G20" s="644">
        <f>'4-6 Gas'!$N297+'4-6 Gas'!$AA297</f>
        <v>0</v>
      </c>
      <c r="H20" s="626">
        <f t="shared" si="5"/>
        <v>1</v>
      </c>
      <c r="I20" s="626">
        <f>'4-6 Diesel'!$N87+'4-6 Diesel'!$AA87</f>
        <v>0</v>
      </c>
      <c r="J20" s="626">
        <f>'4-6 Diesel'!$N139+'4-6 Diesel'!$AA139</f>
        <v>0</v>
      </c>
      <c r="K20" s="626">
        <f>'4-6 Diesel'!$N191+'4-6 Diesel'!$AA191</f>
        <v>0</v>
      </c>
      <c r="L20" s="626">
        <f>'4-6 Diesel'!$N244+'4-6 Diesel'!$AA244</f>
        <v>0</v>
      </c>
      <c r="M20" s="626">
        <f>'4-6 Diesel'!$N297+'4-6 Diesel'!$AA297</f>
        <v>0</v>
      </c>
      <c r="N20" s="630">
        <f>B20*'Market Data'!$C$52+H20*'Market Data'!$M$52</f>
        <v>1</v>
      </c>
      <c r="O20" s="406">
        <f>SUM(C20:G20)*'Market Data'!$C$52+SUM(I20:M20)*'Market Data'!$M$52</f>
        <v>0</v>
      </c>
      <c r="R20" s="126"/>
    </row>
    <row r="21" spans="1:18" ht="15" x14ac:dyDescent="0.25">
      <c r="A21" s="388">
        <v>2019</v>
      </c>
      <c r="B21" s="642">
        <f t="shared" si="4"/>
        <v>1</v>
      </c>
      <c r="C21" s="643">
        <f>'4-6 Gas'!$N88+'4-6 Gas'!$AA88</f>
        <v>0</v>
      </c>
      <c r="D21" s="643">
        <f>'4-6 Gas'!$N140+'4-6 Gas'!$AA140</f>
        <v>0</v>
      </c>
      <c r="E21" s="643">
        <f>'4-6 Gas'!$N192+'4-6 Gas'!$AA192</f>
        <v>0</v>
      </c>
      <c r="F21" s="643">
        <f>'4-6 Gas'!$N245+'4-6 Gas'!$AA245</f>
        <v>0</v>
      </c>
      <c r="G21" s="644">
        <f>'4-6 Gas'!$N298+'4-6 Gas'!$AA298</f>
        <v>0</v>
      </c>
      <c r="H21" s="626">
        <f t="shared" si="5"/>
        <v>1</v>
      </c>
      <c r="I21" s="626">
        <f>'4-6 Diesel'!$N88+'4-6 Diesel'!$AA88</f>
        <v>0</v>
      </c>
      <c r="J21" s="626">
        <f>'4-6 Diesel'!$N140+'4-6 Diesel'!$AA140</f>
        <v>0</v>
      </c>
      <c r="K21" s="626">
        <f>'4-6 Diesel'!$N192+'4-6 Diesel'!$AA192</f>
        <v>0</v>
      </c>
      <c r="L21" s="626">
        <f>'4-6 Diesel'!$N245+'4-6 Diesel'!$AA245</f>
        <v>0</v>
      </c>
      <c r="M21" s="626">
        <f>'4-6 Diesel'!$N298+'4-6 Diesel'!$AA298</f>
        <v>0</v>
      </c>
      <c r="N21" s="630">
        <f>B21*'Market Data'!$C$52+H21*'Market Data'!$M$52</f>
        <v>1</v>
      </c>
      <c r="O21" s="406">
        <f>SUM(C21:G21)*'Market Data'!$C$52+SUM(I21:M21)*'Market Data'!$M$52</f>
        <v>0</v>
      </c>
      <c r="R21" s="126"/>
    </row>
    <row r="22" spans="1:18" ht="15" x14ac:dyDescent="0.25">
      <c r="A22" s="387">
        <v>2020</v>
      </c>
      <c r="B22" s="645">
        <f t="shared" si="4"/>
        <v>1</v>
      </c>
      <c r="C22" s="646">
        <f>'4-6 Gas'!$N89+'4-6 Gas'!$AA89</f>
        <v>0</v>
      </c>
      <c r="D22" s="646">
        <f>'4-6 Gas'!$N141+'4-6 Gas'!$AA141</f>
        <v>0</v>
      </c>
      <c r="E22" s="646">
        <f>'4-6 Gas'!$N193+'4-6 Gas'!$AA193</f>
        <v>0</v>
      </c>
      <c r="F22" s="646">
        <f>'4-6 Gas'!$N246+'4-6 Gas'!$AA246</f>
        <v>0</v>
      </c>
      <c r="G22" s="647">
        <f>'4-6 Gas'!$N299+'4-6 Gas'!$AA299</f>
        <v>0</v>
      </c>
      <c r="H22" s="627">
        <f t="shared" si="5"/>
        <v>1</v>
      </c>
      <c r="I22" s="627">
        <f>'4-6 Diesel'!$N89+'4-6 Diesel'!$AA89</f>
        <v>0</v>
      </c>
      <c r="J22" s="627">
        <f>'4-6 Diesel'!$N141+'4-6 Diesel'!$AA141</f>
        <v>0</v>
      </c>
      <c r="K22" s="627">
        <f>'4-6 Diesel'!$N193+'4-6 Diesel'!$AA193</f>
        <v>0</v>
      </c>
      <c r="L22" s="627">
        <f>'4-6 Diesel'!$N246+'4-6 Diesel'!$AA246</f>
        <v>0</v>
      </c>
      <c r="M22" s="627">
        <f>'4-6 Diesel'!$N299+'4-6 Diesel'!$AA299</f>
        <v>0</v>
      </c>
      <c r="N22" s="631">
        <f>B22*'Market Data'!$C$52+H22*'Market Data'!$M$52</f>
        <v>1</v>
      </c>
      <c r="O22" s="409">
        <f>SUM(C22:G22)*'Market Data'!$C$52+SUM(I22:M22)*'Market Data'!$M$52</f>
        <v>0</v>
      </c>
      <c r="R22" s="126"/>
    </row>
    <row r="23" spans="1:18" ht="15" x14ac:dyDescent="0.25">
      <c r="A23" s="616">
        <v>2021</v>
      </c>
      <c r="B23" s="649">
        <f t="shared" si="4"/>
        <v>1</v>
      </c>
      <c r="C23" s="650">
        <f>'4-6 Gas'!$N90+'4-6 Gas'!$AA90</f>
        <v>0</v>
      </c>
      <c r="D23" s="650">
        <f>'4-6 Gas'!$N142+'4-6 Gas'!$AA142</f>
        <v>0</v>
      </c>
      <c r="E23" s="650">
        <f>'4-6 Gas'!$N194+'4-6 Gas'!$AA194</f>
        <v>0</v>
      </c>
      <c r="F23" s="650">
        <f>'4-6 Gas'!$N247+'4-6 Gas'!$AA247</f>
        <v>0</v>
      </c>
      <c r="G23" s="651">
        <f>'4-6 Gas'!$N300+'4-6 Gas'!$AA300</f>
        <v>0</v>
      </c>
      <c r="H23" s="628">
        <f t="shared" si="5"/>
        <v>1</v>
      </c>
      <c r="I23" s="628">
        <f>'4-6 Diesel'!$N90+'4-6 Diesel'!$AA90</f>
        <v>0</v>
      </c>
      <c r="J23" s="628">
        <f>'4-6 Diesel'!$N142+'4-6 Diesel'!$AA142</f>
        <v>0</v>
      </c>
      <c r="K23" s="628">
        <f>'4-6 Diesel'!$N194+'4-6 Diesel'!$AA194</f>
        <v>0</v>
      </c>
      <c r="L23" s="628">
        <f>'4-6 Diesel'!$N247+'4-6 Diesel'!$AA247</f>
        <v>0</v>
      </c>
      <c r="M23" s="628">
        <f>'4-6 Diesel'!$N300+'4-6 Diesel'!$AA300</f>
        <v>0</v>
      </c>
      <c r="N23" s="632">
        <f>B23*'Market Data'!$C$52+H23*'Market Data'!$M$52</f>
        <v>1</v>
      </c>
      <c r="O23" s="413">
        <f>SUM(C23:G23)*'Market Data'!$C$52+SUM(I23:M23)*'Market Data'!$M$52</f>
        <v>0</v>
      </c>
      <c r="R23" s="126"/>
    </row>
    <row r="24" spans="1:18" ht="15" x14ac:dyDescent="0.25">
      <c r="A24" s="388">
        <v>2022</v>
      </c>
      <c r="B24" s="642">
        <f t="shared" si="4"/>
        <v>1</v>
      </c>
      <c r="C24" s="643">
        <f>'4-6 Gas'!$N91+'4-6 Gas'!$AA91</f>
        <v>0</v>
      </c>
      <c r="D24" s="643">
        <f>'4-6 Gas'!$N143+'4-6 Gas'!$AA143</f>
        <v>0</v>
      </c>
      <c r="E24" s="643">
        <f>'4-6 Gas'!$N195+'4-6 Gas'!$AA195</f>
        <v>0</v>
      </c>
      <c r="F24" s="643">
        <f>'4-6 Gas'!$N248+'4-6 Gas'!$AA248</f>
        <v>0</v>
      </c>
      <c r="G24" s="644">
        <f>'4-6 Gas'!$N301+'4-6 Gas'!$AA301</f>
        <v>0</v>
      </c>
      <c r="H24" s="626">
        <f t="shared" si="5"/>
        <v>1</v>
      </c>
      <c r="I24" s="626">
        <f>'4-6 Diesel'!$N91+'4-6 Diesel'!$AA91</f>
        <v>0</v>
      </c>
      <c r="J24" s="626">
        <f>'4-6 Diesel'!$N143+'4-6 Diesel'!$AA143</f>
        <v>0</v>
      </c>
      <c r="K24" s="626">
        <f>'4-6 Diesel'!$N195+'4-6 Diesel'!$AA195</f>
        <v>0</v>
      </c>
      <c r="L24" s="626">
        <f>'4-6 Diesel'!$N248+'4-6 Diesel'!$AA248</f>
        <v>0</v>
      </c>
      <c r="M24" s="626">
        <f>'4-6 Diesel'!$N301+'4-6 Diesel'!$AA301</f>
        <v>0</v>
      </c>
      <c r="N24" s="630">
        <f>B24*'Market Data'!$C$52+H24*'Market Data'!$M$52</f>
        <v>1</v>
      </c>
      <c r="O24" s="406">
        <f>SUM(C24:G24)*'Market Data'!$C$52+SUM(I24:M24)*'Market Data'!$M$52</f>
        <v>0</v>
      </c>
      <c r="R24" s="126"/>
    </row>
    <row r="25" spans="1:18" ht="15" x14ac:dyDescent="0.25">
      <c r="A25" s="388">
        <v>2023</v>
      </c>
      <c r="B25" s="642">
        <f t="shared" si="4"/>
        <v>1</v>
      </c>
      <c r="C25" s="643">
        <f>'4-6 Gas'!$N92+'4-6 Gas'!$AA92</f>
        <v>0</v>
      </c>
      <c r="D25" s="643">
        <f>'4-6 Gas'!$N144+'4-6 Gas'!$AA144</f>
        <v>0</v>
      </c>
      <c r="E25" s="643">
        <f>'4-6 Gas'!$N196+'4-6 Gas'!$AA196</f>
        <v>0</v>
      </c>
      <c r="F25" s="643">
        <f>'4-6 Gas'!$N249+'4-6 Gas'!$AA249</f>
        <v>0</v>
      </c>
      <c r="G25" s="644">
        <f>'4-6 Gas'!$N302+'4-6 Gas'!$AA302</f>
        <v>0</v>
      </c>
      <c r="H25" s="626">
        <f t="shared" si="5"/>
        <v>1</v>
      </c>
      <c r="I25" s="626">
        <f>'4-6 Diesel'!$N92+'4-6 Diesel'!$AA92</f>
        <v>0</v>
      </c>
      <c r="J25" s="626">
        <f>'4-6 Diesel'!$N144+'4-6 Diesel'!$AA144</f>
        <v>0</v>
      </c>
      <c r="K25" s="626">
        <f>'4-6 Diesel'!$N196+'4-6 Diesel'!$AA196</f>
        <v>0</v>
      </c>
      <c r="L25" s="626">
        <f>'4-6 Diesel'!$N249+'4-6 Diesel'!$AA249</f>
        <v>0</v>
      </c>
      <c r="M25" s="626">
        <f>'4-6 Diesel'!$N302+'4-6 Diesel'!$AA302</f>
        <v>0</v>
      </c>
      <c r="N25" s="630">
        <f>B25*'Market Data'!$C$52+H25*'Market Data'!$M$52</f>
        <v>1</v>
      </c>
      <c r="O25" s="406">
        <f>SUM(C25:G25)*'Market Data'!$C$52+SUM(I25:M25)*'Market Data'!$M$52</f>
        <v>0</v>
      </c>
      <c r="R25" s="126"/>
    </row>
    <row r="26" spans="1:18" ht="15" x14ac:dyDescent="0.25">
      <c r="A26" s="388">
        <v>2024</v>
      </c>
      <c r="B26" s="642">
        <f t="shared" si="4"/>
        <v>1</v>
      </c>
      <c r="C26" s="643">
        <f>'4-6 Gas'!$N93+'4-6 Gas'!$AA93</f>
        <v>0</v>
      </c>
      <c r="D26" s="643">
        <f>'4-6 Gas'!$N145+'4-6 Gas'!$AA145</f>
        <v>0</v>
      </c>
      <c r="E26" s="643">
        <f>'4-6 Gas'!$N197+'4-6 Gas'!$AA197</f>
        <v>0</v>
      </c>
      <c r="F26" s="643">
        <f>'4-6 Gas'!$N250+'4-6 Gas'!$AA250</f>
        <v>0</v>
      </c>
      <c r="G26" s="644">
        <f>'4-6 Gas'!$N303+'4-6 Gas'!$AA303</f>
        <v>0</v>
      </c>
      <c r="H26" s="626">
        <f t="shared" si="5"/>
        <v>1</v>
      </c>
      <c r="I26" s="626">
        <f>'4-6 Diesel'!$N93+'4-6 Diesel'!$AA93</f>
        <v>0</v>
      </c>
      <c r="J26" s="626">
        <f>'4-6 Diesel'!$N145+'4-6 Diesel'!$AA145</f>
        <v>0</v>
      </c>
      <c r="K26" s="626">
        <f>'4-6 Diesel'!$N197+'4-6 Diesel'!$AA197</f>
        <v>0</v>
      </c>
      <c r="L26" s="626">
        <f>'4-6 Diesel'!$N250+'4-6 Diesel'!$AA250</f>
        <v>0</v>
      </c>
      <c r="M26" s="626">
        <f>'4-6 Diesel'!$N303+'4-6 Diesel'!$AA303</f>
        <v>0</v>
      </c>
      <c r="N26" s="630">
        <f>B26*'Market Data'!$C$52+H26*'Market Data'!$M$52</f>
        <v>1</v>
      </c>
      <c r="O26" s="406">
        <f>SUM(C26:G26)*'Market Data'!$C$52+SUM(I26:M26)*'Market Data'!$M$52</f>
        <v>0</v>
      </c>
      <c r="R26" s="126"/>
    </row>
    <row r="27" spans="1:18" ht="15" x14ac:dyDescent="0.25">
      <c r="A27" s="387">
        <v>2025</v>
      </c>
      <c r="B27" s="645">
        <f t="shared" si="4"/>
        <v>1</v>
      </c>
      <c r="C27" s="646">
        <f>'4-6 Gas'!$N94+'4-6 Gas'!$AA94</f>
        <v>0</v>
      </c>
      <c r="D27" s="646">
        <f>'4-6 Gas'!$N146+'4-6 Gas'!$AA146</f>
        <v>0</v>
      </c>
      <c r="E27" s="646">
        <f>'4-6 Gas'!$N198+'4-6 Gas'!$AA198</f>
        <v>0</v>
      </c>
      <c r="F27" s="646">
        <f>'4-6 Gas'!$N251+'4-6 Gas'!$AA251</f>
        <v>0</v>
      </c>
      <c r="G27" s="647">
        <f>'4-6 Gas'!$N304+'4-6 Gas'!$AA304</f>
        <v>0</v>
      </c>
      <c r="H27" s="627">
        <f t="shared" si="5"/>
        <v>1</v>
      </c>
      <c r="I27" s="627">
        <f>'4-6 Diesel'!$N94+'4-6 Diesel'!$AA94</f>
        <v>0</v>
      </c>
      <c r="J27" s="627">
        <f>'4-6 Diesel'!$N146+'4-6 Diesel'!$AA146</f>
        <v>0</v>
      </c>
      <c r="K27" s="627">
        <f>'4-6 Diesel'!$N198+'4-6 Diesel'!$AA198</f>
        <v>0</v>
      </c>
      <c r="L27" s="627">
        <f>'4-6 Diesel'!$N251+'4-6 Diesel'!$AA251</f>
        <v>0</v>
      </c>
      <c r="M27" s="627">
        <f>'4-6 Diesel'!$N304+'4-6 Diesel'!$AA304</f>
        <v>0</v>
      </c>
      <c r="N27" s="631">
        <f>B27*'Market Data'!$C$52+H27*'Market Data'!$M$52</f>
        <v>1</v>
      </c>
      <c r="O27" s="409">
        <f>SUM(C27:G27)*'Market Data'!$C$52+SUM(I27:M27)*'Market Data'!$M$52</f>
        <v>0</v>
      </c>
      <c r="R27" s="126"/>
    </row>
    <row r="28" spans="1:18" ht="15" x14ac:dyDescent="0.25">
      <c r="A28" s="616">
        <v>2026</v>
      </c>
      <c r="B28" s="649">
        <f t="shared" si="4"/>
        <v>1</v>
      </c>
      <c r="C28" s="650">
        <f>'4-6 Gas'!$N95+'4-6 Gas'!$AA95</f>
        <v>0</v>
      </c>
      <c r="D28" s="650">
        <f>'4-6 Gas'!$N147+'4-6 Gas'!$AA147</f>
        <v>0</v>
      </c>
      <c r="E28" s="650">
        <f>'4-6 Gas'!$N199+'4-6 Gas'!$AA199</f>
        <v>0</v>
      </c>
      <c r="F28" s="650">
        <f>'4-6 Gas'!$N252+'4-6 Gas'!$AA252</f>
        <v>0</v>
      </c>
      <c r="G28" s="651">
        <f>'4-6 Gas'!$N305+'4-6 Gas'!$AA305</f>
        <v>0</v>
      </c>
      <c r="H28" s="628">
        <f t="shared" si="5"/>
        <v>0.98491341792467901</v>
      </c>
      <c r="I28" s="628">
        <f>'4-6 Diesel'!$N95+'4-6 Diesel'!$AA95</f>
        <v>1.1490852592751892E-2</v>
      </c>
      <c r="J28" s="628">
        <f>'4-6 Diesel'!$N147+'4-6 Diesel'!$AA147</f>
        <v>3.5949004499066855E-3</v>
      </c>
      <c r="K28" s="628">
        <f>'4-6 Diesel'!$N199+'4-6 Diesel'!$AA199</f>
        <v>0</v>
      </c>
      <c r="L28" s="628">
        <f>'4-6 Diesel'!$N252+'4-6 Diesel'!$AA252</f>
        <v>0</v>
      </c>
      <c r="M28" s="628">
        <f>'4-6 Diesel'!$N305+'4-6 Diesel'!$AA305</f>
        <v>8.2903266237463794E-7</v>
      </c>
      <c r="N28" s="632">
        <f>B28*'Market Data'!$C$52+H28*'Market Data'!$M$52</f>
        <v>0.98643031727314967</v>
      </c>
      <c r="O28" s="413">
        <f>SUM(C28:G28)*'Market Data'!$C$52+SUM(I28:M28)*'Market Data'!$M$52</f>
        <v>1.3569682726850454E-2</v>
      </c>
      <c r="R28" s="126"/>
    </row>
    <row r="29" spans="1:18" ht="15" x14ac:dyDescent="0.25">
      <c r="A29" s="388">
        <v>2027</v>
      </c>
      <c r="B29" s="642">
        <f t="shared" si="4"/>
        <v>1</v>
      </c>
      <c r="C29" s="643">
        <f>'4-6 Gas'!$N96+'4-6 Gas'!$AA96</f>
        <v>0</v>
      </c>
      <c r="D29" s="643">
        <f>'4-6 Gas'!$N148+'4-6 Gas'!$AA148</f>
        <v>0</v>
      </c>
      <c r="E29" s="643">
        <f>'4-6 Gas'!$N200+'4-6 Gas'!$AA200</f>
        <v>0</v>
      </c>
      <c r="F29" s="643">
        <f>'4-6 Gas'!$N253+'4-6 Gas'!$AA253</f>
        <v>0</v>
      </c>
      <c r="G29" s="644">
        <f>'4-6 Gas'!$N306+'4-6 Gas'!$AA306</f>
        <v>0</v>
      </c>
      <c r="H29" s="626">
        <f t="shared" si="5"/>
        <v>0.97001489980720279</v>
      </c>
      <c r="I29" s="626">
        <f>'4-6 Diesel'!$N96+'4-6 Diesel'!$AA96</f>
        <v>2.018801637460195E-2</v>
      </c>
      <c r="J29" s="626">
        <f>'4-6 Diesel'!$N148+'4-6 Diesel'!$AA148</f>
        <v>9.7875156490469344E-3</v>
      </c>
      <c r="K29" s="626">
        <f>'4-6 Diesel'!$N200+'4-6 Diesel'!$AA200</f>
        <v>0</v>
      </c>
      <c r="L29" s="626">
        <f>'4-6 Diesel'!$N253+'4-6 Diesel'!$AA253</f>
        <v>0</v>
      </c>
      <c r="M29" s="626">
        <f>'4-6 Diesel'!$N306+'4-6 Diesel'!$AA306</f>
        <v>9.5681691483667361E-6</v>
      </c>
      <c r="N29" s="630">
        <f>B29*'Market Data'!$C$52+H29*'Market Data'!$M$52</f>
        <v>0.97302978937723228</v>
      </c>
      <c r="O29" s="406">
        <f>SUM(C29:G29)*'Market Data'!$C$52+SUM(I29:M29)*'Market Data'!$M$52</f>
        <v>2.6970210622767908E-2</v>
      </c>
      <c r="R29" s="126"/>
    </row>
    <row r="30" spans="1:18" ht="15" x14ac:dyDescent="0.25">
      <c r="A30" s="388">
        <v>2028</v>
      </c>
      <c r="B30" s="642">
        <f t="shared" si="4"/>
        <v>1</v>
      </c>
      <c r="C30" s="643">
        <f>'4-6 Gas'!$N97+'4-6 Gas'!$AA97</f>
        <v>0</v>
      </c>
      <c r="D30" s="643">
        <f>'4-6 Gas'!$N149+'4-6 Gas'!$AA149</f>
        <v>0</v>
      </c>
      <c r="E30" s="643">
        <f>'4-6 Gas'!$N201+'4-6 Gas'!$AA201</f>
        <v>0</v>
      </c>
      <c r="F30" s="643">
        <f>'4-6 Gas'!$N254+'4-6 Gas'!$AA254</f>
        <v>0</v>
      </c>
      <c r="G30" s="644">
        <f>'4-6 Gas'!$N307+'4-6 Gas'!$AA307</f>
        <v>0</v>
      </c>
      <c r="H30" s="626">
        <f t="shared" si="5"/>
        <v>0.89810092733665381</v>
      </c>
      <c r="I30" s="626">
        <f>'4-6 Diesel'!$N97+'4-6 Diesel'!$AA97</f>
        <v>7.1908040296488659E-2</v>
      </c>
      <c r="J30" s="626">
        <f>'4-6 Diesel'!$N149+'4-6 Diesel'!$AA149</f>
        <v>2.9954149385067914E-2</v>
      </c>
      <c r="K30" s="626">
        <f>'4-6 Diesel'!$N201+'4-6 Diesel'!$AA201</f>
        <v>0</v>
      </c>
      <c r="L30" s="626">
        <f>'4-6 Diesel'!$N254+'4-6 Diesel'!$AA254</f>
        <v>7.6467741918628057E-9</v>
      </c>
      <c r="M30" s="626">
        <f>'4-6 Diesel'!$N307+'4-6 Diesel'!$AA307</f>
        <v>3.6875335015479444E-5</v>
      </c>
      <c r="N30" s="630">
        <f>B30*'Market Data'!$C$52+H30*'Market Data'!$M$52</f>
        <v>0.90834649761632835</v>
      </c>
      <c r="O30" s="406">
        <f>SUM(C30:G30)*'Market Data'!$C$52+SUM(I30:M30)*'Market Data'!$M$52</f>
        <v>9.1653502383671773E-2</v>
      </c>
      <c r="R30" s="126"/>
    </row>
    <row r="31" spans="1:18" ht="15" x14ac:dyDescent="0.25">
      <c r="A31" s="388">
        <v>2029</v>
      </c>
      <c r="B31" s="642">
        <f t="shared" si="4"/>
        <v>1</v>
      </c>
      <c r="C31" s="643">
        <f>'4-6 Gas'!$N98+'4-6 Gas'!$AA98</f>
        <v>0</v>
      </c>
      <c r="D31" s="643">
        <f>'4-6 Gas'!$N150+'4-6 Gas'!$AA150</f>
        <v>0</v>
      </c>
      <c r="E31" s="643">
        <f>'4-6 Gas'!$N202+'4-6 Gas'!$AA202</f>
        <v>0</v>
      </c>
      <c r="F31" s="643">
        <f>'4-6 Gas'!$N255+'4-6 Gas'!$AA255</f>
        <v>0</v>
      </c>
      <c r="G31" s="644">
        <f>'4-6 Gas'!$N308+'4-6 Gas'!$AA308</f>
        <v>0</v>
      </c>
      <c r="H31" s="626">
        <f t="shared" si="5"/>
        <v>0.84436058009614767</v>
      </c>
      <c r="I31" s="626">
        <f>'4-6 Diesel'!$N98+'4-6 Diesel'!$AA98</f>
        <v>0.10158603616899795</v>
      </c>
      <c r="J31" s="626">
        <f>'4-6 Diesel'!$N150+'4-6 Diesel'!$AA150</f>
        <v>5.3977224933715831E-2</v>
      </c>
      <c r="K31" s="626">
        <f>'4-6 Diesel'!$N202+'4-6 Diesel'!$AA202</f>
        <v>0</v>
      </c>
      <c r="L31" s="626">
        <f>'4-6 Diesel'!$N255+'4-6 Diesel'!$AA255</f>
        <v>4.3282520009958312E-8</v>
      </c>
      <c r="M31" s="626">
        <f>'4-6 Diesel'!$N308+'4-6 Diesel'!$AA308</f>
        <v>7.6115518618522529E-5</v>
      </c>
      <c r="N31" s="630">
        <f>B31*'Market Data'!$C$52+H31*'Market Data'!$M$52</f>
        <v>0.86000954110466421</v>
      </c>
      <c r="O31" s="406">
        <f>SUM(C31:G31)*'Market Data'!$C$52+SUM(I31:M31)*'Market Data'!$M$52</f>
        <v>0.13999045889533593</v>
      </c>
      <c r="R31" s="126"/>
    </row>
    <row r="32" spans="1:18" ht="15" x14ac:dyDescent="0.25">
      <c r="A32" s="387">
        <v>2030</v>
      </c>
      <c r="B32" s="645">
        <f t="shared" si="4"/>
        <v>1</v>
      </c>
      <c r="C32" s="646">
        <f>'4-6 Gas'!$N99+'4-6 Gas'!$AA99</f>
        <v>0</v>
      </c>
      <c r="D32" s="646">
        <f>'4-6 Gas'!$N151+'4-6 Gas'!$AA151</f>
        <v>0</v>
      </c>
      <c r="E32" s="646">
        <f>'4-6 Gas'!$N203+'4-6 Gas'!$AA203</f>
        <v>0</v>
      </c>
      <c r="F32" s="646">
        <f>'4-6 Gas'!$N256+'4-6 Gas'!$AA256</f>
        <v>0</v>
      </c>
      <c r="G32" s="647">
        <f>'4-6 Gas'!$N309+'4-6 Gas'!$AA309</f>
        <v>0</v>
      </c>
      <c r="H32" s="627">
        <f t="shared" si="5"/>
        <v>0.7683054536715247</v>
      </c>
      <c r="I32" s="627">
        <f>'4-6 Diesel'!$N99+'4-6 Diesel'!$AA99</f>
        <v>0.14360818823175073</v>
      </c>
      <c r="J32" s="627">
        <f>'4-6 Diesel'!$N151+'4-6 Diesel'!$AA151</f>
        <v>8.7927545654711364E-2</v>
      </c>
      <c r="K32" s="627">
        <f>'4-6 Diesel'!$N203+'4-6 Diesel'!$AA203</f>
        <v>0</v>
      </c>
      <c r="L32" s="627">
        <f>'4-6 Diesel'!$N256+'4-6 Diesel'!$AA256</f>
        <v>1.408600105273954E-6</v>
      </c>
      <c r="M32" s="627">
        <f>'4-6 Diesel'!$N309+'4-6 Diesel'!$AA309</f>
        <v>1.5740384190797167E-4</v>
      </c>
      <c r="N32" s="631">
        <f>B32*'Market Data'!$C$52+H32*'Market Data'!$M$52</f>
        <v>0.79160147291664962</v>
      </c>
      <c r="O32" s="409">
        <f>SUM(C32:G32)*'Market Data'!$C$52+SUM(I32:M32)*'Market Data'!$M$52</f>
        <v>0.20839852708335052</v>
      </c>
      <c r="R32" s="126"/>
    </row>
    <row r="33" spans="1:15" ht="15" x14ac:dyDescent="0.25">
      <c r="A33" s="616">
        <v>2031</v>
      </c>
      <c r="B33" s="649">
        <f t="shared" si="4"/>
        <v>1</v>
      </c>
      <c r="C33" s="650">
        <f>'4-6 Gas'!$N100+'4-6 Gas'!$AA100</f>
        <v>0</v>
      </c>
      <c r="D33" s="650">
        <f>'4-6 Gas'!$N152+'4-6 Gas'!$AA152</f>
        <v>0</v>
      </c>
      <c r="E33" s="650">
        <f>'4-6 Gas'!$N204+'4-6 Gas'!$AA204</f>
        <v>0</v>
      </c>
      <c r="F33" s="650">
        <f>'4-6 Gas'!$N257+'4-6 Gas'!$AA257</f>
        <v>0</v>
      </c>
      <c r="G33" s="651">
        <f>'4-6 Gas'!$N310+'4-6 Gas'!$AA310</f>
        <v>0</v>
      </c>
      <c r="H33" s="628">
        <f t="shared" si="5"/>
        <v>0.68090709434477481</v>
      </c>
      <c r="I33" s="628">
        <f>'4-6 Diesel'!$N100+'4-6 Diesel'!$AA100</f>
        <v>0.1951250032660527</v>
      </c>
      <c r="J33" s="628">
        <f>'4-6 Diesel'!$N152+'4-6 Diesel'!$AA152</f>
        <v>0.12368107615372415</v>
      </c>
      <c r="K33" s="628">
        <f>'4-6 Diesel'!$N204+'4-6 Diesel'!$AA204</f>
        <v>0</v>
      </c>
      <c r="L33" s="628">
        <f>'4-6 Diesel'!$N257+'4-6 Diesel'!$AA257</f>
        <v>8.1340957339805612E-6</v>
      </c>
      <c r="M33" s="628">
        <f>'4-6 Diesel'!$N310+'4-6 Diesel'!$AA310</f>
        <v>2.7869213971430602E-4</v>
      </c>
      <c r="N33" s="632">
        <f>B33*'Market Data'!$C$52+H33*'Market Data'!$M$52</f>
        <v>0.71299069142948257</v>
      </c>
      <c r="O33" s="413">
        <f>SUM(C33:G33)*'Market Data'!$C$52+SUM(I33:M33)*'Market Data'!$M$52</f>
        <v>0.28700930857051754</v>
      </c>
    </row>
    <row r="34" spans="1:15" ht="15" x14ac:dyDescent="0.25">
      <c r="A34" s="388">
        <v>2032</v>
      </c>
      <c r="B34" s="642">
        <f t="shared" si="4"/>
        <v>1</v>
      </c>
      <c r="C34" s="643">
        <f>'4-6 Gas'!$N101+'4-6 Gas'!$AA101</f>
        <v>0</v>
      </c>
      <c r="D34" s="643">
        <f>'4-6 Gas'!$N153+'4-6 Gas'!$AA153</f>
        <v>0</v>
      </c>
      <c r="E34" s="643">
        <f>'4-6 Gas'!$N205+'4-6 Gas'!$AA205</f>
        <v>0</v>
      </c>
      <c r="F34" s="643">
        <f>'4-6 Gas'!$N258+'4-6 Gas'!$AA258</f>
        <v>0</v>
      </c>
      <c r="G34" s="644">
        <f>'4-6 Gas'!$N311+'4-6 Gas'!$AA311</f>
        <v>0</v>
      </c>
      <c r="H34" s="626">
        <f t="shared" si="5"/>
        <v>0.51992134829686054</v>
      </c>
      <c r="I34" s="626">
        <f>'4-6 Diesel'!$N101+'4-6 Diesel'!$AA101</f>
        <v>0.30968106025563347</v>
      </c>
      <c r="J34" s="626">
        <f>'4-6 Diesel'!$N153+'4-6 Diesel'!$AA153</f>
        <v>0.16981908567668763</v>
      </c>
      <c r="K34" s="626">
        <f>'4-6 Diesel'!$N205+'4-6 Diesel'!$AA205</f>
        <v>0</v>
      </c>
      <c r="L34" s="626">
        <f>'4-6 Diesel'!$N258+'4-6 Diesel'!$AA258</f>
        <v>4.7336495509621428E-5</v>
      </c>
      <c r="M34" s="626">
        <f>'4-6 Diesel'!$N311+'4-6 Diesel'!$AA311</f>
        <v>5.3116927530869247E-4</v>
      </c>
      <c r="N34" s="630">
        <f>B34*'Market Data'!$C$52+H34*'Market Data'!$M$52</f>
        <v>0.56819145946898275</v>
      </c>
      <c r="O34" s="406">
        <f>SUM(C34:G34)*'Market Data'!$C$52+SUM(I34:M34)*'Market Data'!$M$52</f>
        <v>0.4318085405310173</v>
      </c>
    </row>
    <row r="35" spans="1:15" ht="15" x14ac:dyDescent="0.25">
      <c r="A35" s="388">
        <v>2033</v>
      </c>
      <c r="B35" s="642">
        <f t="shared" si="4"/>
        <v>1</v>
      </c>
      <c r="C35" s="643">
        <f>'4-6 Gas'!$N102+'4-6 Gas'!$AA102</f>
        <v>0</v>
      </c>
      <c r="D35" s="643">
        <f>'4-6 Gas'!$N154+'4-6 Gas'!$AA154</f>
        <v>0</v>
      </c>
      <c r="E35" s="643">
        <f>'4-6 Gas'!$N206+'4-6 Gas'!$AA206</f>
        <v>0</v>
      </c>
      <c r="F35" s="643">
        <f>'4-6 Gas'!$N259+'4-6 Gas'!$AA259</f>
        <v>0</v>
      </c>
      <c r="G35" s="644">
        <f>'4-6 Gas'!$N312+'4-6 Gas'!$AA312</f>
        <v>0</v>
      </c>
      <c r="H35" s="626">
        <f t="shared" si="5"/>
        <v>0.40287135389650508</v>
      </c>
      <c r="I35" s="626">
        <f>'4-6 Diesel'!$N102+'4-6 Diesel'!$AA102</f>
        <v>0.39256506972704264</v>
      </c>
      <c r="J35" s="626">
        <f>'4-6 Diesel'!$N154+'4-6 Diesel'!$AA154</f>
        <v>0.20353070720508437</v>
      </c>
      <c r="K35" s="626">
        <f>'4-6 Diesel'!$N206+'4-6 Diesel'!$AA206</f>
        <v>0</v>
      </c>
      <c r="L35" s="626">
        <f>'4-6 Diesel'!$N259+'4-6 Diesel'!$AA259</f>
        <v>1.6395006739474145E-4</v>
      </c>
      <c r="M35" s="626">
        <f>'4-6 Diesel'!$N312+'4-6 Diesel'!$AA312</f>
        <v>8.6891910397316309E-4</v>
      </c>
      <c r="N35" s="630">
        <f>B35*'Market Data'!$C$52+H35*'Market Data'!$M$52</f>
        <v>0.46291040380888854</v>
      </c>
      <c r="O35" s="406">
        <f>SUM(C35:G35)*'Market Data'!$C$52+SUM(I35:M35)*'Market Data'!$M$52</f>
        <v>0.53708959619111163</v>
      </c>
    </row>
    <row r="36" spans="1:15" ht="15" x14ac:dyDescent="0.25">
      <c r="A36" s="388">
        <v>2034</v>
      </c>
      <c r="B36" s="642">
        <f t="shared" si="4"/>
        <v>1</v>
      </c>
      <c r="C36" s="643">
        <f>'4-6 Gas'!$N103+'4-6 Gas'!$AA103</f>
        <v>0</v>
      </c>
      <c r="D36" s="643">
        <f>'4-6 Gas'!$N155+'4-6 Gas'!$AA155</f>
        <v>0</v>
      </c>
      <c r="E36" s="643">
        <f>'4-6 Gas'!$N207+'4-6 Gas'!$AA207</f>
        <v>0</v>
      </c>
      <c r="F36" s="643">
        <f>'4-6 Gas'!$N260+'4-6 Gas'!$AA260</f>
        <v>0</v>
      </c>
      <c r="G36" s="644">
        <f>'4-6 Gas'!$N313+'4-6 Gas'!$AA313</f>
        <v>0</v>
      </c>
      <c r="H36" s="626">
        <f t="shared" si="5"/>
        <v>0.34940881148753222</v>
      </c>
      <c r="I36" s="626">
        <f>'4-6 Diesel'!$N103+'4-6 Diesel'!$AA103</f>
        <v>0.42623539908687857</v>
      </c>
      <c r="J36" s="626">
        <f>'4-6 Diesel'!$N155+'4-6 Diesel'!$AA155</f>
        <v>0.22288027592032328</v>
      </c>
      <c r="K36" s="626">
        <f>'4-6 Diesel'!$N207+'4-6 Diesel'!$AA207</f>
        <v>0</v>
      </c>
      <c r="L36" s="626">
        <f>'4-6 Diesel'!$N260+'4-6 Diesel'!$AA260</f>
        <v>3.0279333964734062E-4</v>
      </c>
      <c r="M36" s="626">
        <f>'4-6 Diesel'!$N313+'4-6 Diesel'!$AA313</f>
        <v>1.1727201656185982E-3</v>
      </c>
      <c r="N36" s="630">
        <f>B36*'Market Data'!$C$52+H36*'Market Data'!$M$52</f>
        <v>0.4148233198929569</v>
      </c>
      <c r="O36" s="406">
        <f>SUM(C36:G36)*'Market Data'!$C$52+SUM(I36:M36)*'Market Data'!$M$52</f>
        <v>0.58517668010704327</v>
      </c>
    </row>
    <row r="37" spans="1:15" ht="15" x14ac:dyDescent="0.25">
      <c r="A37" s="387">
        <v>2035</v>
      </c>
      <c r="B37" s="645">
        <f t="shared" si="4"/>
        <v>1</v>
      </c>
      <c r="C37" s="646">
        <f>'4-6 Gas'!$N104+'4-6 Gas'!$AA104</f>
        <v>0</v>
      </c>
      <c r="D37" s="646">
        <f>'4-6 Gas'!$N156+'4-6 Gas'!$AA156</f>
        <v>0</v>
      </c>
      <c r="E37" s="646">
        <f>'4-6 Gas'!$N208+'4-6 Gas'!$AA208</f>
        <v>0</v>
      </c>
      <c r="F37" s="646">
        <f>'4-6 Gas'!$N261+'4-6 Gas'!$AA261</f>
        <v>0</v>
      </c>
      <c r="G37" s="647">
        <f>'4-6 Gas'!$N314+'4-6 Gas'!$AA314</f>
        <v>0</v>
      </c>
      <c r="H37" s="627">
        <f t="shared" si="5"/>
        <v>0.26330950649723139</v>
      </c>
      <c r="I37" s="627">
        <f>'4-6 Diesel'!$N104+'4-6 Diesel'!$AA104</f>
        <v>0.4688396005910983</v>
      </c>
      <c r="J37" s="627">
        <f>'4-6 Diesel'!$N156+'4-6 Diesel'!$AA156</f>
        <v>0.2654062630039975</v>
      </c>
      <c r="K37" s="627">
        <f>'4-6 Diesel'!$N208+'4-6 Diesel'!$AA208</f>
        <v>0</v>
      </c>
      <c r="L37" s="627">
        <f>'4-6 Diesel'!$N261+'4-6 Diesel'!$AA261</f>
        <v>5.1698926714587544E-4</v>
      </c>
      <c r="M37" s="627">
        <f>'4-6 Diesel'!$N314+'4-6 Diesel'!$AA314</f>
        <v>1.9276406405269936E-3</v>
      </c>
      <c r="N37" s="631">
        <f>B37*'Market Data'!$C$52+H37*'Market Data'!$M$52</f>
        <v>0.3373809776919412</v>
      </c>
      <c r="O37" s="409">
        <f>SUM(C37:G37)*'Market Data'!$C$52+SUM(I37:M37)*'Market Data'!$M$52</f>
        <v>0.66261902230805891</v>
      </c>
    </row>
    <row r="38" spans="1:15" ht="15" x14ac:dyDescent="0.25">
      <c r="A38" s="616">
        <v>2036</v>
      </c>
      <c r="B38" s="649">
        <f t="shared" si="4"/>
        <v>1</v>
      </c>
      <c r="C38" s="650">
        <f>'4-6 Gas'!$N105+'4-6 Gas'!$AA105</f>
        <v>0</v>
      </c>
      <c r="D38" s="650">
        <f>'4-6 Gas'!$N157+'4-6 Gas'!$AA157</f>
        <v>0</v>
      </c>
      <c r="E38" s="650">
        <f>'4-6 Gas'!$N209+'4-6 Gas'!$AA209</f>
        <v>0</v>
      </c>
      <c r="F38" s="650">
        <f>'4-6 Gas'!$N262+'4-6 Gas'!$AA262</f>
        <v>0</v>
      </c>
      <c r="G38" s="651">
        <f>'4-6 Gas'!$N315+'4-6 Gas'!$AA315</f>
        <v>0</v>
      </c>
      <c r="H38" s="628">
        <f t="shared" si="5"/>
        <v>0.21057574277704161</v>
      </c>
      <c r="I38" s="628">
        <f>'4-6 Diesel'!$N105+'4-6 Diesel'!$AA105</f>
        <v>0.48381591036702959</v>
      </c>
      <c r="J38" s="628">
        <f>'4-6 Diesel'!$N157+'4-6 Diesel'!$AA157</f>
        <v>0.30171775844830256</v>
      </c>
      <c r="K38" s="628">
        <f>'4-6 Diesel'!$N209+'4-6 Diesel'!$AA209</f>
        <v>3.9412428691516958E-5</v>
      </c>
      <c r="L38" s="628">
        <f>'4-6 Diesel'!$N262+'4-6 Diesel'!$AA262</f>
        <v>9.8951503702951558E-4</v>
      </c>
      <c r="M38" s="628">
        <f>'4-6 Diesel'!$N315+'4-6 Diesel'!$AA315</f>
        <v>2.8616609419051782E-3</v>
      </c>
      <c r="N38" s="632">
        <f>B38*'Market Data'!$C$52+H38*'Market Data'!$M$52</f>
        <v>0.28994939649594331</v>
      </c>
      <c r="O38" s="413">
        <f>SUM(C38:G38)*'Market Data'!$C$52+SUM(I38:M38)*'Market Data'!$M$52</f>
        <v>0.7100506035040568</v>
      </c>
    </row>
    <row r="39" spans="1:15" ht="15" x14ac:dyDescent="0.25">
      <c r="A39" s="388">
        <v>2037</v>
      </c>
      <c r="B39" s="642">
        <f t="shared" si="4"/>
        <v>1</v>
      </c>
      <c r="C39" s="643">
        <f>'4-6 Gas'!$N106+'4-6 Gas'!$AA106</f>
        <v>0</v>
      </c>
      <c r="D39" s="643">
        <f>'4-6 Gas'!$N158+'4-6 Gas'!$AA158</f>
        <v>0</v>
      </c>
      <c r="E39" s="643">
        <f>'4-6 Gas'!$N210+'4-6 Gas'!$AA210</f>
        <v>0</v>
      </c>
      <c r="F39" s="643">
        <f>'4-6 Gas'!$N263+'4-6 Gas'!$AA263</f>
        <v>0</v>
      </c>
      <c r="G39" s="644">
        <f>'4-6 Gas'!$N316+'4-6 Gas'!$AA316</f>
        <v>0</v>
      </c>
      <c r="H39" s="626">
        <f t="shared" si="5"/>
        <v>0.19221330868844733</v>
      </c>
      <c r="I39" s="626">
        <f>'4-6 Diesel'!$N106+'4-6 Diesel'!$AA106</f>
        <v>0.48262024839973305</v>
      </c>
      <c r="J39" s="626">
        <f>'4-6 Diesel'!$N158+'4-6 Diesel'!$AA158</f>
        <v>0.32025976621857177</v>
      </c>
      <c r="K39" s="626">
        <f>'4-6 Diesel'!$N210+'4-6 Diesel'!$AA210</f>
        <v>1.1263642842469581E-4</v>
      </c>
      <c r="L39" s="626">
        <f>'4-6 Diesel'!$N263+'4-6 Diesel'!$AA263</f>
        <v>1.3470983064514954E-3</v>
      </c>
      <c r="M39" s="626">
        <f>'4-6 Diesel'!$N316+'4-6 Diesel'!$AA316</f>
        <v>3.446941958371562E-3</v>
      </c>
      <c r="N39" s="630">
        <f>B39*'Market Data'!$C$52+H39*'Market Data'!$M$52</f>
        <v>0.27343323641204126</v>
      </c>
      <c r="O39" s="406">
        <f>SUM(C39:G39)*'Market Data'!$C$52+SUM(I39:M39)*'Market Data'!$M$52</f>
        <v>0.7265667635879588</v>
      </c>
    </row>
    <row r="40" spans="1:15" ht="15" x14ac:dyDescent="0.25">
      <c r="A40" s="388">
        <v>2038</v>
      </c>
      <c r="B40" s="642">
        <f t="shared" si="4"/>
        <v>1</v>
      </c>
      <c r="C40" s="643">
        <f>'4-6 Gas'!$N107+'4-6 Gas'!$AA107</f>
        <v>0</v>
      </c>
      <c r="D40" s="643">
        <f>'4-6 Gas'!$N159+'4-6 Gas'!$AA159</f>
        <v>0</v>
      </c>
      <c r="E40" s="643">
        <f>'4-6 Gas'!$N211+'4-6 Gas'!$AA211</f>
        <v>0</v>
      </c>
      <c r="F40" s="643">
        <f>'4-6 Gas'!$N264+'4-6 Gas'!$AA264</f>
        <v>0</v>
      </c>
      <c r="G40" s="644">
        <f>'4-6 Gas'!$N317+'4-6 Gas'!$AA317</f>
        <v>0</v>
      </c>
      <c r="H40" s="626">
        <f t="shared" si="5"/>
        <v>0.17652624703418551</v>
      </c>
      <c r="I40" s="626">
        <f>'4-6 Diesel'!$N107+'4-6 Diesel'!$AA107</f>
        <v>0.47510472944987214</v>
      </c>
      <c r="J40" s="626">
        <f>'4-6 Diesel'!$N159+'4-6 Diesel'!$AA159</f>
        <v>0.34181680717467133</v>
      </c>
      <c r="K40" s="626">
        <f>'4-6 Diesel'!$N211+'4-6 Diesel'!$AA211</f>
        <v>3.8128411604135552E-4</v>
      </c>
      <c r="L40" s="626">
        <f>'4-6 Diesel'!$N264+'4-6 Diesel'!$AA264</f>
        <v>1.7940244236302847E-3</v>
      </c>
      <c r="M40" s="626">
        <f>'4-6 Diesel'!$N317+'4-6 Diesel'!$AA317</f>
        <v>4.3769078015993643E-3</v>
      </c>
      <c r="N40" s="630">
        <f>B40*'Market Data'!$C$52+H40*'Market Data'!$M$52</f>
        <v>0.25932345007991436</v>
      </c>
      <c r="O40" s="406">
        <f>SUM(C40:G40)*'Market Data'!$C$52+SUM(I40:M40)*'Market Data'!$M$52</f>
        <v>0.7406765499200858</v>
      </c>
    </row>
    <row r="41" spans="1:15" ht="15" x14ac:dyDescent="0.25">
      <c r="A41" s="388">
        <v>2039</v>
      </c>
      <c r="B41" s="642">
        <f t="shared" si="4"/>
        <v>1</v>
      </c>
      <c r="C41" s="643">
        <f>'4-6 Gas'!$N108+'4-6 Gas'!$AA108</f>
        <v>0</v>
      </c>
      <c r="D41" s="643">
        <f>'4-6 Gas'!$N160+'4-6 Gas'!$AA160</f>
        <v>0</v>
      </c>
      <c r="E41" s="643">
        <f>'4-6 Gas'!$N212+'4-6 Gas'!$AA212</f>
        <v>0</v>
      </c>
      <c r="F41" s="643">
        <f>'4-6 Gas'!$N265+'4-6 Gas'!$AA265</f>
        <v>0</v>
      </c>
      <c r="G41" s="644">
        <f>'4-6 Gas'!$N318+'4-6 Gas'!$AA318</f>
        <v>0</v>
      </c>
      <c r="H41" s="626">
        <f t="shared" si="5"/>
        <v>0.16895015255133405</v>
      </c>
      <c r="I41" s="626">
        <f>'4-6 Diesel'!$N108+'4-6 Diesel'!$AA108</f>
        <v>0.45503979756384172</v>
      </c>
      <c r="J41" s="626">
        <f>'4-6 Diesel'!$N160+'4-6 Diesel'!$AA160</f>
        <v>0.36668267239899899</v>
      </c>
      <c r="K41" s="626">
        <f>'4-6 Diesel'!$N212+'4-6 Diesel'!$AA212</f>
        <v>1.2918609328981469E-3</v>
      </c>
      <c r="L41" s="626">
        <f>'4-6 Diesel'!$N265+'4-6 Diesel'!$AA265</f>
        <v>2.4047010197414719E-3</v>
      </c>
      <c r="M41" s="626">
        <f>'4-6 Diesel'!$N318+'4-6 Diesel'!$AA318</f>
        <v>5.6308155331856622E-3</v>
      </c>
      <c r="N41" s="630">
        <f>B41*'Market Data'!$C$52+H41*'Market Data'!$M$52</f>
        <v>0.2525091035349068</v>
      </c>
      <c r="O41" s="406">
        <f>SUM(C41:G41)*'Market Data'!$C$52+SUM(I41:M41)*'Market Data'!$M$52</f>
        <v>0.74749089646509337</v>
      </c>
    </row>
    <row r="42" spans="1:15" ht="15" x14ac:dyDescent="0.25">
      <c r="A42" s="387">
        <v>2040</v>
      </c>
      <c r="B42" s="645">
        <f t="shared" si="4"/>
        <v>1</v>
      </c>
      <c r="C42" s="646">
        <f>'4-6 Gas'!$N109+'4-6 Gas'!$AA109</f>
        <v>0</v>
      </c>
      <c r="D42" s="646">
        <f>'4-6 Gas'!$N161+'4-6 Gas'!$AA161</f>
        <v>0</v>
      </c>
      <c r="E42" s="646">
        <f>'4-6 Gas'!$N213+'4-6 Gas'!$AA213</f>
        <v>0</v>
      </c>
      <c r="F42" s="646">
        <f>'4-6 Gas'!$N266+'4-6 Gas'!$AA266</f>
        <v>0</v>
      </c>
      <c r="G42" s="647">
        <f>'4-6 Gas'!$N319+'4-6 Gas'!$AA319</f>
        <v>0</v>
      </c>
      <c r="H42" s="821">
        <f t="shared" si="5"/>
        <v>0.15630740507799712</v>
      </c>
      <c r="I42" s="821">
        <f>'4-6 Diesel'!$N109+'4-6 Diesel'!$AA109</f>
        <v>0.4402742039990506</v>
      </c>
      <c r="J42" s="821">
        <f>'4-6 Diesel'!$N161+'4-6 Diesel'!$AA161</f>
        <v>0.38840517073085484</v>
      </c>
      <c r="K42" s="821">
        <f>'4-6 Diesel'!$N213+'4-6 Diesel'!$AA213</f>
        <v>4.295263599151989E-3</v>
      </c>
      <c r="L42" s="821">
        <f>'4-6 Diesel'!$N266+'4-6 Diesel'!$AA266</f>
        <v>3.1884158375827323E-3</v>
      </c>
      <c r="M42" s="821">
        <f>'4-6 Diesel'!$N319+'4-6 Diesel'!$AA319</f>
        <v>7.5295407553626348E-3</v>
      </c>
      <c r="N42" s="631">
        <f>B42*'Market Data'!$C$52+H42*'Market Data'!$M$52</f>
        <v>0.24113753698972407</v>
      </c>
      <c r="O42" s="409">
        <f>SUM(C42:G42)*'Market Data'!$C$52+SUM(I42:M42)*'Market Data'!$M$52</f>
        <v>0.75886246301027604</v>
      </c>
    </row>
    <row r="43" spans="1:15" ht="15" x14ac:dyDescent="0.25">
      <c r="A43" s="388">
        <v>2041</v>
      </c>
      <c r="B43" s="649">
        <f t="shared" si="4"/>
        <v>1</v>
      </c>
      <c r="C43" s="650">
        <f>'4-6 Gas'!$N110+'4-6 Gas'!$AA110</f>
        <v>0</v>
      </c>
      <c r="D43" s="650">
        <f>'4-6 Gas'!$N162+'4-6 Gas'!$AA162</f>
        <v>0</v>
      </c>
      <c r="E43" s="650">
        <f>'4-6 Gas'!$N214+'4-6 Gas'!$AA214</f>
        <v>0</v>
      </c>
      <c r="F43" s="650">
        <f>'4-6 Gas'!$N267+'4-6 Gas'!$AA267</f>
        <v>0</v>
      </c>
      <c r="G43" s="651">
        <f>'4-6 Gas'!$N320+'4-6 Gas'!$AA320</f>
        <v>0</v>
      </c>
      <c r="H43" s="628">
        <f t="shared" si="5"/>
        <v>0.14091694117630893</v>
      </c>
      <c r="I43" s="628">
        <f>'4-6 Diesel'!$N110+'4-6 Diesel'!$AA110</f>
        <v>0.42980483882952186</v>
      </c>
      <c r="J43" s="628">
        <f>'4-6 Diesel'!$N162+'4-6 Diesel'!$AA162</f>
        <v>0.40163208803988454</v>
      </c>
      <c r="K43" s="628">
        <f>'4-6 Diesel'!$N214+'4-6 Diesel'!$AA214</f>
        <v>1.2596850976568999E-2</v>
      </c>
      <c r="L43" s="628">
        <f>'4-6 Diesel'!$N267+'4-6 Diesel'!$AA267</f>
        <v>4.353016150594277E-3</v>
      </c>
      <c r="M43" s="628">
        <f>'4-6 Diesel'!$N320+'4-6 Diesel'!$AA320</f>
        <v>1.069626482712133E-2</v>
      </c>
      <c r="N43" s="635">
        <f>B43*'Market Data'!$C$52+H43*'Market Data'!$M$52</f>
        <v>0.227294526616514</v>
      </c>
      <c r="O43" s="415">
        <f>SUM(C43:G43)*'Market Data'!$C$52+SUM(I43:M43)*'Market Data'!$M$52</f>
        <v>0.77270547338348616</v>
      </c>
    </row>
    <row r="44" spans="1:15" ht="15" x14ac:dyDescent="0.25">
      <c r="A44" s="388">
        <v>2042</v>
      </c>
      <c r="B44" s="642">
        <f t="shared" si="4"/>
        <v>1</v>
      </c>
      <c r="C44" s="643">
        <f>'4-6 Gas'!$N111+'4-6 Gas'!$AA111</f>
        <v>0</v>
      </c>
      <c r="D44" s="643">
        <f>'4-6 Gas'!$N163+'4-6 Gas'!$AA163</f>
        <v>0</v>
      </c>
      <c r="E44" s="643">
        <f>'4-6 Gas'!$N215+'4-6 Gas'!$AA215</f>
        <v>0</v>
      </c>
      <c r="F44" s="643">
        <f>'4-6 Gas'!$N268+'4-6 Gas'!$AA268</f>
        <v>0</v>
      </c>
      <c r="G44" s="644">
        <f>'4-6 Gas'!$N321+'4-6 Gas'!$AA321</f>
        <v>0</v>
      </c>
      <c r="H44" s="626">
        <f t="shared" si="5"/>
        <v>0.12453502788875426</v>
      </c>
      <c r="I44" s="626">
        <f>'4-6 Diesel'!$N111+'4-6 Diesel'!$AA111</f>
        <v>0.4087477375552564</v>
      </c>
      <c r="J44" s="626">
        <f>'4-6 Diesel'!$N163+'4-6 Diesel'!$AA163</f>
        <v>0.41439621801009796</v>
      </c>
      <c r="K44" s="626">
        <f>'4-6 Diesel'!$N215+'4-6 Diesel'!$AA215</f>
        <v>3.0491822195559265E-2</v>
      </c>
      <c r="L44" s="626">
        <f>'4-6 Diesel'!$N268+'4-6 Diesel'!$AA268</f>
        <v>6.1100461255970441E-3</v>
      </c>
      <c r="M44" s="626">
        <f>'4-6 Diesel'!$N321+'4-6 Diesel'!$AA321</f>
        <v>1.571914822473509E-2</v>
      </c>
      <c r="N44" s="630">
        <f>B44*'Market Data'!$C$52+H44*'Market Data'!$M$52</f>
        <v>0.21255975338152572</v>
      </c>
      <c r="O44" s="406">
        <f>SUM(C44:G44)*'Market Data'!$C$52+SUM(I44:M44)*'Market Data'!$M$52</f>
        <v>0.78744024661847434</v>
      </c>
    </row>
    <row r="45" spans="1:15" ht="15" x14ac:dyDescent="0.25">
      <c r="A45" s="388">
        <v>2043</v>
      </c>
      <c r="B45" s="642">
        <f t="shared" si="4"/>
        <v>1</v>
      </c>
      <c r="C45" s="643">
        <f>'4-6 Gas'!$N112+'4-6 Gas'!$AA112</f>
        <v>0</v>
      </c>
      <c r="D45" s="643">
        <f>'4-6 Gas'!$N164+'4-6 Gas'!$AA164</f>
        <v>0</v>
      </c>
      <c r="E45" s="643">
        <f>'4-6 Gas'!$N216+'4-6 Gas'!$AA216</f>
        <v>0</v>
      </c>
      <c r="F45" s="643">
        <f>'4-6 Gas'!$N269+'4-6 Gas'!$AA269</f>
        <v>0</v>
      </c>
      <c r="G45" s="644">
        <f>'4-6 Gas'!$N322+'4-6 Gas'!$AA322</f>
        <v>0</v>
      </c>
      <c r="H45" s="626">
        <f t="shared" si="5"/>
        <v>7.9231531311152126E-2</v>
      </c>
      <c r="I45" s="626">
        <f>'4-6 Diesel'!$N112+'4-6 Diesel'!$AA112</f>
        <v>0.40570513512591766</v>
      </c>
      <c r="J45" s="626">
        <f>'4-6 Diesel'!$N164+'4-6 Diesel'!$AA164</f>
        <v>0.42996303814216097</v>
      </c>
      <c r="K45" s="626">
        <f>'4-6 Diesel'!$N216+'4-6 Diesel'!$AA216</f>
        <v>5.4395598027954156E-2</v>
      </c>
      <c r="L45" s="626">
        <f>'4-6 Diesel'!$N269+'4-6 Diesel'!$AA269</f>
        <v>8.1505084399600258E-3</v>
      </c>
      <c r="M45" s="626">
        <f>'4-6 Diesel'!$N322+'4-6 Diesel'!$AA322</f>
        <v>2.2554188952855138E-2</v>
      </c>
      <c r="N45" s="630">
        <f>B45*'Market Data'!$C$52+H45*'Market Data'!$M$52</f>
        <v>0.17181135378340551</v>
      </c>
      <c r="O45" s="406">
        <f>SUM(C45:G45)*'Market Data'!$C$52+SUM(I45:M45)*'Market Data'!$M$52</f>
        <v>0.8281886462165946</v>
      </c>
    </row>
    <row r="46" spans="1:15" ht="15" x14ac:dyDescent="0.25">
      <c r="A46" s="388">
        <v>2044</v>
      </c>
      <c r="B46" s="642">
        <f t="shared" si="4"/>
        <v>1</v>
      </c>
      <c r="C46" s="643">
        <f>'4-6 Gas'!$N113+'4-6 Gas'!$AA113</f>
        <v>0</v>
      </c>
      <c r="D46" s="643">
        <f>'4-6 Gas'!$N165+'4-6 Gas'!$AA165</f>
        <v>0</v>
      </c>
      <c r="E46" s="643">
        <f>'4-6 Gas'!$N217+'4-6 Gas'!$AA217</f>
        <v>0</v>
      </c>
      <c r="F46" s="643">
        <f>'4-6 Gas'!$N270+'4-6 Gas'!$AA270</f>
        <v>0</v>
      </c>
      <c r="G46" s="644">
        <f>'4-6 Gas'!$N323+'4-6 Gas'!$AA323</f>
        <v>0</v>
      </c>
      <c r="H46" s="626">
        <f t="shared" si="5"/>
        <v>5.282591119291824E-2</v>
      </c>
      <c r="I46" s="626">
        <f>'4-6 Diesel'!$N113+'4-6 Diesel'!$AA113</f>
        <v>0.39464398549946345</v>
      </c>
      <c r="J46" s="626">
        <f>'4-6 Diesel'!$N165+'4-6 Diesel'!$AA165</f>
        <v>0.43299454854714237</v>
      </c>
      <c r="K46" s="626">
        <f>'4-6 Diesel'!$N217+'4-6 Diesel'!$AA217</f>
        <v>7.4979532562620466E-2</v>
      </c>
      <c r="L46" s="626">
        <f>'4-6 Diesel'!$N270+'4-6 Diesel'!$AA270</f>
        <v>1.0789492680884227E-2</v>
      </c>
      <c r="M46" s="626">
        <f>'4-6 Diesel'!$N323+'4-6 Diesel'!$AA323</f>
        <v>3.3766529516971247E-2</v>
      </c>
      <c r="N46" s="630">
        <f>B46*'Market Data'!$C$52+H46*'Market Data'!$M$52</f>
        <v>0.14806071991410014</v>
      </c>
      <c r="O46" s="406">
        <f>SUM(C46:G46)*'Market Data'!$C$52+SUM(I46:M46)*'Market Data'!$M$52</f>
        <v>0.85193928008589992</v>
      </c>
    </row>
    <row r="47" spans="1:15" ht="15" x14ac:dyDescent="0.25">
      <c r="A47" s="387">
        <v>2045</v>
      </c>
      <c r="B47" s="645">
        <f t="shared" si="4"/>
        <v>1</v>
      </c>
      <c r="C47" s="646">
        <f>'4-6 Gas'!$N114+'4-6 Gas'!$AA114</f>
        <v>0</v>
      </c>
      <c r="D47" s="646">
        <f>'4-6 Gas'!$N166+'4-6 Gas'!$AA166</f>
        <v>0</v>
      </c>
      <c r="E47" s="646">
        <f>'4-6 Gas'!$N218+'4-6 Gas'!$AA218</f>
        <v>0</v>
      </c>
      <c r="F47" s="646">
        <f>'4-6 Gas'!$N271+'4-6 Gas'!$AA271</f>
        <v>0</v>
      </c>
      <c r="G47" s="647">
        <f>'4-6 Gas'!$N324+'4-6 Gas'!$AA324</f>
        <v>0</v>
      </c>
      <c r="H47" s="627">
        <f t="shared" si="5"/>
        <v>3.0864167292878886E-2</v>
      </c>
      <c r="I47" s="627">
        <f>'4-6 Diesel'!$N114+'4-6 Diesel'!$AA114</f>
        <v>0.38030807963114693</v>
      </c>
      <c r="J47" s="627">
        <f>'4-6 Diesel'!$N166+'4-6 Diesel'!$AA166</f>
        <v>0.42800938376999553</v>
      </c>
      <c r="K47" s="627">
        <f>'4-6 Diesel'!$N218+'4-6 Diesel'!$AA218</f>
        <v>9.9300918283062312E-2</v>
      </c>
      <c r="L47" s="627">
        <f>'4-6 Diesel'!$N271+'4-6 Diesel'!$AA271</f>
        <v>1.4236848697315967E-2</v>
      </c>
      <c r="M47" s="627">
        <f>'4-6 Diesel'!$N324+'4-6 Diesel'!$AA324</f>
        <v>4.7280602325600316E-2</v>
      </c>
      <c r="N47" s="631">
        <f>B47*'Market Data'!$C$52+H47*'Market Data'!$M$52</f>
        <v>0.1283071471456613</v>
      </c>
      <c r="O47" s="409">
        <f>SUM(C47:G47)*'Market Data'!$C$52+SUM(I47:M47)*'Market Data'!$M$52</f>
        <v>0.87169285285433884</v>
      </c>
    </row>
    <row r="48" spans="1:15" ht="15" x14ac:dyDescent="0.25">
      <c r="A48" s="388">
        <v>2046</v>
      </c>
      <c r="B48" s="649">
        <f t="shared" si="4"/>
        <v>1</v>
      </c>
      <c r="C48" s="650">
        <f>'4-6 Gas'!$N115+'4-6 Gas'!$AA115</f>
        <v>0</v>
      </c>
      <c r="D48" s="650">
        <f>'4-6 Gas'!$N167+'4-6 Gas'!$AA167</f>
        <v>0</v>
      </c>
      <c r="E48" s="650">
        <f>'4-6 Gas'!$N219+'4-6 Gas'!$AA219</f>
        <v>0</v>
      </c>
      <c r="F48" s="650">
        <f>'4-6 Gas'!$N272+'4-6 Gas'!$AA272</f>
        <v>0</v>
      </c>
      <c r="G48" s="651">
        <f>'4-6 Gas'!$N325+'4-6 Gas'!$AA325</f>
        <v>0</v>
      </c>
      <c r="H48" s="628">
        <f t="shared" si="5"/>
        <v>2.1624685604730853E-2</v>
      </c>
      <c r="I48" s="628">
        <f>'4-6 Diesel'!$N115+'4-6 Diesel'!$AA115</f>
        <v>0.36451405533784587</v>
      </c>
      <c r="J48" s="628">
        <f>'4-6 Diesel'!$N167+'4-6 Diesel'!$AA167</f>
        <v>0.41575077989433118</v>
      </c>
      <c r="K48" s="628">
        <f>'4-6 Diesel'!$N219+'4-6 Diesel'!$AA219</f>
        <v>0.1210885697380015</v>
      </c>
      <c r="L48" s="628">
        <f>'4-6 Diesel'!$N272+'4-6 Diesel'!$AA272</f>
        <v>1.7828130318432448E-2</v>
      </c>
      <c r="M48" s="628">
        <f>'4-6 Diesel'!$N325+'4-6 Diesel'!$AA325</f>
        <v>5.919377910665817E-2</v>
      </c>
      <c r="N48" s="635">
        <f>B48*'Market Data'!$C$52+H48*'Market Data'!$M$52</f>
        <v>0.11999666075167492</v>
      </c>
      <c r="O48" s="415">
        <f>SUM(C48:G48)*'Market Data'!$C$52+SUM(I48:M48)*'Market Data'!$M$52</f>
        <v>0.88000333924832519</v>
      </c>
    </row>
    <row r="49" spans="1:15" ht="15" x14ac:dyDescent="0.25">
      <c r="A49" s="388">
        <v>2047</v>
      </c>
      <c r="B49" s="642">
        <f t="shared" si="4"/>
        <v>1</v>
      </c>
      <c r="C49" s="643">
        <f>'4-6 Gas'!$N116+'4-6 Gas'!$AA116</f>
        <v>0</v>
      </c>
      <c r="D49" s="643">
        <f>'4-6 Gas'!$N168+'4-6 Gas'!$AA168</f>
        <v>0</v>
      </c>
      <c r="E49" s="643">
        <f>'4-6 Gas'!$N220+'4-6 Gas'!$AA220</f>
        <v>0</v>
      </c>
      <c r="F49" s="643">
        <f>'4-6 Gas'!$N273+'4-6 Gas'!$AA273</f>
        <v>0</v>
      </c>
      <c r="G49" s="644">
        <f>'4-6 Gas'!$N326+'4-6 Gas'!$AA326</f>
        <v>0</v>
      </c>
      <c r="H49" s="626">
        <f t="shared" si="5"/>
        <v>1.383629979412293E-2</v>
      </c>
      <c r="I49" s="626">
        <f>'4-6 Diesel'!$N116+'4-6 Diesel'!$AA116</f>
        <v>0.3489944042435198</v>
      </c>
      <c r="J49" s="626">
        <f>'4-6 Diesel'!$N168+'4-6 Diesel'!$AA168</f>
        <v>0.40174710309573103</v>
      </c>
      <c r="K49" s="626">
        <f>'4-6 Diesel'!$N220+'4-6 Diesel'!$AA220</f>
        <v>0.14649909313840709</v>
      </c>
      <c r="L49" s="626">
        <f>'4-6 Diesel'!$N273+'4-6 Diesel'!$AA273</f>
        <v>2.1788628121040831E-2</v>
      </c>
      <c r="M49" s="626">
        <f>'4-6 Diesel'!$N326+'4-6 Diesel'!$AA326</f>
        <v>6.7134471607178323E-2</v>
      </c>
      <c r="N49" s="630">
        <f>B49*'Market Data'!$C$52+H49*'Market Data'!$M$52</f>
        <v>0.11299136797716787</v>
      </c>
      <c r="O49" s="406">
        <f>SUM(C49:G49)*'Market Data'!$C$52+SUM(I49:M49)*'Market Data'!$M$52</f>
        <v>0.8870086320228322</v>
      </c>
    </row>
    <row r="50" spans="1:15" ht="15" x14ac:dyDescent="0.25">
      <c r="A50" s="388">
        <v>2048</v>
      </c>
      <c r="B50" s="642">
        <f t="shared" si="4"/>
        <v>1</v>
      </c>
      <c r="C50" s="643">
        <f>'4-6 Gas'!$N117+'4-6 Gas'!$AA117</f>
        <v>0</v>
      </c>
      <c r="D50" s="643">
        <f>'4-6 Gas'!$N169+'4-6 Gas'!$AA169</f>
        <v>0</v>
      </c>
      <c r="E50" s="643">
        <f>'4-6 Gas'!$N221+'4-6 Gas'!$AA221</f>
        <v>0</v>
      </c>
      <c r="F50" s="643">
        <f>'4-6 Gas'!$N274+'4-6 Gas'!$AA274</f>
        <v>0</v>
      </c>
      <c r="G50" s="644">
        <f>'4-6 Gas'!$N327+'4-6 Gas'!$AA327</f>
        <v>0</v>
      </c>
      <c r="H50" s="626">
        <f t="shared" si="5"/>
        <v>1.1536595320683185E-2</v>
      </c>
      <c r="I50" s="626">
        <f>'4-6 Diesel'!$N117+'4-6 Diesel'!$AA117</f>
        <v>0.33973985353866903</v>
      </c>
      <c r="J50" s="626">
        <f>'4-6 Diesel'!$N169+'4-6 Diesel'!$AA169</f>
        <v>0.38609662042567905</v>
      </c>
      <c r="K50" s="626">
        <f>'4-6 Diesel'!$N221+'4-6 Diesel'!$AA221</f>
        <v>0.16429934312867442</v>
      </c>
      <c r="L50" s="626">
        <f>'4-6 Diesel'!$N274+'4-6 Diesel'!$AA274</f>
        <v>2.6125285125800028E-2</v>
      </c>
      <c r="M50" s="626">
        <f>'4-6 Diesel'!$N327+'4-6 Diesel'!$AA327</f>
        <v>7.2202302460494194E-2</v>
      </c>
      <c r="N50" s="630">
        <f>B50*'Market Data'!$C$52+H50*'Market Data'!$M$52</f>
        <v>0.11092289017919506</v>
      </c>
      <c r="O50" s="406">
        <f>SUM(C50:G50)*'Market Data'!$C$52+SUM(I50:M50)*'Market Data'!$M$52</f>
        <v>0.88907710982080501</v>
      </c>
    </row>
    <row r="51" spans="1:15" ht="15" x14ac:dyDescent="0.25">
      <c r="A51" s="388">
        <v>2049</v>
      </c>
      <c r="B51" s="642">
        <f t="shared" si="4"/>
        <v>1</v>
      </c>
      <c r="C51" s="643">
        <f>'4-6 Gas'!$N118+'4-6 Gas'!$AA118</f>
        <v>0</v>
      </c>
      <c r="D51" s="643">
        <f>'4-6 Gas'!$N170+'4-6 Gas'!$AA170</f>
        <v>0</v>
      </c>
      <c r="E51" s="643">
        <f>'4-6 Gas'!$N222+'4-6 Gas'!$AA222</f>
        <v>0</v>
      </c>
      <c r="F51" s="643">
        <f>'4-6 Gas'!$N275+'4-6 Gas'!$AA275</f>
        <v>0</v>
      </c>
      <c r="G51" s="644">
        <f>'4-6 Gas'!$N328+'4-6 Gas'!$AA328</f>
        <v>0</v>
      </c>
      <c r="H51" s="626">
        <f t="shared" si="5"/>
        <v>7.6115749917538E-3</v>
      </c>
      <c r="I51" s="626">
        <f>'4-6 Diesel'!$N118+'4-6 Diesel'!$AA118</f>
        <v>0.32956190604654828</v>
      </c>
      <c r="J51" s="626">
        <f>'4-6 Diesel'!$N170+'4-6 Diesel'!$AA170</f>
        <v>0.37627020600837252</v>
      </c>
      <c r="K51" s="626">
        <f>'4-6 Diesel'!$N222+'4-6 Diesel'!$AA222</f>
        <v>0.17874059345524043</v>
      </c>
      <c r="L51" s="626">
        <f>'4-6 Diesel'!$N275+'4-6 Diesel'!$AA275</f>
        <v>3.0166096810981112E-2</v>
      </c>
      <c r="M51" s="626">
        <f>'4-6 Diesel'!$N328+'4-6 Diesel'!$AA328</f>
        <v>7.7649622687103834E-2</v>
      </c>
      <c r="N51" s="630">
        <f>B51*'Market Data'!$C$52+H51*'Market Data'!$M$52</f>
        <v>0.1073925159503539</v>
      </c>
      <c r="O51" s="406">
        <f>SUM(C51:G51)*'Market Data'!$C$52+SUM(I51:M51)*'Market Data'!$M$52</f>
        <v>0.89260748404964618</v>
      </c>
    </row>
    <row r="52" spans="1:15" ht="15.75" thickBot="1" x14ac:dyDescent="0.3">
      <c r="A52" s="389">
        <v>2050</v>
      </c>
      <c r="B52" s="652">
        <f t="shared" si="4"/>
        <v>1</v>
      </c>
      <c r="C52" s="653">
        <f>'4-6 Gas'!$N119+'4-6 Gas'!$AA119</f>
        <v>0</v>
      </c>
      <c r="D52" s="653">
        <f>'4-6 Gas'!$N171+'4-6 Gas'!$AA171</f>
        <v>0</v>
      </c>
      <c r="E52" s="653">
        <f>'4-6 Gas'!$N223+'4-6 Gas'!$AA223</f>
        <v>0</v>
      </c>
      <c r="F52" s="653">
        <f>'4-6 Gas'!$N276+'4-6 Gas'!$AA276</f>
        <v>0</v>
      </c>
      <c r="G52" s="654">
        <f>'4-6 Gas'!$N329+'4-6 Gas'!$AA329</f>
        <v>0</v>
      </c>
      <c r="H52" s="629">
        <f t="shared" si="5"/>
        <v>5.7930275856545865E-3</v>
      </c>
      <c r="I52" s="629">
        <f>'4-6 Diesel'!$N119+'4-6 Diesel'!$AA119</f>
        <v>0.31048540378183559</v>
      </c>
      <c r="J52" s="629">
        <f>'4-6 Diesel'!$N171+'4-6 Diesel'!$AA171</f>
        <v>0.35439895455551396</v>
      </c>
      <c r="K52" s="629">
        <f>'4-6 Diesel'!$N223+'4-6 Diesel'!$AA223</f>
        <v>0.21001655269062194</v>
      </c>
      <c r="L52" s="629">
        <f>'4-6 Diesel'!$N276+'4-6 Diesel'!$AA276</f>
        <v>3.6406991130731217E-2</v>
      </c>
      <c r="M52" s="629">
        <f>'4-6 Diesel'!$N329+'4-6 Diesel'!$AA329</f>
        <v>8.2899070255642665E-2</v>
      </c>
      <c r="N52" s="633">
        <f>B52*'Market Data'!$C$52+H52*'Market Data'!$M$52</f>
        <v>0.1057568166778944</v>
      </c>
      <c r="O52" s="418">
        <f>SUM(C52:G52)*'Market Data'!$C$52+SUM(I52:M52)*'Market Data'!$M$52</f>
        <v>0.89424318332210573</v>
      </c>
    </row>
    <row r="53" spans="1:15" x14ac:dyDescent="0.2">
      <c r="A53" s="383"/>
      <c r="B53" s="383"/>
    </row>
    <row r="54" spans="1:15" x14ac:dyDescent="0.2">
      <c r="A54" s="1127" t="str">
        <f>"Run id: '"&amp;'Run Model'!B2&amp;"'"</f>
        <v>Run id: 'Run ID / Description'</v>
      </c>
      <c r="B54" s="383"/>
    </row>
    <row r="55" spans="1:15" x14ac:dyDescent="0.2">
      <c r="A55" s="1127" t="s">
        <v>130</v>
      </c>
      <c r="B55" s="383"/>
    </row>
    <row r="56" spans="1:15" x14ac:dyDescent="0.2">
      <c r="A56" s="1128" t="str">
        <f>"Gasoline, Centrally Refueled: " &amp;TEXT(RtimeCls1Cent1,"mm/dd/yyyy hh:mm")</f>
        <v>Gasoline, Centrally Refueled: 11/04/2020 14:43</v>
      </c>
    </row>
    <row r="57" spans="1:15" x14ac:dyDescent="0.2">
      <c r="A57" s="1128" t="str">
        <f>"Gasoline, Non-Centrally Refueled: " &amp;TEXT(RtimeCls1NCent1,"mm/dd/yyyy hh:mm")</f>
        <v>Gasoline, Non-Centrally Refueled: 11/04/2020 14:43</v>
      </c>
    </row>
    <row r="58" spans="1:15" x14ac:dyDescent="0.2">
      <c r="A58" s="1128" t="str">
        <f>"Diesel, Centrally Refueled: " &amp;TEXT(RtimeCls2Cent1,"mm/dd/yyyy hh:mm")</f>
        <v>Diesel, Centrally Refueled: 11/04/2020 14:43</v>
      </c>
    </row>
    <row r="59" spans="1:15" x14ac:dyDescent="0.2">
      <c r="A59" s="1128" t="str">
        <f>"Diesel, Non-Centrally Refueled: " &amp;TEXT(RtimeCls2NCent1,"mm/dd/yyyy hh:mm")</f>
        <v>Diesel, Non-Centrally Refueled: 11/04/2020 14:43</v>
      </c>
    </row>
  </sheetData>
  <mergeCells count="7">
    <mergeCell ref="A3:O3"/>
    <mergeCell ref="H4:M4"/>
    <mergeCell ref="H5:M5"/>
    <mergeCell ref="N5:O5"/>
    <mergeCell ref="N4:O4"/>
    <mergeCell ref="B5:G5"/>
    <mergeCell ref="B4:G4"/>
  </mergeCells>
  <phoneticPr fontId="59" type="noConversion"/>
  <conditionalFormatting sqref="B6:M52">
    <cfRule type="expression" dxfId="9"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2">
    <tabColor indexed="17"/>
    <pageSetUpPr fitToPage="1"/>
  </sheetPr>
  <dimension ref="A1:R59"/>
  <sheetViews>
    <sheetView showZeros="0" zoomScale="70" zoomScaleNormal="70" workbookViewId="0">
      <pane ySplit="8" topLeftCell="A9" activePane="bottomLeft" state="frozen"/>
      <selection pane="bottomLeft" activeCell="Y8" sqref="Y8"/>
    </sheetView>
  </sheetViews>
  <sheetFormatPr defaultColWidth="9.140625" defaultRowHeight="12.75" x14ac:dyDescent="0.2"/>
  <cols>
    <col min="1" max="1" width="9.140625" style="382"/>
    <col min="2" max="2" width="14.28515625" style="382" customWidth="1"/>
    <col min="3" max="7" width="10.42578125" style="382" customWidth="1"/>
    <col min="8" max="8" width="13.42578125" style="382" customWidth="1"/>
    <col min="9" max="13" width="10.42578125" style="382" customWidth="1"/>
    <col min="14" max="16384" width="9.140625" style="382"/>
  </cols>
  <sheetData>
    <row r="1" spans="1:18" x14ac:dyDescent="0.2">
      <c r="A1" s="840" t="s">
        <v>205</v>
      </c>
    </row>
    <row r="2" spans="1:18" ht="13.5" thickBot="1" x14ac:dyDescent="0.25"/>
    <row r="3" spans="1:18" ht="19.5" thickBot="1" x14ac:dyDescent="0.35">
      <c r="A3" s="1669" t="s">
        <v>157</v>
      </c>
      <c r="B3" s="1670"/>
      <c r="C3" s="1670"/>
      <c r="D3" s="1670"/>
      <c r="E3" s="1670"/>
      <c r="F3" s="1670"/>
      <c r="G3" s="1670"/>
      <c r="H3" s="1670"/>
      <c r="I3" s="1670"/>
      <c r="J3" s="1670"/>
      <c r="K3" s="1670"/>
      <c r="L3" s="1670"/>
      <c r="M3" s="1670"/>
      <c r="N3" s="1670"/>
      <c r="O3" s="1671"/>
    </row>
    <row r="4" spans="1:18" ht="15" x14ac:dyDescent="0.25">
      <c r="A4" s="385"/>
      <c r="B4" s="1679" t="s">
        <v>265</v>
      </c>
      <c r="C4" s="1680"/>
      <c r="D4" s="1680"/>
      <c r="E4" s="1680"/>
      <c r="F4" s="1680"/>
      <c r="G4" s="1681"/>
      <c r="H4" s="1679" t="s">
        <v>266</v>
      </c>
      <c r="I4" s="1680"/>
      <c r="J4" s="1680"/>
      <c r="K4" s="1680"/>
      <c r="L4" s="1680"/>
      <c r="M4" s="1681"/>
      <c r="N4" s="1677" t="s">
        <v>267</v>
      </c>
      <c r="O4" s="1678"/>
    </row>
    <row r="5" spans="1:18" ht="15" x14ac:dyDescent="0.25">
      <c r="A5" s="386"/>
      <c r="B5" s="1682" t="s">
        <v>133</v>
      </c>
      <c r="C5" s="1683"/>
      <c r="D5" s="1683"/>
      <c r="E5" s="1683"/>
      <c r="F5" s="1683"/>
      <c r="G5" s="1684"/>
      <c r="H5" s="1682" t="s">
        <v>133</v>
      </c>
      <c r="I5" s="1683"/>
      <c r="J5" s="1683"/>
      <c r="K5" s="1683"/>
      <c r="L5" s="1683"/>
      <c r="M5" s="1684"/>
      <c r="N5" s="1675" t="s">
        <v>133</v>
      </c>
      <c r="O5" s="1676"/>
    </row>
    <row r="6" spans="1:18" ht="15" x14ac:dyDescent="0.25">
      <c r="A6" s="386"/>
      <c r="B6" s="1053" t="s">
        <v>72</v>
      </c>
      <c r="C6" s="1054" t="s">
        <v>68</v>
      </c>
      <c r="D6" s="1054" t="s">
        <v>69</v>
      </c>
      <c r="E6" s="1054" t="s">
        <v>70</v>
      </c>
      <c r="F6" s="1054" t="s">
        <v>178</v>
      </c>
      <c r="G6" s="1055" t="s">
        <v>179</v>
      </c>
      <c r="H6" s="1053" t="s">
        <v>72</v>
      </c>
      <c r="I6" s="1054" t="s">
        <v>68</v>
      </c>
      <c r="J6" s="1054" t="s">
        <v>69</v>
      </c>
      <c r="K6" s="1054" t="s">
        <v>70</v>
      </c>
      <c r="L6" s="1054" t="s">
        <v>178</v>
      </c>
      <c r="M6" s="1055" t="s">
        <v>179</v>
      </c>
      <c r="N6" s="616"/>
      <c r="O6" s="618"/>
    </row>
    <row r="7" spans="1:18" ht="30" x14ac:dyDescent="0.25">
      <c r="A7" s="386"/>
      <c r="B7" s="1063" t="str">
        <f t="shared" ref="B7:G7" si="0">INDEX(TECH_OPT_DESC_Cls1,MATCH(B6,TECH_OPT_ROWS_Cls1,0))</f>
        <v>Conventional gasoline</v>
      </c>
      <c r="C7" s="1064" t="str">
        <f t="shared" si="0"/>
        <v>not used</v>
      </c>
      <c r="D7" s="1064" t="str">
        <f t="shared" si="0"/>
        <v>not used</v>
      </c>
      <c r="E7" s="1064" t="str">
        <f t="shared" si="0"/>
        <v>not used</v>
      </c>
      <c r="F7" s="1064" t="str">
        <f t="shared" si="0"/>
        <v>not used</v>
      </c>
      <c r="G7" s="1065" t="str">
        <f t="shared" si="0"/>
        <v>not used</v>
      </c>
      <c r="H7" s="1063" t="str">
        <f t="shared" ref="H7:M7" si="1">INDEX(TECH_OPT_DESC_Cls2,MATCH(H6,TECH_OPT_ROWS_Cls2,0))</f>
        <v>Conventional Diesel ICE</v>
      </c>
      <c r="I7" s="1064" t="str">
        <f t="shared" si="1"/>
        <v>Adv Conv</v>
      </c>
      <c r="J7" s="1064" t="str">
        <f t="shared" si="1"/>
        <v>HEV</v>
      </c>
      <c r="K7" s="1064" t="str">
        <f t="shared" si="1"/>
        <v>BEV</v>
      </c>
      <c r="L7" s="1064" t="str">
        <f t="shared" si="1"/>
        <v>FCEV</v>
      </c>
      <c r="M7" s="1065" t="str">
        <f t="shared" si="1"/>
        <v>PHEV</v>
      </c>
      <c r="N7" s="638" t="s">
        <v>72</v>
      </c>
      <c r="O7" s="398" t="s">
        <v>144</v>
      </c>
    </row>
    <row r="8" spans="1:18" ht="15.75" thickBot="1" x14ac:dyDescent="0.3">
      <c r="A8" s="390" t="s">
        <v>3</v>
      </c>
      <c r="B8" s="1059" t="str">
        <f t="shared" ref="B8:G8" si="2">INDEX(TECH_OPT_FUEL1_Cls1,MATCH(B6,TECH_OPT_ROWS_Cls1,0))</f>
        <v>Diesel</v>
      </c>
      <c r="C8" s="1060" t="str">
        <f t="shared" si="2"/>
        <v>Diesel</v>
      </c>
      <c r="D8" s="1060" t="str">
        <f t="shared" si="2"/>
        <v>Diesel</v>
      </c>
      <c r="E8" s="1060" t="str">
        <f t="shared" si="2"/>
        <v>Diesel</v>
      </c>
      <c r="F8" s="1060" t="str">
        <f t="shared" si="2"/>
        <v>Electricity</v>
      </c>
      <c r="G8" s="1061" t="str">
        <f t="shared" si="2"/>
        <v>Hydrogen</v>
      </c>
      <c r="H8" s="1059" t="str">
        <f t="shared" ref="H8:M8" si="3">INDEX(TECH_OPT_FUEL1_Cls2,MATCH(H6,TECH_OPT_ROWS_Cls2,0))</f>
        <v>Diesel</v>
      </c>
      <c r="I8" s="1060" t="str">
        <f t="shared" si="3"/>
        <v>Diesel</v>
      </c>
      <c r="J8" s="1060" t="str">
        <f t="shared" si="3"/>
        <v>Diesel</v>
      </c>
      <c r="K8" s="1060" t="str">
        <f t="shared" si="3"/>
        <v>Electricity</v>
      </c>
      <c r="L8" s="1060" t="str">
        <f t="shared" si="3"/>
        <v>Hydrogen</v>
      </c>
      <c r="M8" s="1061" t="str">
        <f t="shared" si="3"/>
        <v>Diesel</v>
      </c>
      <c r="N8" s="400"/>
      <c r="O8" s="399"/>
    </row>
    <row r="9" spans="1:18" ht="15.75" thickTop="1" x14ac:dyDescent="0.25">
      <c r="A9" s="388">
        <v>2007</v>
      </c>
      <c r="B9" s="401">
        <f>'Market Data'!$E$52*'Mkt Pen Veh-Mi'!B9</f>
        <v>7.400342734044256E-2</v>
      </c>
      <c r="C9" s="402">
        <f>'Market Data'!$E$52*'Mkt Pen Veh-Mi'!C9</f>
        <v>0</v>
      </c>
      <c r="D9" s="402">
        <f>'Market Data'!$E$52*'Mkt Pen Veh-Mi'!D9</f>
        <v>0</v>
      </c>
      <c r="E9" s="665">
        <f>'Market Data'!$E$52*'Mkt Pen Veh-Mi'!E9</f>
        <v>0</v>
      </c>
      <c r="F9" s="665">
        <f>'Market Data'!$E$52*'Mkt Pen Veh-Mi'!F9</f>
        <v>0</v>
      </c>
      <c r="G9" s="670">
        <f>'Market Data'!$E$52*'Mkt Pen Veh-Mi'!G9</f>
        <v>0</v>
      </c>
      <c r="H9" s="401">
        <f>'Market Data'!$O$52*'Mkt Pen Veh-Mi'!H9</f>
        <v>0.92599657265955737</v>
      </c>
      <c r="I9" s="402">
        <f>'Market Data'!$O$52*'Mkt Pen Veh-Mi'!I9</f>
        <v>0</v>
      </c>
      <c r="J9" s="402">
        <f>'Market Data'!$O$52*'Mkt Pen Veh-Mi'!J9</f>
        <v>0</v>
      </c>
      <c r="K9" s="665">
        <f>'Market Data'!$O$52*'Mkt Pen Veh-Mi'!K9</f>
        <v>0</v>
      </c>
      <c r="L9" s="665">
        <f>'Market Data'!$O$52*'Mkt Pen Veh-Mi'!L9</f>
        <v>0</v>
      </c>
      <c r="M9" s="670">
        <f>'Market Data'!$O$52*'Mkt Pen Veh-Mi'!M9</f>
        <v>0</v>
      </c>
      <c r="N9" s="401">
        <f>B9+H9</f>
        <v>0.99999999999999989</v>
      </c>
      <c r="O9" s="403">
        <f>SUM(C9:G9)+SUM(I9:M9)</f>
        <v>0</v>
      </c>
      <c r="R9" s="126"/>
    </row>
    <row r="10" spans="1:18" ht="15" x14ac:dyDescent="0.25">
      <c r="A10" s="388">
        <v>2008</v>
      </c>
      <c r="B10" s="404">
        <f>'Market Data'!$E$52*'Mkt Pen Veh-Mi'!B10</f>
        <v>7.400342734044256E-2</v>
      </c>
      <c r="C10" s="405">
        <f>'Market Data'!$E$52*'Mkt Pen Veh-Mi'!C10</f>
        <v>0</v>
      </c>
      <c r="D10" s="405">
        <f>'Market Data'!$E$52*'Mkt Pen Veh-Mi'!D10</f>
        <v>0</v>
      </c>
      <c r="E10" s="666">
        <f>'Market Data'!$E$52*'Mkt Pen Veh-Mi'!E10</f>
        <v>0</v>
      </c>
      <c r="F10" s="666">
        <f>'Market Data'!$E$52*'Mkt Pen Veh-Mi'!F10</f>
        <v>0</v>
      </c>
      <c r="G10" s="671">
        <f>'Market Data'!$E$52*'Mkt Pen Veh-Mi'!G10</f>
        <v>0</v>
      </c>
      <c r="H10" s="404">
        <f>'Market Data'!$O$52*'Mkt Pen Veh-Mi'!H10</f>
        <v>0.92599657265955737</v>
      </c>
      <c r="I10" s="405">
        <f>'Market Data'!$O$52*'Mkt Pen Veh-Mi'!I10</f>
        <v>0</v>
      </c>
      <c r="J10" s="405">
        <f>'Market Data'!$O$52*'Mkt Pen Veh-Mi'!J10</f>
        <v>0</v>
      </c>
      <c r="K10" s="666">
        <f>'Market Data'!$O$52*'Mkt Pen Veh-Mi'!K10</f>
        <v>0</v>
      </c>
      <c r="L10" s="666">
        <f>'Market Data'!$O$52*'Mkt Pen Veh-Mi'!L10</f>
        <v>0</v>
      </c>
      <c r="M10" s="671">
        <f>'Market Data'!$O$52*'Mkt Pen Veh-Mi'!M10</f>
        <v>0</v>
      </c>
      <c r="N10" s="404">
        <f t="shared" ref="N10:N52" si="4">B10+H10</f>
        <v>0.99999999999999989</v>
      </c>
      <c r="O10" s="406">
        <f t="shared" ref="O10:O52" si="5">SUM(C10:G10)+SUM(I10:M10)</f>
        <v>0</v>
      </c>
      <c r="R10" s="126"/>
    </row>
    <row r="11" spans="1:18" ht="15" x14ac:dyDescent="0.25">
      <c r="A11" s="388">
        <v>2009</v>
      </c>
      <c r="B11" s="404">
        <f>'Market Data'!$E$52*'Mkt Pen Veh-Mi'!B11</f>
        <v>7.400342734044256E-2</v>
      </c>
      <c r="C11" s="405">
        <f>'Market Data'!$E$52*'Mkt Pen Veh-Mi'!C11</f>
        <v>0</v>
      </c>
      <c r="D11" s="405">
        <f>'Market Data'!$E$52*'Mkt Pen Veh-Mi'!D11</f>
        <v>0</v>
      </c>
      <c r="E11" s="666">
        <f>'Market Data'!$E$52*'Mkt Pen Veh-Mi'!E11</f>
        <v>0</v>
      </c>
      <c r="F11" s="666">
        <f>'Market Data'!$E$52*'Mkt Pen Veh-Mi'!F11</f>
        <v>0</v>
      </c>
      <c r="G11" s="671">
        <f>'Market Data'!$E$52*'Mkt Pen Veh-Mi'!G11</f>
        <v>0</v>
      </c>
      <c r="H11" s="404">
        <f>'Market Data'!$O$52*'Mkt Pen Veh-Mi'!H11</f>
        <v>0.92599657265955737</v>
      </c>
      <c r="I11" s="405">
        <f>'Market Data'!$O$52*'Mkt Pen Veh-Mi'!I11</f>
        <v>0</v>
      </c>
      <c r="J11" s="405">
        <f>'Market Data'!$O$52*'Mkt Pen Veh-Mi'!J11</f>
        <v>0</v>
      </c>
      <c r="K11" s="666">
        <f>'Market Data'!$O$52*'Mkt Pen Veh-Mi'!K11</f>
        <v>0</v>
      </c>
      <c r="L11" s="666">
        <f>'Market Data'!$O$52*'Mkt Pen Veh-Mi'!L11</f>
        <v>0</v>
      </c>
      <c r="M11" s="671">
        <f>'Market Data'!$O$52*'Mkt Pen Veh-Mi'!M11</f>
        <v>0</v>
      </c>
      <c r="N11" s="404">
        <f t="shared" si="4"/>
        <v>0.99999999999999989</v>
      </c>
      <c r="O11" s="406">
        <f t="shared" si="5"/>
        <v>0</v>
      </c>
      <c r="R11" s="126"/>
    </row>
    <row r="12" spans="1:18" ht="15" x14ac:dyDescent="0.25">
      <c r="A12" s="388">
        <v>2010</v>
      </c>
      <c r="B12" s="407">
        <f>'Market Data'!$E$52*'Mkt Pen Veh-Mi'!B12</f>
        <v>7.400342734044256E-2</v>
      </c>
      <c r="C12" s="408">
        <f>'Market Data'!$E$52*'Mkt Pen Veh-Mi'!C12</f>
        <v>0</v>
      </c>
      <c r="D12" s="408">
        <f>'Market Data'!$E$52*'Mkt Pen Veh-Mi'!D12</f>
        <v>0</v>
      </c>
      <c r="E12" s="667">
        <f>'Market Data'!$E$52*'Mkt Pen Veh-Mi'!E12</f>
        <v>0</v>
      </c>
      <c r="F12" s="667">
        <f>'Market Data'!$E$52*'Mkt Pen Veh-Mi'!F12</f>
        <v>0</v>
      </c>
      <c r="G12" s="672">
        <f>'Market Data'!$E$52*'Mkt Pen Veh-Mi'!G12</f>
        <v>0</v>
      </c>
      <c r="H12" s="407">
        <f>'Market Data'!$O$52*'Mkt Pen Veh-Mi'!H12</f>
        <v>0.92599657265955737</v>
      </c>
      <c r="I12" s="408">
        <f>'Market Data'!$O$52*'Mkt Pen Veh-Mi'!I12</f>
        <v>0</v>
      </c>
      <c r="J12" s="408">
        <f>'Market Data'!$O$52*'Mkt Pen Veh-Mi'!J12</f>
        <v>0</v>
      </c>
      <c r="K12" s="667">
        <f>'Market Data'!$O$52*'Mkt Pen Veh-Mi'!K12</f>
        <v>0</v>
      </c>
      <c r="L12" s="667">
        <f>'Market Data'!$O$52*'Mkt Pen Veh-Mi'!L12</f>
        <v>0</v>
      </c>
      <c r="M12" s="672">
        <f>'Market Data'!$O$52*'Mkt Pen Veh-Mi'!M12</f>
        <v>0</v>
      </c>
      <c r="N12" s="407">
        <f t="shared" si="4"/>
        <v>0.99999999999999989</v>
      </c>
      <c r="O12" s="409">
        <f t="shared" si="5"/>
        <v>0</v>
      </c>
      <c r="R12" s="126"/>
    </row>
    <row r="13" spans="1:18" ht="15" x14ac:dyDescent="0.25">
      <c r="A13" s="410">
        <v>2011</v>
      </c>
      <c r="B13" s="411">
        <f>'Market Data'!$E$52*'Mkt Pen Veh-Mi'!B13</f>
        <v>7.400342734044256E-2</v>
      </c>
      <c r="C13" s="412">
        <f>'Market Data'!$E$52*'Mkt Pen Veh-Mi'!C13</f>
        <v>0</v>
      </c>
      <c r="D13" s="412">
        <f>'Market Data'!$E$52*'Mkt Pen Veh-Mi'!D13</f>
        <v>0</v>
      </c>
      <c r="E13" s="668">
        <f>'Market Data'!$E$52*'Mkt Pen Veh-Mi'!E13</f>
        <v>0</v>
      </c>
      <c r="F13" s="668">
        <f>'Market Data'!$E$52*'Mkt Pen Veh-Mi'!F13</f>
        <v>0</v>
      </c>
      <c r="G13" s="673">
        <f>'Market Data'!$E$52*'Mkt Pen Veh-Mi'!G13</f>
        <v>0</v>
      </c>
      <c r="H13" s="411">
        <f>'Market Data'!$O$52*'Mkt Pen Veh-Mi'!H13</f>
        <v>0.92599657265955737</v>
      </c>
      <c r="I13" s="412">
        <f>'Market Data'!$O$52*'Mkt Pen Veh-Mi'!I13</f>
        <v>0</v>
      </c>
      <c r="J13" s="412">
        <f>'Market Data'!$O$52*'Mkt Pen Veh-Mi'!J13</f>
        <v>0</v>
      </c>
      <c r="K13" s="668">
        <f>'Market Data'!$O$52*'Mkt Pen Veh-Mi'!K13</f>
        <v>0</v>
      </c>
      <c r="L13" s="668">
        <f>'Market Data'!$O$52*'Mkt Pen Veh-Mi'!L13</f>
        <v>0</v>
      </c>
      <c r="M13" s="673">
        <f>'Market Data'!$O$52*'Mkt Pen Veh-Mi'!M13</f>
        <v>0</v>
      </c>
      <c r="N13" s="414">
        <f t="shared" si="4"/>
        <v>0.99999999999999989</v>
      </c>
      <c r="O13" s="415">
        <f t="shared" si="5"/>
        <v>0</v>
      </c>
      <c r="R13" s="126"/>
    </row>
    <row r="14" spans="1:18" ht="15" x14ac:dyDescent="0.25">
      <c r="A14" s="388">
        <v>2012</v>
      </c>
      <c r="B14" s="404">
        <f>'Market Data'!$E$52*'Mkt Pen Veh-Mi'!B14</f>
        <v>7.400342734044256E-2</v>
      </c>
      <c r="C14" s="405">
        <f>'Market Data'!$E$52*'Mkt Pen Veh-Mi'!C14</f>
        <v>0</v>
      </c>
      <c r="D14" s="405">
        <f>'Market Data'!$E$52*'Mkt Pen Veh-Mi'!D14</f>
        <v>0</v>
      </c>
      <c r="E14" s="666">
        <f>'Market Data'!$E$52*'Mkt Pen Veh-Mi'!E14</f>
        <v>0</v>
      </c>
      <c r="F14" s="666">
        <f>'Market Data'!$E$52*'Mkt Pen Veh-Mi'!F14</f>
        <v>0</v>
      </c>
      <c r="G14" s="671">
        <f>'Market Data'!$E$52*'Mkt Pen Veh-Mi'!G14</f>
        <v>0</v>
      </c>
      <c r="H14" s="404">
        <f>'Market Data'!$O$52*'Mkt Pen Veh-Mi'!H14</f>
        <v>0.92599657265955737</v>
      </c>
      <c r="I14" s="405">
        <f>'Market Data'!$O$52*'Mkt Pen Veh-Mi'!I14</f>
        <v>0</v>
      </c>
      <c r="J14" s="405">
        <f>'Market Data'!$O$52*'Mkt Pen Veh-Mi'!J14</f>
        <v>0</v>
      </c>
      <c r="K14" s="666">
        <f>'Market Data'!$O$52*'Mkt Pen Veh-Mi'!K14</f>
        <v>0</v>
      </c>
      <c r="L14" s="666">
        <f>'Market Data'!$O$52*'Mkt Pen Veh-Mi'!L14</f>
        <v>0</v>
      </c>
      <c r="M14" s="671">
        <f>'Market Data'!$O$52*'Mkt Pen Veh-Mi'!M14</f>
        <v>0</v>
      </c>
      <c r="N14" s="404">
        <f t="shared" si="4"/>
        <v>0.99999999999999989</v>
      </c>
      <c r="O14" s="406">
        <f t="shared" si="5"/>
        <v>0</v>
      </c>
      <c r="R14" s="126"/>
    </row>
    <row r="15" spans="1:18" ht="15" x14ac:dyDescent="0.25">
      <c r="A15" s="388">
        <v>2013</v>
      </c>
      <c r="B15" s="404">
        <f>'Market Data'!$E$52*'Mkt Pen Veh-Mi'!B15</f>
        <v>7.400342734044256E-2</v>
      </c>
      <c r="C15" s="405">
        <f>'Market Data'!$E$52*'Mkt Pen Veh-Mi'!C15</f>
        <v>0</v>
      </c>
      <c r="D15" s="405">
        <f>'Market Data'!$E$52*'Mkt Pen Veh-Mi'!D15</f>
        <v>0</v>
      </c>
      <c r="E15" s="666">
        <f>'Market Data'!$E$52*'Mkt Pen Veh-Mi'!E15</f>
        <v>0</v>
      </c>
      <c r="F15" s="666">
        <f>'Market Data'!$E$52*'Mkt Pen Veh-Mi'!F15</f>
        <v>0</v>
      </c>
      <c r="G15" s="671">
        <f>'Market Data'!$E$52*'Mkt Pen Veh-Mi'!G15</f>
        <v>0</v>
      </c>
      <c r="H15" s="404">
        <f>'Market Data'!$O$52*'Mkt Pen Veh-Mi'!H15</f>
        <v>0.92599657265955737</v>
      </c>
      <c r="I15" s="405">
        <f>'Market Data'!$O$52*'Mkt Pen Veh-Mi'!I15</f>
        <v>0</v>
      </c>
      <c r="J15" s="405">
        <f>'Market Data'!$O$52*'Mkt Pen Veh-Mi'!J15</f>
        <v>0</v>
      </c>
      <c r="K15" s="666">
        <f>'Market Data'!$O$52*'Mkt Pen Veh-Mi'!K15</f>
        <v>0</v>
      </c>
      <c r="L15" s="666">
        <f>'Market Data'!$O$52*'Mkt Pen Veh-Mi'!L15</f>
        <v>0</v>
      </c>
      <c r="M15" s="671">
        <f>'Market Data'!$O$52*'Mkt Pen Veh-Mi'!M15</f>
        <v>0</v>
      </c>
      <c r="N15" s="404">
        <f t="shared" si="4"/>
        <v>0.99999999999999989</v>
      </c>
      <c r="O15" s="406">
        <f t="shared" si="5"/>
        <v>0</v>
      </c>
      <c r="R15" s="126"/>
    </row>
    <row r="16" spans="1:18" ht="15" x14ac:dyDescent="0.25">
      <c r="A16" s="388">
        <v>2014</v>
      </c>
      <c r="B16" s="404">
        <f>'Market Data'!$E$52*'Mkt Pen Veh-Mi'!B16</f>
        <v>7.400342734044256E-2</v>
      </c>
      <c r="C16" s="405">
        <f>'Market Data'!$E$52*'Mkt Pen Veh-Mi'!C16</f>
        <v>0</v>
      </c>
      <c r="D16" s="405">
        <f>'Market Data'!$E$52*'Mkt Pen Veh-Mi'!D16</f>
        <v>0</v>
      </c>
      <c r="E16" s="666">
        <f>'Market Data'!$E$52*'Mkt Pen Veh-Mi'!E16</f>
        <v>0</v>
      </c>
      <c r="F16" s="666">
        <f>'Market Data'!$E$52*'Mkt Pen Veh-Mi'!F16</f>
        <v>0</v>
      </c>
      <c r="G16" s="671">
        <f>'Market Data'!$E$52*'Mkt Pen Veh-Mi'!G16</f>
        <v>0</v>
      </c>
      <c r="H16" s="404">
        <f>'Market Data'!$O$52*'Mkt Pen Veh-Mi'!H16</f>
        <v>0.92599657265955737</v>
      </c>
      <c r="I16" s="405">
        <f>'Market Data'!$O$52*'Mkt Pen Veh-Mi'!I16</f>
        <v>0</v>
      </c>
      <c r="J16" s="405">
        <f>'Market Data'!$O$52*'Mkt Pen Veh-Mi'!J16</f>
        <v>0</v>
      </c>
      <c r="K16" s="666">
        <f>'Market Data'!$O$52*'Mkt Pen Veh-Mi'!K16</f>
        <v>0</v>
      </c>
      <c r="L16" s="666">
        <f>'Market Data'!$O$52*'Mkt Pen Veh-Mi'!L16</f>
        <v>0</v>
      </c>
      <c r="M16" s="671">
        <f>'Market Data'!$O$52*'Mkt Pen Veh-Mi'!M16</f>
        <v>0</v>
      </c>
      <c r="N16" s="404">
        <f t="shared" si="4"/>
        <v>0.99999999999999989</v>
      </c>
      <c r="O16" s="406">
        <f t="shared" si="5"/>
        <v>0</v>
      </c>
      <c r="R16" s="126"/>
    </row>
    <row r="17" spans="1:18" ht="15" x14ac:dyDescent="0.25">
      <c r="A17" s="387">
        <v>2015</v>
      </c>
      <c r="B17" s="407">
        <f>'Market Data'!$E$52*'Mkt Pen Veh-Mi'!B17</f>
        <v>7.400342734044256E-2</v>
      </c>
      <c r="C17" s="408">
        <f>'Market Data'!$E$52*'Mkt Pen Veh-Mi'!C17</f>
        <v>0</v>
      </c>
      <c r="D17" s="408">
        <f>'Market Data'!$E$52*'Mkt Pen Veh-Mi'!D17</f>
        <v>0</v>
      </c>
      <c r="E17" s="667">
        <f>'Market Data'!$E$52*'Mkt Pen Veh-Mi'!E17</f>
        <v>0</v>
      </c>
      <c r="F17" s="667">
        <f>'Market Data'!$E$52*'Mkt Pen Veh-Mi'!F17</f>
        <v>0</v>
      </c>
      <c r="G17" s="672">
        <f>'Market Data'!$E$52*'Mkt Pen Veh-Mi'!G17</f>
        <v>0</v>
      </c>
      <c r="H17" s="407">
        <f>'Market Data'!$O$52*'Mkt Pen Veh-Mi'!H17</f>
        <v>0.92599657265955737</v>
      </c>
      <c r="I17" s="408">
        <f>'Market Data'!$O$52*'Mkt Pen Veh-Mi'!I17</f>
        <v>0</v>
      </c>
      <c r="J17" s="408">
        <f>'Market Data'!$O$52*'Mkt Pen Veh-Mi'!J17</f>
        <v>0</v>
      </c>
      <c r="K17" s="667">
        <f>'Market Data'!$O$52*'Mkt Pen Veh-Mi'!K17</f>
        <v>0</v>
      </c>
      <c r="L17" s="667">
        <f>'Market Data'!$O$52*'Mkt Pen Veh-Mi'!L17</f>
        <v>0</v>
      </c>
      <c r="M17" s="672">
        <f>'Market Data'!$O$52*'Mkt Pen Veh-Mi'!M17</f>
        <v>0</v>
      </c>
      <c r="N17" s="407">
        <f t="shared" si="4"/>
        <v>0.99999999999999989</v>
      </c>
      <c r="O17" s="409">
        <f t="shared" si="5"/>
        <v>0</v>
      </c>
      <c r="R17" s="126"/>
    </row>
    <row r="18" spans="1:18" ht="15" x14ac:dyDescent="0.25">
      <c r="A18" s="410">
        <v>2016</v>
      </c>
      <c r="B18" s="411">
        <f>'Market Data'!$E$52*'Mkt Pen Veh-Mi'!B18</f>
        <v>7.400342734044256E-2</v>
      </c>
      <c r="C18" s="412">
        <f>'Market Data'!$E$52*'Mkt Pen Veh-Mi'!C18</f>
        <v>0</v>
      </c>
      <c r="D18" s="412">
        <f>'Market Data'!$E$52*'Mkt Pen Veh-Mi'!D18</f>
        <v>0</v>
      </c>
      <c r="E18" s="668">
        <f>'Market Data'!$E$52*'Mkt Pen Veh-Mi'!E18</f>
        <v>0</v>
      </c>
      <c r="F18" s="668">
        <f>'Market Data'!$E$52*'Mkt Pen Veh-Mi'!F18</f>
        <v>0</v>
      </c>
      <c r="G18" s="673">
        <f>'Market Data'!$E$52*'Mkt Pen Veh-Mi'!G18</f>
        <v>0</v>
      </c>
      <c r="H18" s="411">
        <f>'Market Data'!$O$52*'Mkt Pen Veh-Mi'!H18</f>
        <v>0.92599657265955737</v>
      </c>
      <c r="I18" s="412">
        <f>'Market Data'!$O$52*'Mkt Pen Veh-Mi'!I18</f>
        <v>0</v>
      </c>
      <c r="J18" s="412">
        <f>'Market Data'!$O$52*'Mkt Pen Veh-Mi'!J18</f>
        <v>0</v>
      </c>
      <c r="K18" s="668">
        <f>'Market Data'!$O$52*'Mkt Pen Veh-Mi'!K18</f>
        <v>0</v>
      </c>
      <c r="L18" s="668">
        <f>'Market Data'!$O$52*'Mkt Pen Veh-Mi'!L18</f>
        <v>0</v>
      </c>
      <c r="M18" s="673">
        <f>'Market Data'!$O$52*'Mkt Pen Veh-Mi'!M18</f>
        <v>0</v>
      </c>
      <c r="N18" s="414">
        <f t="shared" si="4"/>
        <v>0.99999999999999989</v>
      </c>
      <c r="O18" s="415">
        <f t="shared" si="5"/>
        <v>0</v>
      </c>
      <c r="R18" s="126"/>
    </row>
    <row r="19" spans="1:18" ht="15" x14ac:dyDescent="0.25">
      <c r="A19" s="388">
        <v>2017</v>
      </c>
      <c r="B19" s="404">
        <f>'Market Data'!$E$52*'Mkt Pen Veh-Mi'!B19</f>
        <v>7.400342734044256E-2</v>
      </c>
      <c r="C19" s="405">
        <f>'Market Data'!$E$52*'Mkt Pen Veh-Mi'!C19</f>
        <v>0</v>
      </c>
      <c r="D19" s="405">
        <f>'Market Data'!$E$52*'Mkt Pen Veh-Mi'!D19</f>
        <v>0</v>
      </c>
      <c r="E19" s="666">
        <f>'Market Data'!$E$52*'Mkt Pen Veh-Mi'!E19</f>
        <v>0</v>
      </c>
      <c r="F19" s="666">
        <f>'Market Data'!$E$52*'Mkt Pen Veh-Mi'!F19</f>
        <v>0</v>
      </c>
      <c r="G19" s="671">
        <f>'Market Data'!$E$52*'Mkt Pen Veh-Mi'!G19</f>
        <v>0</v>
      </c>
      <c r="H19" s="404">
        <f>'Market Data'!$O$52*'Mkt Pen Veh-Mi'!H19</f>
        <v>0.92599657265955737</v>
      </c>
      <c r="I19" s="405">
        <f>'Market Data'!$O$52*'Mkt Pen Veh-Mi'!I19</f>
        <v>0</v>
      </c>
      <c r="J19" s="405">
        <f>'Market Data'!$O$52*'Mkt Pen Veh-Mi'!J19</f>
        <v>0</v>
      </c>
      <c r="K19" s="666">
        <f>'Market Data'!$O$52*'Mkt Pen Veh-Mi'!K19</f>
        <v>0</v>
      </c>
      <c r="L19" s="666">
        <f>'Market Data'!$O$52*'Mkt Pen Veh-Mi'!L19</f>
        <v>0</v>
      </c>
      <c r="M19" s="671">
        <f>'Market Data'!$O$52*'Mkt Pen Veh-Mi'!M19</f>
        <v>0</v>
      </c>
      <c r="N19" s="404">
        <f t="shared" si="4"/>
        <v>0.99999999999999989</v>
      </c>
      <c r="O19" s="406">
        <f t="shared" si="5"/>
        <v>0</v>
      </c>
      <c r="R19" s="126"/>
    </row>
    <row r="20" spans="1:18" ht="15" x14ac:dyDescent="0.25">
      <c r="A20" s="388">
        <v>2018</v>
      </c>
      <c r="B20" s="404">
        <f>'Market Data'!$E$52*'Mkt Pen Veh-Mi'!B20</f>
        <v>7.400342734044256E-2</v>
      </c>
      <c r="C20" s="405">
        <f>'Market Data'!$E$52*'Mkt Pen Veh-Mi'!C20</f>
        <v>0</v>
      </c>
      <c r="D20" s="405">
        <f>'Market Data'!$E$52*'Mkt Pen Veh-Mi'!D20</f>
        <v>0</v>
      </c>
      <c r="E20" s="666">
        <f>'Market Data'!$E$52*'Mkt Pen Veh-Mi'!E20</f>
        <v>0</v>
      </c>
      <c r="F20" s="666">
        <f>'Market Data'!$E$52*'Mkt Pen Veh-Mi'!F20</f>
        <v>0</v>
      </c>
      <c r="G20" s="671">
        <f>'Market Data'!$E$52*'Mkt Pen Veh-Mi'!G20</f>
        <v>0</v>
      </c>
      <c r="H20" s="404">
        <f>'Market Data'!$O$52*'Mkt Pen Veh-Mi'!H20</f>
        <v>0.92599657265955737</v>
      </c>
      <c r="I20" s="405">
        <f>'Market Data'!$O$52*'Mkt Pen Veh-Mi'!I20</f>
        <v>0</v>
      </c>
      <c r="J20" s="405">
        <f>'Market Data'!$O$52*'Mkt Pen Veh-Mi'!J20</f>
        <v>0</v>
      </c>
      <c r="K20" s="666">
        <f>'Market Data'!$O$52*'Mkt Pen Veh-Mi'!K20</f>
        <v>0</v>
      </c>
      <c r="L20" s="666">
        <f>'Market Data'!$O$52*'Mkt Pen Veh-Mi'!L20</f>
        <v>0</v>
      </c>
      <c r="M20" s="671">
        <f>'Market Data'!$O$52*'Mkt Pen Veh-Mi'!M20</f>
        <v>0</v>
      </c>
      <c r="N20" s="404">
        <f t="shared" si="4"/>
        <v>0.99999999999999989</v>
      </c>
      <c r="O20" s="406">
        <f t="shared" si="5"/>
        <v>0</v>
      </c>
      <c r="R20" s="126"/>
    </row>
    <row r="21" spans="1:18" ht="15" x14ac:dyDescent="0.25">
      <c r="A21" s="388">
        <v>2019</v>
      </c>
      <c r="B21" s="404">
        <f>'Market Data'!$E$52*'Mkt Pen Veh-Mi'!B21</f>
        <v>7.400342734044256E-2</v>
      </c>
      <c r="C21" s="405">
        <f>'Market Data'!$E$52*'Mkt Pen Veh-Mi'!C21</f>
        <v>0</v>
      </c>
      <c r="D21" s="405">
        <f>'Market Data'!$E$52*'Mkt Pen Veh-Mi'!D21</f>
        <v>0</v>
      </c>
      <c r="E21" s="666">
        <f>'Market Data'!$E$52*'Mkt Pen Veh-Mi'!E21</f>
        <v>0</v>
      </c>
      <c r="F21" s="666">
        <f>'Market Data'!$E$52*'Mkt Pen Veh-Mi'!F21</f>
        <v>0</v>
      </c>
      <c r="G21" s="671">
        <f>'Market Data'!$E$52*'Mkt Pen Veh-Mi'!G21</f>
        <v>0</v>
      </c>
      <c r="H21" s="404">
        <f>'Market Data'!$O$52*'Mkt Pen Veh-Mi'!H21</f>
        <v>0.92599657265955737</v>
      </c>
      <c r="I21" s="405">
        <f>'Market Data'!$O$52*'Mkt Pen Veh-Mi'!I21</f>
        <v>0</v>
      </c>
      <c r="J21" s="405">
        <f>'Market Data'!$O$52*'Mkt Pen Veh-Mi'!J21</f>
        <v>0</v>
      </c>
      <c r="K21" s="666">
        <f>'Market Data'!$O$52*'Mkt Pen Veh-Mi'!K21</f>
        <v>0</v>
      </c>
      <c r="L21" s="666">
        <f>'Market Data'!$O$52*'Mkt Pen Veh-Mi'!L21</f>
        <v>0</v>
      </c>
      <c r="M21" s="671">
        <f>'Market Data'!$O$52*'Mkt Pen Veh-Mi'!M21</f>
        <v>0</v>
      </c>
      <c r="N21" s="404">
        <f t="shared" si="4"/>
        <v>0.99999999999999989</v>
      </c>
      <c r="O21" s="406">
        <f t="shared" si="5"/>
        <v>0</v>
      </c>
      <c r="R21" s="126"/>
    </row>
    <row r="22" spans="1:18" ht="15" x14ac:dyDescent="0.25">
      <c r="A22" s="387">
        <v>2020</v>
      </c>
      <c r="B22" s="407">
        <f>'Market Data'!$E$52*'Mkt Pen Veh-Mi'!B22</f>
        <v>7.400342734044256E-2</v>
      </c>
      <c r="C22" s="408">
        <f>'Market Data'!$E$52*'Mkt Pen Veh-Mi'!C22</f>
        <v>0</v>
      </c>
      <c r="D22" s="408">
        <f>'Market Data'!$E$52*'Mkt Pen Veh-Mi'!D22</f>
        <v>0</v>
      </c>
      <c r="E22" s="667">
        <f>'Market Data'!$E$52*'Mkt Pen Veh-Mi'!E22</f>
        <v>0</v>
      </c>
      <c r="F22" s="667">
        <f>'Market Data'!$E$52*'Mkt Pen Veh-Mi'!F22</f>
        <v>0</v>
      </c>
      <c r="G22" s="672">
        <f>'Market Data'!$E$52*'Mkt Pen Veh-Mi'!G22</f>
        <v>0</v>
      </c>
      <c r="H22" s="407">
        <f>'Market Data'!$O$52*'Mkt Pen Veh-Mi'!H22</f>
        <v>0.92599657265955737</v>
      </c>
      <c r="I22" s="408">
        <f>'Market Data'!$O$52*'Mkt Pen Veh-Mi'!I22</f>
        <v>0</v>
      </c>
      <c r="J22" s="408">
        <f>'Market Data'!$O$52*'Mkt Pen Veh-Mi'!J22</f>
        <v>0</v>
      </c>
      <c r="K22" s="667">
        <f>'Market Data'!$O$52*'Mkt Pen Veh-Mi'!K22</f>
        <v>0</v>
      </c>
      <c r="L22" s="667">
        <f>'Market Data'!$O$52*'Mkt Pen Veh-Mi'!L22</f>
        <v>0</v>
      </c>
      <c r="M22" s="672">
        <f>'Market Data'!$O$52*'Mkt Pen Veh-Mi'!M22</f>
        <v>0</v>
      </c>
      <c r="N22" s="407">
        <f t="shared" si="4"/>
        <v>0.99999999999999989</v>
      </c>
      <c r="O22" s="409">
        <f t="shared" si="5"/>
        <v>0</v>
      </c>
      <c r="R22" s="126"/>
    </row>
    <row r="23" spans="1:18" ht="15" x14ac:dyDescent="0.25">
      <c r="A23" s="410">
        <v>2021</v>
      </c>
      <c r="B23" s="411">
        <f>'Market Data'!$E$52*'Mkt Pen Veh-Mi'!B23</f>
        <v>7.400342734044256E-2</v>
      </c>
      <c r="C23" s="412">
        <f>'Market Data'!$E$52*'Mkt Pen Veh-Mi'!C23</f>
        <v>0</v>
      </c>
      <c r="D23" s="412">
        <f>'Market Data'!$E$52*'Mkt Pen Veh-Mi'!D23</f>
        <v>0</v>
      </c>
      <c r="E23" s="668">
        <f>'Market Data'!$E$52*'Mkt Pen Veh-Mi'!E23</f>
        <v>0</v>
      </c>
      <c r="F23" s="668">
        <f>'Market Data'!$E$52*'Mkt Pen Veh-Mi'!F23</f>
        <v>0</v>
      </c>
      <c r="G23" s="673">
        <f>'Market Data'!$E$52*'Mkt Pen Veh-Mi'!G23</f>
        <v>0</v>
      </c>
      <c r="H23" s="411">
        <f>'Market Data'!$O$52*'Mkt Pen Veh-Mi'!H23</f>
        <v>0.92599657265955737</v>
      </c>
      <c r="I23" s="412">
        <f>'Market Data'!$O$52*'Mkt Pen Veh-Mi'!I23</f>
        <v>0</v>
      </c>
      <c r="J23" s="412">
        <f>'Market Data'!$O$52*'Mkt Pen Veh-Mi'!J23</f>
        <v>0</v>
      </c>
      <c r="K23" s="668">
        <f>'Market Data'!$O$52*'Mkt Pen Veh-Mi'!K23</f>
        <v>0</v>
      </c>
      <c r="L23" s="668">
        <f>'Market Data'!$O$52*'Mkt Pen Veh-Mi'!L23</f>
        <v>0</v>
      </c>
      <c r="M23" s="673">
        <f>'Market Data'!$O$52*'Mkt Pen Veh-Mi'!M23</f>
        <v>0</v>
      </c>
      <c r="N23" s="414">
        <f t="shared" si="4"/>
        <v>0.99999999999999989</v>
      </c>
      <c r="O23" s="415">
        <f t="shared" si="5"/>
        <v>0</v>
      </c>
      <c r="R23" s="126"/>
    </row>
    <row r="24" spans="1:18" ht="15" x14ac:dyDescent="0.25">
      <c r="A24" s="388">
        <v>2022</v>
      </c>
      <c r="B24" s="404">
        <f>'Market Data'!$E$52*'Mkt Pen Veh-Mi'!B24</f>
        <v>7.400342734044256E-2</v>
      </c>
      <c r="C24" s="405">
        <f>'Market Data'!$E$52*'Mkt Pen Veh-Mi'!C24</f>
        <v>0</v>
      </c>
      <c r="D24" s="405">
        <f>'Market Data'!$E$52*'Mkt Pen Veh-Mi'!D24</f>
        <v>0</v>
      </c>
      <c r="E24" s="666">
        <f>'Market Data'!$E$52*'Mkt Pen Veh-Mi'!E24</f>
        <v>0</v>
      </c>
      <c r="F24" s="666">
        <f>'Market Data'!$E$52*'Mkt Pen Veh-Mi'!F24</f>
        <v>0</v>
      </c>
      <c r="G24" s="671">
        <f>'Market Data'!$E$52*'Mkt Pen Veh-Mi'!G24</f>
        <v>0</v>
      </c>
      <c r="H24" s="404">
        <f>'Market Data'!$O$52*'Mkt Pen Veh-Mi'!H24</f>
        <v>0.92599657265955737</v>
      </c>
      <c r="I24" s="405">
        <f>'Market Data'!$O$52*'Mkt Pen Veh-Mi'!I24</f>
        <v>0</v>
      </c>
      <c r="J24" s="405">
        <f>'Market Data'!$O$52*'Mkt Pen Veh-Mi'!J24</f>
        <v>0</v>
      </c>
      <c r="K24" s="666">
        <f>'Market Data'!$O$52*'Mkt Pen Veh-Mi'!K24</f>
        <v>0</v>
      </c>
      <c r="L24" s="666">
        <f>'Market Data'!$O$52*'Mkt Pen Veh-Mi'!L24</f>
        <v>0</v>
      </c>
      <c r="M24" s="671">
        <f>'Market Data'!$O$52*'Mkt Pen Veh-Mi'!M24</f>
        <v>0</v>
      </c>
      <c r="N24" s="404">
        <f t="shared" si="4"/>
        <v>0.99999999999999989</v>
      </c>
      <c r="O24" s="406">
        <f t="shared" si="5"/>
        <v>0</v>
      </c>
      <c r="R24" s="126"/>
    </row>
    <row r="25" spans="1:18" ht="15" x14ac:dyDescent="0.25">
      <c r="A25" s="388">
        <v>2023</v>
      </c>
      <c r="B25" s="404">
        <f>'Market Data'!$E$52*'Mkt Pen Veh-Mi'!B25</f>
        <v>7.400342734044256E-2</v>
      </c>
      <c r="C25" s="405">
        <f>'Market Data'!$E$52*'Mkt Pen Veh-Mi'!C25</f>
        <v>0</v>
      </c>
      <c r="D25" s="405">
        <f>'Market Data'!$E$52*'Mkt Pen Veh-Mi'!D25</f>
        <v>0</v>
      </c>
      <c r="E25" s="666">
        <f>'Market Data'!$E$52*'Mkt Pen Veh-Mi'!E25</f>
        <v>0</v>
      </c>
      <c r="F25" s="666">
        <f>'Market Data'!$E$52*'Mkt Pen Veh-Mi'!F25</f>
        <v>0</v>
      </c>
      <c r="G25" s="671">
        <f>'Market Data'!$E$52*'Mkt Pen Veh-Mi'!G25</f>
        <v>0</v>
      </c>
      <c r="H25" s="404">
        <f>'Market Data'!$O$52*'Mkt Pen Veh-Mi'!H25</f>
        <v>0.92599657265955737</v>
      </c>
      <c r="I25" s="405">
        <f>'Market Data'!$O$52*'Mkt Pen Veh-Mi'!I25</f>
        <v>0</v>
      </c>
      <c r="J25" s="405">
        <f>'Market Data'!$O$52*'Mkt Pen Veh-Mi'!J25</f>
        <v>0</v>
      </c>
      <c r="K25" s="666">
        <f>'Market Data'!$O$52*'Mkt Pen Veh-Mi'!K25</f>
        <v>0</v>
      </c>
      <c r="L25" s="666">
        <f>'Market Data'!$O$52*'Mkt Pen Veh-Mi'!L25</f>
        <v>0</v>
      </c>
      <c r="M25" s="671">
        <f>'Market Data'!$O$52*'Mkt Pen Veh-Mi'!M25</f>
        <v>0</v>
      </c>
      <c r="N25" s="404">
        <f t="shared" si="4"/>
        <v>0.99999999999999989</v>
      </c>
      <c r="O25" s="406">
        <f t="shared" si="5"/>
        <v>0</v>
      </c>
      <c r="R25" s="126"/>
    </row>
    <row r="26" spans="1:18" ht="15" x14ac:dyDescent="0.25">
      <c r="A26" s="388">
        <v>2024</v>
      </c>
      <c r="B26" s="404">
        <f>'Market Data'!$E$52*'Mkt Pen Veh-Mi'!B26</f>
        <v>7.400342734044256E-2</v>
      </c>
      <c r="C26" s="405">
        <f>'Market Data'!$E$52*'Mkt Pen Veh-Mi'!C26</f>
        <v>0</v>
      </c>
      <c r="D26" s="405">
        <f>'Market Data'!$E$52*'Mkt Pen Veh-Mi'!D26</f>
        <v>0</v>
      </c>
      <c r="E26" s="666">
        <f>'Market Data'!$E$52*'Mkt Pen Veh-Mi'!E26</f>
        <v>0</v>
      </c>
      <c r="F26" s="666">
        <f>'Market Data'!$E$52*'Mkt Pen Veh-Mi'!F26</f>
        <v>0</v>
      </c>
      <c r="G26" s="671">
        <f>'Market Data'!$E$52*'Mkt Pen Veh-Mi'!G26</f>
        <v>0</v>
      </c>
      <c r="H26" s="404">
        <f>'Market Data'!$O$52*'Mkt Pen Veh-Mi'!H26</f>
        <v>0.92599657265955737</v>
      </c>
      <c r="I26" s="405">
        <f>'Market Data'!$O$52*'Mkt Pen Veh-Mi'!I26</f>
        <v>0</v>
      </c>
      <c r="J26" s="405">
        <f>'Market Data'!$O$52*'Mkt Pen Veh-Mi'!J26</f>
        <v>0</v>
      </c>
      <c r="K26" s="666">
        <f>'Market Data'!$O$52*'Mkt Pen Veh-Mi'!K26</f>
        <v>0</v>
      </c>
      <c r="L26" s="666">
        <f>'Market Data'!$O$52*'Mkt Pen Veh-Mi'!L26</f>
        <v>0</v>
      </c>
      <c r="M26" s="671">
        <f>'Market Data'!$O$52*'Mkt Pen Veh-Mi'!M26</f>
        <v>0</v>
      </c>
      <c r="N26" s="404">
        <f t="shared" si="4"/>
        <v>0.99999999999999989</v>
      </c>
      <c r="O26" s="406">
        <f t="shared" si="5"/>
        <v>0</v>
      </c>
      <c r="R26" s="126"/>
    </row>
    <row r="27" spans="1:18" ht="15" x14ac:dyDescent="0.25">
      <c r="A27" s="387">
        <v>2025</v>
      </c>
      <c r="B27" s="407">
        <f>'Market Data'!$E$52*'Mkt Pen Veh-Mi'!B27</f>
        <v>7.400342734044256E-2</v>
      </c>
      <c r="C27" s="408">
        <f>'Market Data'!$E$52*'Mkt Pen Veh-Mi'!C27</f>
        <v>0</v>
      </c>
      <c r="D27" s="408">
        <f>'Market Data'!$E$52*'Mkt Pen Veh-Mi'!D27</f>
        <v>0</v>
      </c>
      <c r="E27" s="667">
        <f>'Market Data'!$E$52*'Mkt Pen Veh-Mi'!E27</f>
        <v>0</v>
      </c>
      <c r="F27" s="667">
        <f>'Market Data'!$E$52*'Mkt Pen Veh-Mi'!F27</f>
        <v>0</v>
      </c>
      <c r="G27" s="672">
        <f>'Market Data'!$E$52*'Mkt Pen Veh-Mi'!G27</f>
        <v>0</v>
      </c>
      <c r="H27" s="407">
        <f>'Market Data'!$O$52*'Mkt Pen Veh-Mi'!H27</f>
        <v>0.92599657265955737</v>
      </c>
      <c r="I27" s="408">
        <f>'Market Data'!$O$52*'Mkt Pen Veh-Mi'!I27</f>
        <v>0</v>
      </c>
      <c r="J27" s="408">
        <f>'Market Data'!$O$52*'Mkt Pen Veh-Mi'!J27</f>
        <v>0</v>
      </c>
      <c r="K27" s="667">
        <f>'Market Data'!$O$52*'Mkt Pen Veh-Mi'!K27</f>
        <v>0</v>
      </c>
      <c r="L27" s="667">
        <f>'Market Data'!$O$52*'Mkt Pen Veh-Mi'!L27</f>
        <v>0</v>
      </c>
      <c r="M27" s="672">
        <f>'Market Data'!$O$52*'Mkt Pen Veh-Mi'!M27</f>
        <v>0</v>
      </c>
      <c r="N27" s="407">
        <f t="shared" si="4"/>
        <v>0.99999999999999989</v>
      </c>
      <c r="O27" s="409">
        <f t="shared" si="5"/>
        <v>0</v>
      </c>
      <c r="R27" s="126"/>
    </row>
    <row r="28" spans="1:18" ht="15" x14ac:dyDescent="0.25">
      <c r="A28" s="410">
        <v>2026</v>
      </c>
      <c r="B28" s="411">
        <f>'Market Data'!$E$52*'Mkt Pen Veh-Mi'!B28</f>
        <v>7.400342734044256E-2</v>
      </c>
      <c r="C28" s="412">
        <f>'Market Data'!$E$52*'Mkt Pen Veh-Mi'!C28</f>
        <v>0</v>
      </c>
      <c r="D28" s="412">
        <f>'Market Data'!$E$52*'Mkt Pen Veh-Mi'!D28</f>
        <v>0</v>
      </c>
      <c r="E28" s="668">
        <f>'Market Data'!$E$52*'Mkt Pen Veh-Mi'!E28</f>
        <v>0</v>
      </c>
      <c r="F28" s="668">
        <f>'Market Data'!$E$52*'Mkt Pen Veh-Mi'!F28</f>
        <v>0</v>
      </c>
      <c r="G28" s="673">
        <f>'Market Data'!$E$52*'Mkt Pen Veh-Mi'!G28</f>
        <v>0</v>
      </c>
      <c r="H28" s="411">
        <f>'Market Data'!$O$52*'Mkt Pen Veh-Mi'!H28</f>
        <v>0.90172267465552325</v>
      </c>
      <c r="I28" s="412">
        <f>'Market Data'!$O$52*'Mkt Pen Veh-Mi'!I28</f>
        <v>1.6629976085588985E-2</v>
      </c>
      <c r="J28" s="412">
        <f>'Market Data'!$O$52*'Mkt Pen Veh-Mi'!J28</f>
        <v>7.639021305291871E-3</v>
      </c>
      <c r="K28" s="668">
        <f>'Market Data'!$O$52*'Mkt Pen Veh-Mi'!K28</f>
        <v>0</v>
      </c>
      <c r="L28" s="668">
        <f>'Market Data'!$O$52*'Mkt Pen Veh-Mi'!L28</f>
        <v>0</v>
      </c>
      <c r="M28" s="673">
        <f>'Market Data'!$O$52*'Mkt Pen Veh-Mi'!M28</f>
        <v>4.900613153331382E-6</v>
      </c>
      <c r="N28" s="414">
        <f t="shared" si="4"/>
        <v>0.97572610199596577</v>
      </c>
      <c r="O28" s="415">
        <f t="shared" si="5"/>
        <v>2.4273898004034188E-2</v>
      </c>
      <c r="R28" s="126"/>
    </row>
    <row r="29" spans="1:18" ht="15" x14ac:dyDescent="0.25">
      <c r="A29" s="388">
        <v>2027</v>
      </c>
      <c r="B29" s="404">
        <f>'Market Data'!$E$52*'Mkt Pen Veh-Mi'!B29</f>
        <v>7.400342734044256E-2</v>
      </c>
      <c r="C29" s="405">
        <f>'Market Data'!$E$52*'Mkt Pen Veh-Mi'!C29</f>
        <v>0</v>
      </c>
      <c r="D29" s="405">
        <f>'Market Data'!$E$52*'Mkt Pen Veh-Mi'!D29</f>
        <v>0</v>
      </c>
      <c r="E29" s="666">
        <f>'Market Data'!$E$52*'Mkt Pen Veh-Mi'!E29</f>
        <v>0</v>
      </c>
      <c r="F29" s="666">
        <f>'Market Data'!$E$52*'Mkt Pen Veh-Mi'!F29</f>
        <v>0</v>
      </c>
      <c r="G29" s="671">
        <f>'Market Data'!$E$52*'Mkt Pen Veh-Mi'!G29</f>
        <v>0</v>
      </c>
      <c r="H29" s="404">
        <f>'Market Data'!$O$52*'Mkt Pen Veh-Mi'!H29</f>
        <v>0.87380009115799095</v>
      </c>
      <c r="I29" s="405">
        <f>'Market Data'!$O$52*'Mkt Pen Veh-Mi'!I29</f>
        <v>3.2109572905251543E-2</v>
      </c>
      <c r="J29" s="405">
        <f>'Market Data'!$O$52*'Mkt Pen Veh-Mi'!J29</f>
        <v>2.0031741578717992E-2</v>
      </c>
      <c r="K29" s="666">
        <f>'Market Data'!$O$52*'Mkt Pen Veh-Mi'!K29</f>
        <v>0</v>
      </c>
      <c r="L29" s="666">
        <f>'Market Data'!$O$52*'Mkt Pen Veh-Mi'!L29</f>
        <v>0</v>
      </c>
      <c r="M29" s="671">
        <f>'Market Data'!$O$52*'Mkt Pen Veh-Mi'!M29</f>
        <v>5.5167017596887247E-5</v>
      </c>
      <c r="N29" s="404">
        <f t="shared" si="4"/>
        <v>0.94780351849843347</v>
      </c>
      <c r="O29" s="406">
        <f t="shared" si="5"/>
        <v>5.2196481501566423E-2</v>
      </c>
      <c r="R29" s="126"/>
    </row>
    <row r="30" spans="1:18" ht="15" x14ac:dyDescent="0.25">
      <c r="A30" s="388">
        <v>2028</v>
      </c>
      <c r="B30" s="404">
        <f>'Market Data'!$E$52*'Mkt Pen Veh-Mi'!B30</f>
        <v>7.400342734044256E-2</v>
      </c>
      <c r="C30" s="405">
        <f>'Market Data'!$E$52*'Mkt Pen Veh-Mi'!C30</f>
        <v>0</v>
      </c>
      <c r="D30" s="405">
        <f>'Market Data'!$E$52*'Mkt Pen Veh-Mi'!D30</f>
        <v>0</v>
      </c>
      <c r="E30" s="666">
        <f>'Market Data'!$E$52*'Mkt Pen Veh-Mi'!E30</f>
        <v>0</v>
      </c>
      <c r="F30" s="666">
        <f>'Market Data'!$E$52*'Mkt Pen Veh-Mi'!F30</f>
        <v>0</v>
      </c>
      <c r="G30" s="671">
        <f>'Market Data'!$E$52*'Mkt Pen Veh-Mi'!G30</f>
        <v>0</v>
      </c>
      <c r="H30" s="404">
        <f>'Market Data'!$O$52*'Mkt Pen Veh-Mi'!H30</f>
        <v>0.77192374726143254</v>
      </c>
      <c r="I30" s="405">
        <f>'Market Data'!$O$52*'Mkt Pen Veh-Mi'!I30</f>
        <v>9.9449479195074825E-2</v>
      </c>
      <c r="J30" s="405">
        <f>'Market Data'!$O$52*'Mkt Pen Veh-Mi'!J30</f>
        <v>5.4413283729623223E-2</v>
      </c>
      <c r="K30" s="666">
        <f>'Market Data'!$O$52*'Mkt Pen Veh-Mi'!K30</f>
        <v>0</v>
      </c>
      <c r="L30" s="666">
        <f>'Market Data'!$O$52*'Mkt Pen Veh-Mi'!L30</f>
        <v>5.3042615697323289E-8</v>
      </c>
      <c r="M30" s="671">
        <f>'Market Data'!$O$52*'Mkt Pen Veh-Mi'!M30</f>
        <v>2.1000943081112992E-4</v>
      </c>
      <c r="N30" s="404">
        <f t="shared" si="4"/>
        <v>0.84592717460187505</v>
      </c>
      <c r="O30" s="406">
        <f t="shared" si="5"/>
        <v>0.15407282539812486</v>
      </c>
      <c r="R30" s="126"/>
    </row>
    <row r="31" spans="1:18" ht="15" x14ac:dyDescent="0.25">
      <c r="A31" s="388">
        <v>2029</v>
      </c>
      <c r="B31" s="404">
        <f>'Market Data'!$E$52*'Mkt Pen Veh-Mi'!B31</f>
        <v>7.400342734044256E-2</v>
      </c>
      <c r="C31" s="405">
        <f>'Market Data'!$E$52*'Mkt Pen Veh-Mi'!C31</f>
        <v>0</v>
      </c>
      <c r="D31" s="405">
        <f>'Market Data'!$E$52*'Mkt Pen Veh-Mi'!D31</f>
        <v>0</v>
      </c>
      <c r="E31" s="666">
        <f>'Market Data'!$E$52*'Mkt Pen Veh-Mi'!E31</f>
        <v>0</v>
      </c>
      <c r="F31" s="666">
        <f>'Market Data'!$E$52*'Mkt Pen Veh-Mi'!F31</f>
        <v>0</v>
      </c>
      <c r="G31" s="671">
        <f>'Market Data'!$E$52*'Mkt Pen Veh-Mi'!G31</f>
        <v>0</v>
      </c>
      <c r="H31" s="404">
        <f>'Market Data'!$O$52*'Mkt Pen Veh-Mi'!H31</f>
        <v>0.67419465399628209</v>
      </c>
      <c r="I31" s="405">
        <f>'Market Data'!$O$52*'Mkt Pen Veh-Mi'!I31</f>
        <v>0.15208690443627923</v>
      </c>
      <c r="J31" s="405">
        <f>'Market Data'!$O$52*'Mkt Pen Veh-Mi'!J31</f>
        <v>9.9281528761153676E-2</v>
      </c>
      <c r="K31" s="666">
        <f>'Market Data'!$O$52*'Mkt Pen Veh-Mi'!K31</f>
        <v>0</v>
      </c>
      <c r="L31" s="666">
        <f>'Market Data'!$O$52*'Mkt Pen Veh-Mi'!L31</f>
        <v>3.002335387048545E-7</v>
      </c>
      <c r="M31" s="671">
        <f>'Market Data'!$O$52*'Mkt Pen Veh-Mi'!M31</f>
        <v>4.3318523230367266E-4</v>
      </c>
      <c r="N31" s="404">
        <f t="shared" si="4"/>
        <v>0.74819808133672461</v>
      </c>
      <c r="O31" s="406">
        <f t="shared" si="5"/>
        <v>0.25180191866327528</v>
      </c>
      <c r="R31" s="126"/>
    </row>
    <row r="32" spans="1:18" ht="15" x14ac:dyDescent="0.25">
      <c r="A32" s="387">
        <v>2030</v>
      </c>
      <c r="B32" s="407">
        <f>'Market Data'!$E$52*'Mkt Pen Veh-Mi'!B32</f>
        <v>7.400342734044256E-2</v>
      </c>
      <c r="C32" s="408">
        <f>'Market Data'!$E$52*'Mkt Pen Veh-Mi'!C32</f>
        <v>0</v>
      </c>
      <c r="D32" s="408">
        <f>'Market Data'!$E$52*'Mkt Pen Veh-Mi'!D32</f>
        <v>0</v>
      </c>
      <c r="E32" s="667">
        <f>'Market Data'!$E$52*'Mkt Pen Veh-Mi'!E32</f>
        <v>0</v>
      </c>
      <c r="F32" s="667">
        <f>'Market Data'!$E$52*'Mkt Pen Veh-Mi'!F32</f>
        <v>0</v>
      </c>
      <c r="G32" s="672">
        <f>'Market Data'!$E$52*'Mkt Pen Veh-Mi'!G32</f>
        <v>0</v>
      </c>
      <c r="H32" s="407">
        <f>'Market Data'!$O$52*'Mkt Pen Veh-Mi'!H32</f>
        <v>0.553030246783069</v>
      </c>
      <c r="I32" s="408">
        <f>'Market Data'!$O$52*'Mkt Pen Veh-Mi'!I32</f>
        <v>0.21701851006391834</v>
      </c>
      <c r="J32" s="408">
        <f>'Market Data'!$O$52*'Mkt Pen Veh-Mi'!J32</f>
        <v>0.15505135355690924</v>
      </c>
      <c r="K32" s="667">
        <f>'Market Data'!$O$52*'Mkt Pen Veh-Mi'!K32</f>
        <v>0</v>
      </c>
      <c r="L32" s="667">
        <f>'Market Data'!$O$52*'Mkt Pen Veh-Mi'!L32</f>
        <v>8.9491185394571556E-6</v>
      </c>
      <c r="M32" s="672">
        <f>'Market Data'!$O$52*'Mkt Pen Veh-Mi'!M32</f>
        <v>8.8751313712128821E-4</v>
      </c>
      <c r="N32" s="407">
        <f t="shared" si="4"/>
        <v>0.62703367412351152</v>
      </c>
      <c r="O32" s="409">
        <f t="shared" si="5"/>
        <v>0.37296632587648831</v>
      </c>
      <c r="R32" s="126"/>
    </row>
    <row r="33" spans="1:15" ht="15" x14ac:dyDescent="0.25">
      <c r="A33" s="410">
        <v>2031</v>
      </c>
      <c r="B33" s="411">
        <f>'Market Data'!$E$52*'Mkt Pen Veh-Mi'!B33</f>
        <v>7.400342734044256E-2</v>
      </c>
      <c r="C33" s="412">
        <f>'Market Data'!$E$52*'Mkt Pen Veh-Mi'!C33</f>
        <v>0</v>
      </c>
      <c r="D33" s="412">
        <f>'Market Data'!$E$52*'Mkt Pen Veh-Mi'!D33</f>
        <v>0</v>
      </c>
      <c r="E33" s="668">
        <f>'Market Data'!$E$52*'Mkt Pen Veh-Mi'!E33</f>
        <v>0</v>
      </c>
      <c r="F33" s="668">
        <f>'Market Data'!$E$52*'Mkt Pen Veh-Mi'!F33</f>
        <v>0</v>
      </c>
      <c r="G33" s="673">
        <f>'Market Data'!$E$52*'Mkt Pen Veh-Mi'!G33</f>
        <v>0</v>
      </c>
      <c r="H33" s="411">
        <f>'Market Data'!$O$52*'Mkt Pen Veh-Mi'!H33</f>
        <v>0.43496264529539791</v>
      </c>
      <c r="I33" s="412">
        <f>'Market Data'!$O$52*'Mkt Pen Veh-Mi'!I33</f>
        <v>0.28301018801046424</v>
      </c>
      <c r="J33" s="412">
        <f>'Market Data'!$O$52*'Mkt Pen Veh-Mi'!J33</f>
        <v>0.20642972784212263</v>
      </c>
      <c r="K33" s="668">
        <f>'Market Data'!$O$52*'Mkt Pen Veh-Mi'!K33</f>
        <v>0</v>
      </c>
      <c r="L33" s="668">
        <f>'Market Data'!$O$52*'Mkt Pen Veh-Mi'!L33</f>
        <v>4.9771161311452858E-5</v>
      </c>
      <c r="M33" s="673">
        <f>'Market Data'!$O$52*'Mkt Pen Veh-Mi'!M33</f>
        <v>1.5442403502611778E-3</v>
      </c>
      <c r="N33" s="414">
        <f t="shared" si="4"/>
        <v>0.50896607263584048</v>
      </c>
      <c r="O33" s="415">
        <f t="shared" si="5"/>
        <v>0.49103392736415946</v>
      </c>
    </row>
    <row r="34" spans="1:15" ht="15" x14ac:dyDescent="0.25">
      <c r="A34" s="388">
        <v>2032</v>
      </c>
      <c r="B34" s="404">
        <f>'Market Data'!$E$52*'Mkt Pen Veh-Mi'!B34</f>
        <v>7.400342734044256E-2</v>
      </c>
      <c r="C34" s="405">
        <f>'Market Data'!$E$52*'Mkt Pen Veh-Mi'!C34</f>
        <v>0</v>
      </c>
      <c r="D34" s="405">
        <f>'Market Data'!$E$52*'Mkt Pen Veh-Mi'!D34</f>
        <v>0</v>
      </c>
      <c r="E34" s="666">
        <f>'Market Data'!$E$52*'Mkt Pen Veh-Mi'!E34</f>
        <v>0</v>
      </c>
      <c r="F34" s="666">
        <f>'Market Data'!$E$52*'Mkt Pen Veh-Mi'!F34</f>
        <v>0</v>
      </c>
      <c r="G34" s="671">
        <f>'Market Data'!$E$52*'Mkt Pen Veh-Mi'!G34</f>
        <v>0</v>
      </c>
      <c r="H34" s="404">
        <f>'Market Data'!$O$52*'Mkt Pen Veh-Mi'!H34</f>
        <v>0.28168861270111173</v>
      </c>
      <c r="I34" s="405">
        <f>'Market Data'!$O$52*'Mkt Pen Veh-Mi'!I34</f>
        <v>0.37950827438935797</v>
      </c>
      <c r="J34" s="405">
        <f>'Market Data'!$O$52*'Mkt Pen Veh-Mi'!J34</f>
        <v>0.26167578544773151</v>
      </c>
      <c r="K34" s="666">
        <f>'Market Data'!$O$52*'Mkt Pen Veh-Mi'!K34</f>
        <v>0</v>
      </c>
      <c r="L34" s="666">
        <f>'Market Data'!$O$52*'Mkt Pen Veh-Mi'!L34</f>
        <v>2.789152081709949E-4</v>
      </c>
      <c r="M34" s="671">
        <f>'Market Data'!$O$52*'Mkt Pen Veh-Mi'!M34</f>
        <v>2.844984913185284E-3</v>
      </c>
      <c r="N34" s="404">
        <f t="shared" si="4"/>
        <v>0.3556920400415543</v>
      </c>
      <c r="O34" s="406">
        <f t="shared" si="5"/>
        <v>0.64430795995844581</v>
      </c>
    </row>
    <row r="35" spans="1:15" ht="15" x14ac:dyDescent="0.25">
      <c r="A35" s="388">
        <v>2033</v>
      </c>
      <c r="B35" s="404">
        <f>'Market Data'!$E$52*'Mkt Pen Veh-Mi'!B35</f>
        <v>7.400342734044256E-2</v>
      </c>
      <c r="C35" s="405">
        <f>'Market Data'!$E$52*'Mkt Pen Veh-Mi'!C35</f>
        <v>0</v>
      </c>
      <c r="D35" s="405">
        <f>'Market Data'!$E$52*'Mkt Pen Veh-Mi'!D35</f>
        <v>0</v>
      </c>
      <c r="E35" s="666">
        <f>'Market Data'!$E$52*'Mkt Pen Veh-Mi'!E35</f>
        <v>0</v>
      </c>
      <c r="F35" s="666">
        <f>'Market Data'!$E$52*'Mkt Pen Veh-Mi'!F35</f>
        <v>0</v>
      </c>
      <c r="G35" s="671">
        <f>'Market Data'!$E$52*'Mkt Pen Veh-Mi'!G35</f>
        <v>0</v>
      </c>
      <c r="H35" s="404">
        <f>'Market Data'!$O$52*'Mkt Pen Veh-Mi'!H35</f>
        <v>0.19852263988588678</v>
      </c>
      <c r="I35" s="405">
        <f>'Market Data'!$O$52*'Mkt Pen Veh-Mi'!I35</f>
        <v>0.42488433839196499</v>
      </c>
      <c r="J35" s="405">
        <f>'Market Data'!$O$52*'Mkt Pen Veh-Mi'!J35</f>
        <v>0.29719440788158102</v>
      </c>
      <c r="K35" s="666">
        <f>'Market Data'!$O$52*'Mkt Pen Veh-Mi'!K35</f>
        <v>0</v>
      </c>
      <c r="L35" s="666">
        <f>'Market Data'!$O$52*'Mkt Pen Veh-Mi'!L35</f>
        <v>9.4359407085530629E-4</v>
      </c>
      <c r="M35" s="671">
        <f>'Market Data'!$O$52*'Mkt Pen Veh-Mi'!M35</f>
        <v>4.4515924292693214E-3</v>
      </c>
      <c r="N35" s="404">
        <f t="shared" si="4"/>
        <v>0.27252606722632933</v>
      </c>
      <c r="O35" s="406">
        <f t="shared" si="5"/>
        <v>0.72747393277367067</v>
      </c>
    </row>
    <row r="36" spans="1:15" ht="15" x14ac:dyDescent="0.25">
      <c r="A36" s="388">
        <v>2034</v>
      </c>
      <c r="B36" s="404">
        <f>'Market Data'!$E$52*'Mkt Pen Veh-Mi'!B36</f>
        <v>7.400342734044256E-2</v>
      </c>
      <c r="C36" s="405">
        <f>'Market Data'!$E$52*'Mkt Pen Veh-Mi'!C36</f>
        <v>0</v>
      </c>
      <c r="D36" s="405">
        <f>'Market Data'!$E$52*'Mkt Pen Veh-Mi'!D36</f>
        <v>0</v>
      </c>
      <c r="E36" s="666">
        <f>'Market Data'!$E$52*'Mkt Pen Veh-Mi'!E36</f>
        <v>0</v>
      </c>
      <c r="F36" s="666">
        <f>'Market Data'!$E$52*'Mkt Pen Veh-Mi'!F36</f>
        <v>0</v>
      </c>
      <c r="G36" s="671">
        <f>'Market Data'!$E$52*'Mkt Pen Veh-Mi'!G36</f>
        <v>0</v>
      </c>
      <c r="H36" s="404">
        <f>'Market Data'!$O$52*'Mkt Pen Veh-Mi'!H36</f>
        <v>0.16496643765178057</v>
      </c>
      <c r="I36" s="405">
        <f>'Market Data'!$O$52*'Mkt Pen Veh-Mi'!I36</f>
        <v>0.4395940652797975</v>
      </c>
      <c r="J36" s="405">
        <f>'Market Data'!$O$52*'Mkt Pen Veh-Mi'!J36</f>
        <v>0.31391890092466601</v>
      </c>
      <c r="K36" s="666">
        <f>'Market Data'!$O$52*'Mkt Pen Veh-Mi'!K36</f>
        <v>0</v>
      </c>
      <c r="L36" s="666">
        <f>'Market Data'!$O$52*'Mkt Pen Veh-Mi'!L36</f>
        <v>1.7042251765676142E-3</v>
      </c>
      <c r="M36" s="671">
        <f>'Market Data'!$O$52*'Mkt Pen Veh-Mi'!M36</f>
        <v>5.8129436267456581E-3</v>
      </c>
      <c r="N36" s="404">
        <f t="shared" si="4"/>
        <v>0.23896986499222311</v>
      </c>
      <c r="O36" s="406">
        <f t="shared" si="5"/>
        <v>0.76103013500777683</v>
      </c>
    </row>
    <row r="37" spans="1:15" ht="15" x14ac:dyDescent="0.25">
      <c r="A37" s="387">
        <v>2035</v>
      </c>
      <c r="B37" s="407">
        <f>'Market Data'!$E$52*'Mkt Pen Veh-Mi'!B37</f>
        <v>7.400342734044256E-2</v>
      </c>
      <c r="C37" s="408">
        <f>'Market Data'!$E$52*'Mkt Pen Veh-Mi'!C37</f>
        <v>0</v>
      </c>
      <c r="D37" s="408">
        <f>'Market Data'!$E$52*'Mkt Pen Veh-Mi'!D37</f>
        <v>0</v>
      </c>
      <c r="E37" s="667">
        <f>'Market Data'!$E$52*'Mkt Pen Veh-Mi'!E37</f>
        <v>0</v>
      </c>
      <c r="F37" s="667">
        <f>'Market Data'!$E$52*'Mkt Pen Veh-Mi'!F37</f>
        <v>0</v>
      </c>
      <c r="G37" s="672">
        <f>'Market Data'!$E$52*'Mkt Pen Veh-Mi'!G37</f>
        <v>0</v>
      </c>
      <c r="H37" s="407">
        <f>'Market Data'!$O$52*'Mkt Pen Veh-Mi'!H37</f>
        <v>0.11831796555568745</v>
      </c>
      <c r="I37" s="408">
        <f>'Market Data'!$O$52*'Mkt Pen Veh-Mi'!I37</f>
        <v>0.45252319511014705</v>
      </c>
      <c r="J37" s="408">
        <f>'Market Data'!$O$52*'Mkt Pen Veh-Mi'!J37</f>
        <v>0.34331151183801528</v>
      </c>
      <c r="K37" s="667">
        <f>'Market Data'!$O$52*'Mkt Pen Veh-Mi'!K37</f>
        <v>0</v>
      </c>
      <c r="L37" s="667">
        <f>'Market Data'!$O$52*'Mkt Pen Veh-Mi'!L37</f>
        <v>2.8325639694115191E-3</v>
      </c>
      <c r="M37" s="672">
        <f>'Market Data'!$O$52*'Mkt Pen Veh-Mi'!M37</f>
        <v>9.0113361862961764E-3</v>
      </c>
      <c r="N37" s="407">
        <f t="shared" si="4"/>
        <v>0.19232139289613001</v>
      </c>
      <c r="O37" s="409">
        <f t="shared" si="5"/>
        <v>0.80767860710387007</v>
      </c>
    </row>
    <row r="38" spans="1:15" ht="15" x14ac:dyDescent="0.25">
      <c r="A38" s="410">
        <v>2036</v>
      </c>
      <c r="B38" s="411">
        <f>'Market Data'!$E$52*'Mkt Pen Veh-Mi'!B38</f>
        <v>7.400342734044256E-2</v>
      </c>
      <c r="C38" s="412">
        <f>'Market Data'!$E$52*'Mkt Pen Veh-Mi'!C38</f>
        <v>0</v>
      </c>
      <c r="D38" s="412">
        <f>'Market Data'!$E$52*'Mkt Pen Veh-Mi'!D38</f>
        <v>0</v>
      </c>
      <c r="E38" s="668">
        <f>'Market Data'!$E$52*'Mkt Pen Veh-Mi'!E38</f>
        <v>0</v>
      </c>
      <c r="F38" s="668">
        <f>'Market Data'!$E$52*'Mkt Pen Veh-Mi'!F38</f>
        <v>0</v>
      </c>
      <c r="G38" s="673">
        <f>'Market Data'!$E$52*'Mkt Pen Veh-Mi'!G38</f>
        <v>0</v>
      </c>
      <c r="H38" s="411">
        <f>'Market Data'!$O$52*'Mkt Pen Veh-Mi'!H38</f>
        <v>9.2331291596936496E-2</v>
      </c>
      <c r="I38" s="412">
        <f>'Market Data'!$O$52*'Mkt Pen Veh-Mi'!I38</f>
        <v>0.4545047628919211</v>
      </c>
      <c r="J38" s="412">
        <f>'Market Data'!$O$52*'Mkt Pen Veh-Mi'!J38</f>
        <v>0.36147763042938375</v>
      </c>
      <c r="K38" s="668">
        <f>'Market Data'!$O$52*'Mkt Pen Veh-Mi'!K38</f>
        <v>3.9061156731139681E-5</v>
      </c>
      <c r="L38" s="668">
        <f>'Market Data'!$O$52*'Mkt Pen Veh-Mi'!L38</f>
        <v>5.1767267350854105E-3</v>
      </c>
      <c r="M38" s="673">
        <f>'Market Data'!$O$52*'Mkt Pen Veh-Mi'!M38</f>
        <v>1.246709984949944E-2</v>
      </c>
      <c r="N38" s="414">
        <f t="shared" si="4"/>
        <v>0.16633471893737906</v>
      </c>
      <c r="O38" s="415">
        <f t="shared" si="5"/>
        <v>0.83366528106262083</v>
      </c>
    </row>
    <row r="39" spans="1:15" ht="15" x14ac:dyDescent="0.25">
      <c r="A39" s="388">
        <v>2037</v>
      </c>
      <c r="B39" s="404">
        <f>'Market Data'!$E$52*'Mkt Pen Veh-Mi'!B39</f>
        <v>7.400342734044256E-2</v>
      </c>
      <c r="C39" s="405">
        <f>'Market Data'!$E$52*'Mkt Pen Veh-Mi'!C39</f>
        <v>0</v>
      </c>
      <c r="D39" s="405">
        <f>'Market Data'!$E$52*'Mkt Pen Veh-Mi'!D39</f>
        <v>0</v>
      </c>
      <c r="E39" s="666">
        <f>'Market Data'!$E$52*'Mkt Pen Veh-Mi'!E39</f>
        <v>0</v>
      </c>
      <c r="F39" s="666">
        <f>'Market Data'!$E$52*'Mkt Pen Veh-Mi'!F39</f>
        <v>0</v>
      </c>
      <c r="G39" s="671">
        <f>'Market Data'!$E$52*'Mkt Pen Veh-Mi'!G39</f>
        <v>0</v>
      </c>
      <c r="H39" s="404">
        <f>'Market Data'!$O$52*'Mkt Pen Veh-Mi'!H39</f>
        <v>8.3185246790676848E-2</v>
      </c>
      <c r="I39" s="405">
        <f>'Market Data'!$O$52*'Mkt Pen Veh-Mi'!I39</f>
        <v>0.45150147307814831</v>
      </c>
      <c r="J39" s="405">
        <f>'Market Data'!$O$52*'Mkt Pen Veh-Mi'!J39</f>
        <v>0.36983382766070527</v>
      </c>
      <c r="K39" s="666">
        <f>'Market Data'!$O$52*'Mkt Pen Veh-Mi'!K39</f>
        <v>1.1165905395185193E-4</v>
      </c>
      <c r="L39" s="666">
        <f>'Market Data'!$O$52*'Mkt Pen Veh-Mi'!L39</f>
        <v>6.8510402760186256E-3</v>
      </c>
      <c r="M39" s="671">
        <f>'Market Data'!$O$52*'Mkt Pen Veh-Mi'!M39</f>
        <v>1.4513325800056489E-2</v>
      </c>
      <c r="N39" s="404">
        <f t="shared" si="4"/>
        <v>0.15718867413111942</v>
      </c>
      <c r="O39" s="406">
        <f t="shared" si="5"/>
        <v>0.84281132586888041</v>
      </c>
    </row>
    <row r="40" spans="1:15" ht="15" x14ac:dyDescent="0.25">
      <c r="A40" s="388">
        <v>2038</v>
      </c>
      <c r="B40" s="404">
        <f>'Market Data'!$E$52*'Mkt Pen Veh-Mi'!B40</f>
        <v>7.400342734044256E-2</v>
      </c>
      <c r="C40" s="405">
        <f>'Market Data'!$E$52*'Mkt Pen Veh-Mi'!C40</f>
        <v>0</v>
      </c>
      <c r="D40" s="405">
        <f>'Market Data'!$E$52*'Mkt Pen Veh-Mi'!D40</f>
        <v>0</v>
      </c>
      <c r="E40" s="666">
        <f>'Market Data'!$E$52*'Mkt Pen Veh-Mi'!E40</f>
        <v>0</v>
      </c>
      <c r="F40" s="666">
        <f>'Market Data'!$E$52*'Mkt Pen Veh-Mi'!F40</f>
        <v>0</v>
      </c>
      <c r="G40" s="671">
        <f>'Market Data'!$E$52*'Mkt Pen Veh-Mi'!G40</f>
        <v>0</v>
      </c>
      <c r="H40" s="404">
        <f>'Market Data'!$O$52*'Mkt Pen Veh-Mi'!H40</f>
        <v>7.6778816916143952E-2</v>
      </c>
      <c r="I40" s="405">
        <f>'Market Data'!$O$52*'Mkt Pen Veh-Mi'!I40</f>
        <v>0.44361748933341433</v>
      </c>
      <c r="J40" s="405">
        <f>'Market Data'!$O$52*'Mkt Pen Veh-Mi'!J40</f>
        <v>0.37884998160534783</v>
      </c>
      <c r="K40" s="666">
        <f>'Market Data'!$O$52*'Mkt Pen Veh-Mi'!K40</f>
        <v>3.7788824014197748E-4</v>
      </c>
      <c r="L40" s="666">
        <f>'Market Data'!$O$52*'Mkt Pen Veh-Mi'!L40</f>
        <v>8.7864480874662969E-3</v>
      </c>
      <c r="M40" s="671">
        <f>'Market Data'!$O$52*'Mkt Pen Veh-Mi'!M40</f>
        <v>1.7585948477042972E-2</v>
      </c>
      <c r="N40" s="404">
        <f t="shared" si="4"/>
        <v>0.15078224425658651</v>
      </c>
      <c r="O40" s="406">
        <f t="shared" si="5"/>
        <v>0.8492177557434134</v>
      </c>
    </row>
    <row r="41" spans="1:15" ht="15" x14ac:dyDescent="0.25">
      <c r="A41" s="388">
        <v>2039</v>
      </c>
      <c r="B41" s="404">
        <f>'Market Data'!$E$52*'Mkt Pen Veh-Mi'!B41</f>
        <v>7.400342734044256E-2</v>
      </c>
      <c r="C41" s="405">
        <f>'Market Data'!$E$52*'Mkt Pen Veh-Mi'!C41</f>
        <v>0</v>
      </c>
      <c r="D41" s="405">
        <f>'Market Data'!$E$52*'Mkt Pen Veh-Mi'!D41</f>
        <v>0</v>
      </c>
      <c r="E41" s="666">
        <f>'Market Data'!$E$52*'Mkt Pen Veh-Mi'!E41</f>
        <v>0</v>
      </c>
      <c r="F41" s="666">
        <f>'Market Data'!$E$52*'Mkt Pen Veh-Mi'!F41</f>
        <v>0</v>
      </c>
      <c r="G41" s="671">
        <f>'Market Data'!$E$52*'Mkt Pen Veh-Mi'!G41</f>
        <v>0</v>
      </c>
      <c r="H41" s="404">
        <f>'Market Data'!$O$52*'Mkt Pen Veh-Mi'!H41</f>
        <v>7.2081266982112285E-2</v>
      </c>
      <c r="I41" s="405">
        <f>'Market Data'!$O$52*'Mkt Pen Veh-Mi'!I41</f>
        <v>0.43125718972696186</v>
      </c>
      <c r="J41" s="405">
        <f>'Market Data'!$O$52*'Mkt Pen Veh-Mi'!J41</f>
        <v>0.38876399703559106</v>
      </c>
      <c r="K41" s="666">
        <f>'Market Data'!$O$52*'Mkt Pen Veh-Mi'!K41</f>
        <v>1.2807022256318143E-3</v>
      </c>
      <c r="L41" s="666">
        <f>'Market Data'!$O$52*'Mkt Pen Veh-Mi'!L41</f>
        <v>1.1145030633332401E-2</v>
      </c>
      <c r="M41" s="671">
        <f>'Market Data'!$O$52*'Mkt Pen Veh-Mi'!M41</f>
        <v>2.1468386055927914E-2</v>
      </c>
      <c r="N41" s="404">
        <f t="shared" si="4"/>
        <v>0.14608469432255483</v>
      </c>
      <c r="O41" s="406">
        <f t="shared" si="5"/>
        <v>0.853915305677445</v>
      </c>
    </row>
    <row r="42" spans="1:15" ht="15" x14ac:dyDescent="0.25">
      <c r="A42" s="387">
        <v>2040</v>
      </c>
      <c r="B42" s="407">
        <f>'Market Data'!$E$52*'Mkt Pen Veh-Mi'!B42</f>
        <v>7.400342734044256E-2</v>
      </c>
      <c r="C42" s="408">
        <f>'Market Data'!$E$52*'Mkt Pen Veh-Mi'!C42</f>
        <v>0</v>
      </c>
      <c r="D42" s="408">
        <f>'Market Data'!$E$52*'Mkt Pen Veh-Mi'!D42</f>
        <v>0</v>
      </c>
      <c r="E42" s="667">
        <f>'Market Data'!$E$52*'Mkt Pen Veh-Mi'!E42</f>
        <v>0</v>
      </c>
      <c r="F42" s="667">
        <f>'Market Data'!$E$52*'Mkt Pen Veh-Mi'!F42</f>
        <v>0</v>
      </c>
      <c r="G42" s="672">
        <f>'Market Data'!$E$52*'Mkt Pen Veh-Mi'!G42</f>
        <v>0</v>
      </c>
      <c r="H42" s="407">
        <f>'Market Data'!$O$52*'Mkt Pen Veh-Mi'!H42</f>
        <v>6.5884140354577903E-2</v>
      </c>
      <c r="I42" s="408">
        <f>'Market Data'!$O$52*'Mkt Pen Veh-Mi'!I42</f>
        <v>0.42029725540226054</v>
      </c>
      <c r="J42" s="408">
        <f>'Market Data'!$O$52*'Mkt Pen Veh-Mi'!J42</f>
        <v>0.39465825917849617</v>
      </c>
      <c r="K42" s="667">
        <f>'Market Data'!$O$52*'Mkt Pen Veh-Mi'!K42</f>
        <v>4.2584647588188645E-3</v>
      </c>
      <c r="L42" s="667">
        <f>'Market Data'!$O$52*'Mkt Pen Veh-Mi'!L42</f>
        <v>1.3933931820939372E-2</v>
      </c>
      <c r="M42" s="672">
        <f>'Market Data'!$O$52*'Mkt Pen Veh-Mi'!M42</f>
        <v>2.6964521144464605E-2</v>
      </c>
      <c r="N42" s="407">
        <f t="shared" si="4"/>
        <v>0.13988756769502048</v>
      </c>
      <c r="O42" s="409">
        <f t="shared" si="5"/>
        <v>0.86011243230497958</v>
      </c>
    </row>
    <row r="43" spans="1:15" ht="15" x14ac:dyDescent="0.25">
      <c r="A43" s="388">
        <v>2041</v>
      </c>
      <c r="B43" s="411">
        <f>'Market Data'!$E$52*'Mkt Pen Veh-Mi'!B43</f>
        <v>7.400342734044256E-2</v>
      </c>
      <c r="C43" s="412">
        <f>'Market Data'!$E$52*'Mkt Pen Veh-Mi'!C43</f>
        <v>0</v>
      </c>
      <c r="D43" s="412">
        <f>'Market Data'!$E$52*'Mkt Pen Veh-Mi'!D43</f>
        <v>0</v>
      </c>
      <c r="E43" s="668">
        <f>'Market Data'!$E$52*'Mkt Pen Veh-Mi'!E43</f>
        <v>0</v>
      </c>
      <c r="F43" s="668">
        <f>'Market Data'!$E$52*'Mkt Pen Veh-Mi'!F43</f>
        <v>0</v>
      </c>
      <c r="G43" s="673">
        <f>'Market Data'!$E$52*'Mkt Pen Veh-Mi'!G43</f>
        <v>0</v>
      </c>
      <c r="H43" s="411">
        <f>'Market Data'!$O$52*'Mkt Pen Veh-Mi'!H43</f>
        <v>5.9720842191528331E-2</v>
      </c>
      <c r="I43" s="412">
        <f>'Market Data'!$O$52*'Mkt Pen Veh-Mi'!I43</f>
        <v>0.40718048040330818</v>
      </c>
      <c r="J43" s="412">
        <f>'Market Data'!$O$52*'Mkt Pen Veh-Mi'!J43</f>
        <v>0.39401447195850203</v>
      </c>
      <c r="K43" s="668">
        <f>'Market Data'!$O$52*'Mkt Pen Veh-Mi'!K43</f>
        <v>1.2491843973946112E-2</v>
      </c>
      <c r="L43" s="668">
        <f>'Market Data'!$O$52*'Mkt Pen Veh-Mi'!L43</f>
        <v>1.7403953215559955E-2</v>
      </c>
      <c r="M43" s="673">
        <f>'Market Data'!$O$52*'Mkt Pen Veh-Mi'!M43</f>
        <v>3.5184980916712863E-2</v>
      </c>
      <c r="N43" s="414">
        <f t="shared" si="4"/>
        <v>0.13372426953197089</v>
      </c>
      <c r="O43" s="415">
        <f t="shared" si="5"/>
        <v>0.86627573046802919</v>
      </c>
    </row>
    <row r="44" spans="1:15" ht="15" x14ac:dyDescent="0.25">
      <c r="A44" s="388">
        <v>2042</v>
      </c>
      <c r="B44" s="404">
        <f>'Market Data'!$E$52*'Mkt Pen Veh-Mi'!B44</f>
        <v>7.400342734044256E-2</v>
      </c>
      <c r="C44" s="405">
        <f>'Market Data'!$E$52*'Mkt Pen Veh-Mi'!C44</f>
        <v>0</v>
      </c>
      <c r="D44" s="405">
        <f>'Market Data'!$E$52*'Mkt Pen Veh-Mi'!D44</f>
        <v>0</v>
      </c>
      <c r="E44" s="666">
        <f>'Market Data'!$E$52*'Mkt Pen Veh-Mi'!E44</f>
        <v>0</v>
      </c>
      <c r="F44" s="666">
        <f>'Market Data'!$E$52*'Mkt Pen Veh-Mi'!F44</f>
        <v>0</v>
      </c>
      <c r="G44" s="671">
        <f>'Market Data'!$E$52*'Mkt Pen Veh-Mi'!G44</f>
        <v>0</v>
      </c>
      <c r="H44" s="404">
        <f>'Market Data'!$O$52*'Mkt Pen Veh-Mi'!H44</f>
        <v>5.22606700580759E-2</v>
      </c>
      <c r="I44" s="405">
        <f>'Market Data'!$O$52*'Mkt Pen Veh-Mi'!I44</f>
        <v>0.38626718646532748</v>
      </c>
      <c r="J44" s="405">
        <f>'Market Data'!$O$52*'Mkt Pen Veh-Mi'!J44</f>
        <v>0.3887327372191885</v>
      </c>
      <c r="K44" s="666">
        <f>'Market Data'!$O$52*'Mkt Pen Veh-Mi'!K44</f>
        <v>3.024353081092376E-2</v>
      </c>
      <c r="L44" s="666">
        <f>'Market Data'!$O$52*'Mkt Pen Veh-Mi'!L44</f>
        <v>2.1756118965686234E-2</v>
      </c>
      <c r="M44" s="671">
        <f>'Market Data'!$O$52*'Mkt Pen Veh-Mi'!M44</f>
        <v>4.6736329140355519E-2</v>
      </c>
      <c r="N44" s="404">
        <f t="shared" si="4"/>
        <v>0.12626409739851846</v>
      </c>
      <c r="O44" s="406">
        <f t="shared" si="5"/>
        <v>0.87373590260148148</v>
      </c>
    </row>
    <row r="45" spans="1:15" ht="15" x14ac:dyDescent="0.25">
      <c r="A45" s="388">
        <v>2043</v>
      </c>
      <c r="B45" s="404">
        <f>'Market Data'!$E$52*'Mkt Pen Veh-Mi'!B45</f>
        <v>7.400342734044256E-2</v>
      </c>
      <c r="C45" s="405">
        <f>'Market Data'!$E$52*'Mkt Pen Veh-Mi'!C45</f>
        <v>0</v>
      </c>
      <c r="D45" s="405">
        <f>'Market Data'!$E$52*'Mkt Pen Veh-Mi'!D45</f>
        <v>0</v>
      </c>
      <c r="E45" s="666">
        <f>'Market Data'!$E$52*'Mkt Pen Veh-Mi'!E45</f>
        <v>0</v>
      </c>
      <c r="F45" s="666">
        <f>'Market Data'!$E$52*'Mkt Pen Veh-Mi'!F45</f>
        <v>0</v>
      </c>
      <c r="G45" s="671">
        <f>'Market Data'!$E$52*'Mkt Pen Veh-Mi'!G45</f>
        <v>0</v>
      </c>
      <c r="H45" s="404">
        <f>'Market Data'!$O$52*'Mkt Pen Veh-Mi'!H45</f>
        <v>3.2854041242037647E-2</v>
      </c>
      <c r="I45" s="405">
        <f>'Market Data'!$O$52*'Mkt Pen Veh-Mi'!I45</f>
        <v>0.37129397245104084</v>
      </c>
      <c r="J45" s="405">
        <f>'Market Data'!$O$52*'Mkt Pen Veh-Mi'!J45</f>
        <v>0.38187940044748819</v>
      </c>
      <c r="K45" s="666">
        <f>'Market Data'!$O$52*'Mkt Pen Veh-Mi'!K45</f>
        <v>5.3930110384135081E-2</v>
      </c>
      <c r="L45" s="666">
        <f>'Market Data'!$O$52*'Mkt Pen Veh-Mi'!L45</f>
        <v>2.6212010042166268E-2</v>
      </c>
      <c r="M45" s="671">
        <f>'Market Data'!$O$52*'Mkt Pen Veh-Mi'!M45</f>
        <v>5.9827038092689314E-2</v>
      </c>
      <c r="N45" s="404">
        <f t="shared" si="4"/>
        <v>0.10685746858248021</v>
      </c>
      <c r="O45" s="406">
        <f t="shared" si="5"/>
        <v>0.89314253141751965</v>
      </c>
    </row>
    <row r="46" spans="1:15" ht="15" x14ac:dyDescent="0.25">
      <c r="A46" s="388">
        <v>2044</v>
      </c>
      <c r="B46" s="404">
        <f>'Market Data'!$E$52*'Mkt Pen Veh-Mi'!B46</f>
        <v>7.400342734044256E-2</v>
      </c>
      <c r="C46" s="405">
        <f>'Market Data'!$E$52*'Mkt Pen Veh-Mi'!C46</f>
        <v>0</v>
      </c>
      <c r="D46" s="405">
        <f>'Market Data'!$E$52*'Mkt Pen Veh-Mi'!D46</f>
        <v>0</v>
      </c>
      <c r="E46" s="666">
        <f>'Market Data'!$E$52*'Mkt Pen Veh-Mi'!E46</f>
        <v>0</v>
      </c>
      <c r="F46" s="666">
        <f>'Market Data'!$E$52*'Mkt Pen Veh-Mi'!F46</f>
        <v>0</v>
      </c>
      <c r="G46" s="671">
        <f>'Market Data'!$E$52*'Mkt Pen Veh-Mi'!G46</f>
        <v>0</v>
      </c>
      <c r="H46" s="404">
        <f>'Market Data'!$O$52*'Mkt Pen Veh-Mi'!H46</f>
        <v>2.1847923568258272E-2</v>
      </c>
      <c r="I46" s="405">
        <f>'Market Data'!$O$52*'Mkt Pen Veh-Mi'!I46</f>
        <v>0.35360299937580342</v>
      </c>
      <c r="J46" s="405">
        <f>'Market Data'!$O$52*'Mkt Pen Veh-Mi'!J46</f>
        <v>0.36957810242478167</v>
      </c>
      <c r="K46" s="666">
        <f>'Market Data'!$O$52*'Mkt Pen Veh-Mi'!K46</f>
        <v>7.3620973470608031E-2</v>
      </c>
      <c r="L46" s="666">
        <f>'Market Data'!$O$52*'Mkt Pen Veh-Mi'!L46</f>
        <v>3.0975092994189123E-2</v>
      </c>
      <c r="M46" s="671">
        <f>'Market Data'!$O$52*'Mkt Pen Veh-Mi'!M46</f>
        <v>7.6371480825916799E-2</v>
      </c>
      <c r="N46" s="404">
        <f t="shared" si="4"/>
        <v>9.5851350908700839E-2</v>
      </c>
      <c r="O46" s="406">
        <f t="shared" si="5"/>
        <v>0.90414864909129911</v>
      </c>
    </row>
    <row r="47" spans="1:15" ht="15" x14ac:dyDescent="0.25">
      <c r="A47" s="387">
        <v>2045</v>
      </c>
      <c r="B47" s="407">
        <f>'Market Data'!$E$52*'Mkt Pen Veh-Mi'!B47</f>
        <v>7.400342734044256E-2</v>
      </c>
      <c r="C47" s="408">
        <f>'Market Data'!$E$52*'Mkt Pen Veh-Mi'!C47</f>
        <v>0</v>
      </c>
      <c r="D47" s="408">
        <f>'Market Data'!$E$52*'Mkt Pen Veh-Mi'!D47</f>
        <v>0</v>
      </c>
      <c r="E47" s="667">
        <f>'Market Data'!$E$52*'Mkt Pen Veh-Mi'!E47</f>
        <v>0</v>
      </c>
      <c r="F47" s="667">
        <f>'Market Data'!$E$52*'Mkt Pen Veh-Mi'!F47</f>
        <v>0</v>
      </c>
      <c r="G47" s="672">
        <f>'Market Data'!$E$52*'Mkt Pen Veh-Mi'!G47</f>
        <v>0</v>
      </c>
      <c r="H47" s="407">
        <f>'Market Data'!$O$52*'Mkt Pen Veh-Mi'!H47</f>
        <v>1.2960190598435967E-2</v>
      </c>
      <c r="I47" s="408">
        <f>'Market Data'!$O$52*'Mkt Pen Veh-Mi'!I47</f>
        <v>0.3348736896532189</v>
      </c>
      <c r="J47" s="408">
        <f>'Market Data'!$O$52*'Mkt Pen Veh-Mi'!J47</f>
        <v>0.354614631932399</v>
      </c>
      <c r="K47" s="667">
        <f>'Market Data'!$O$52*'Mkt Pen Veh-Mi'!K47</f>
        <v>9.341882353145245E-2</v>
      </c>
      <c r="L47" s="667">
        <f>'Market Data'!$O$52*'Mkt Pen Veh-Mi'!L47</f>
        <v>3.6307492914270038E-2</v>
      </c>
      <c r="M47" s="672">
        <f>'Market Data'!$O$52*'Mkt Pen Veh-Mi'!M47</f>
        <v>9.3821744029780996E-2</v>
      </c>
      <c r="N47" s="407">
        <f t="shared" si="4"/>
        <v>8.6963617938878524E-2</v>
      </c>
      <c r="O47" s="409">
        <f t="shared" si="5"/>
        <v>0.91303638206112137</v>
      </c>
    </row>
    <row r="48" spans="1:15" ht="15" x14ac:dyDescent="0.25">
      <c r="A48" s="388">
        <v>2046</v>
      </c>
      <c r="B48" s="411">
        <f>'Market Data'!$E$52*'Mkt Pen Veh-Mi'!B48</f>
        <v>7.400342734044256E-2</v>
      </c>
      <c r="C48" s="412">
        <f>'Market Data'!$E$52*'Mkt Pen Veh-Mi'!C48</f>
        <v>0</v>
      </c>
      <c r="D48" s="412">
        <f>'Market Data'!$E$52*'Mkt Pen Veh-Mi'!D48</f>
        <v>0</v>
      </c>
      <c r="E48" s="668">
        <f>'Market Data'!$E$52*'Mkt Pen Veh-Mi'!E48</f>
        <v>0</v>
      </c>
      <c r="F48" s="668">
        <f>'Market Data'!$E$52*'Mkt Pen Veh-Mi'!F48</f>
        <v>0</v>
      </c>
      <c r="G48" s="673">
        <f>'Market Data'!$E$52*'Mkt Pen Veh-Mi'!G48</f>
        <v>0</v>
      </c>
      <c r="H48" s="411">
        <f>'Market Data'!$O$52*'Mkt Pen Veh-Mi'!H48</f>
        <v>9.1659993226036879E-3</v>
      </c>
      <c r="I48" s="412">
        <f>'Market Data'!$O$52*'Mkt Pen Veh-Mi'!I48</f>
        <v>0.32041204956252572</v>
      </c>
      <c r="J48" s="412">
        <f>'Market Data'!$O$52*'Mkt Pen Veh-Mi'!J48</f>
        <v>0.34157867488576849</v>
      </c>
      <c r="K48" s="668">
        <f>'Market Data'!$O$52*'Mkt Pen Veh-Mi'!K48</f>
        <v>0.10559653060299821</v>
      </c>
      <c r="L48" s="668">
        <f>'Market Data'!$O$52*'Mkt Pen Veh-Mi'!L48</f>
        <v>4.1563387118590818E-2</v>
      </c>
      <c r="M48" s="673">
        <f>'Market Data'!$O$52*'Mkt Pen Veh-Mi'!M48</f>
        <v>0.10767993116707035</v>
      </c>
      <c r="N48" s="414">
        <f t="shared" si="4"/>
        <v>8.3169426663046248E-2</v>
      </c>
      <c r="O48" s="415">
        <f t="shared" si="5"/>
        <v>0.91683057333695361</v>
      </c>
    </row>
    <row r="49" spans="1:15" ht="15" x14ac:dyDescent="0.25">
      <c r="A49" s="388">
        <v>2047</v>
      </c>
      <c r="B49" s="404">
        <f>'Market Data'!$E$52*'Mkt Pen Veh-Mi'!B49</f>
        <v>7.400342734044256E-2</v>
      </c>
      <c r="C49" s="405">
        <f>'Market Data'!$E$52*'Mkt Pen Veh-Mi'!C49</f>
        <v>0</v>
      </c>
      <c r="D49" s="405">
        <f>'Market Data'!$E$52*'Mkt Pen Veh-Mi'!D49</f>
        <v>0</v>
      </c>
      <c r="E49" s="666">
        <f>'Market Data'!$E$52*'Mkt Pen Veh-Mi'!E49</f>
        <v>0</v>
      </c>
      <c r="F49" s="666">
        <f>'Market Data'!$E$52*'Mkt Pen Veh-Mi'!F49</f>
        <v>0</v>
      </c>
      <c r="G49" s="671">
        <f>'Market Data'!$E$52*'Mkt Pen Veh-Mi'!G49</f>
        <v>0</v>
      </c>
      <c r="H49" s="404">
        <f>'Market Data'!$O$52*'Mkt Pen Veh-Mi'!H49</f>
        <v>5.9675854354668285E-3</v>
      </c>
      <c r="I49" s="405">
        <f>'Market Data'!$O$52*'Mkt Pen Veh-Mi'!I49</f>
        <v>0.3077199247977761</v>
      </c>
      <c r="J49" s="405">
        <f>'Market Data'!$O$52*'Mkt Pen Veh-Mi'!J49</f>
        <v>0.3292530374450201</v>
      </c>
      <c r="K49" s="666">
        <f>'Market Data'!$O$52*'Mkt Pen Veh-Mi'!K49</f>
        <v>0.11880952113574057</v>
      </c>
      <c r="L49" s="666">
        <f>'Market Data'!$O$52*'Mkt Pen Veh-Mi'!L49</f>
        <v>4.7003650336538375E-2</v>
      </c>
      <c r="M49" s="671">
        <f>'Market Data'!$O$52*'Mkt Pen Veh-Mi'!M49</f>
        <v>0.11724285350901545</v>
      </c>
      <c r="N49" s="404">
        <f t="shared" si="4"/>
        <v>7.9971012775909386E-2</v>
      </c>
      <c r="O49" s="406">
        <f t="shared" si="5"/>
        <v>0.92002898722409066</v>
      </c>
    </row>
    <row r="50" spans="1:15" ht="15" x14ac:dyDescent="0.25">
      <c r="A50" s="388">
        <v>2048</v>
      </c>
      <c r="B50" s="404">
        <f>'Market Data'!$E$52*'Mkt Pen Veh-Mi'!B50</f>
        <v>7.400342734044256E-2</v>
      </c>
      <c r="C50" s="405">
        <f>'Market Data'!$E$52*'Mkt Pen Veh-Mi'!C50</f>
        <v>0</v>
      </c>
      <c r="D50" s="405">
        <f>'Market Data'!$E$52*'Mkt Pen Veh-Mi'!D50</f>
        <v>0</v>
      </c>
      <c r="E50" s="666">
        <f>'Market Data'!$E$52*'Mkt Pen Veh-Mi'!E50</f>
        <v>0</v>
      </c>
      <c r="F50" s="666">
        <f>'Market Data'!$E$52*'Mkt Pen Veh-Mi'!F50</f>
        <v>0</v>
      </c>
      <c r="G50" s="671">
        <f>'Market Data'!$E$52*'Mkt Pen Veh-Mi'!G50</f>
        <v>0</v>
      </c>
      <c r="H50" s="404">
        <f>'Market Data'!$O$52*'Mkt Pen Veh-Mi'!H50</f>
        <v>4.9958166392060979E-3</v>
      </c>
      <c r="I50" s="405">
        <f>'Market Data'!$O$52*'Mkt Pen Veh-Mi'!I50</f>
        <v>0.29975438617640759</v>
      </c>
      <c r="J50" s="405">
        <f>'Market Data'!$O$52*'Mkt Pen Veh-Mi'!J50</f>
        <v>0.31872746512596495</v>
      </c>
      <c r="K50" s="666">
        <f>'Market Data'!$O$52*'Mkt Pen Veh-Mi'!K50</f>
        <v>0.12686518399338706</v>
      </c>
      <c r="L50" s="666">
        <f>'Market Data'!$O$52*'Mkt Pen Veh-Mi'!L50</f>
        <v>5.3015533730631101E-2</v>
      </c>
      <c r="M50" s="671">
        <f>'Market Data'!$O$52*'Mkt Pen Veh-Mi'!M50</f>
        <v>0.12263818699396065</v>
      </c>
      <c r="N50" s="404">
        <f t="shared" si="4"/>
        <v>7.8999243979648665E-2</v>
      </c>
      <c r="O50" s="406">
        <f t="shared" si="5"/>
        <v>0.92100075602035136</v>
      </c>
    </row>
    <row r="51" spans="1:15" ht="15" x14ac:dyDescent="0.25">
      <c r="A51" s="388">
        <v>2049</v>
      </c>
      <c r="B51" s="404">
        <f>'Market Data'!$E$52*'Mkt Pen Veh-Mi'!B51</f>
        <v>7.400342734044256E-2</v>
      </c>
      <c r="C51" s="405">
        <f>'Market Data'!$E$52*'Mkt Pen Veh-Mi'!C51</f>
        <v>0</v>
      </c>
      <c r="D51" s="405">
        <f>'Market Data'!$E$52*'Mkt Pen Veh-Mi'!D51</f>
        <v>0</v>
      </c>
      <c r="E51" s="666">
        <f>'Market Data'!$E$52*'Mkt Pen Veh-Mi'!E51</f>
        <v>0</v>
      </c>
      <c r="F51" s="666">
        <f>'Market Data'!$E$52*'Mkt Pen Veh-Mi'!F51</f>
        <v>0</v>
      </c>
      <c r="G51" s="671">
        <f>'Market Data'!$E$52*'Mkt Pen Veh-Mi'!G51</f>
        <v>0</v>
      </c>
      <c r="H51" s="404">
        <f>'Market Data'!$O$52*'Mkt Pen Veh-Mi'!H51</f>
        <v>3.3931380373826998E-3</v>
      </c>
      <c r="I51" s="405">
        <f>'Market Data'!$O$52*'Mkt Pen Veh-Mi'!I51</f>
        <v>0.29177361042156752</v>
      </c>
      <c r="J51" s="405">
        <f>'Market Data'!$O$52*'Mkt Pen Veh-Mi'!J51</f>
        <v>0.31088773177190304</v>
      </c>
      <c r="K51" s="666">
        <f>'Market Data'!$O$52*'Mkt Pen Veh-Mi'!K51</f>
        <v>0.13267566125270838</v>
      </c>
      <c r="L51" s="666">
        <f>'Market Data'!$O$52*'Mkt Pen Veh-Mi'!L51</f>
        <v>5.8736965595932167E-2</v>
      </c>
      <c r="M51" s="671">
        <f>'Market Data'!$O$52*'Mkt Pen Veh-Mi'!M51</f>
        <v>0.12852946558006351</v>
      </c>
      <c r="N51" s="404">
        <f t="shared" si="4"/>
        <v>7.7396565377825258E-2</v>
      </c>
      <c r="O51" s="406">
        <f t="shared" si="5"/>
        <v>0.92260343462217453</v>
      </c>
    </row>
    <row r="52" spans="1:15" ht="15.75" thickBot="1" x14ac:dyDescent="0.3">
      <c r="A52" s="389">
        <v>2050</v>
      </c>
      <c r="B52" s="416">
        <f>'Market Data'!$E$52*'Mkt Pen Veh-Mi'!B52</f>
        <v>7.400342734044256E-2</v>
      </c>
      <c r="C52" s="417">
        <f>'Market Data'!$E$52*'Mkt Pen Veh-Mi'!C52</f>
        <v>0</v>
      </c>
      <c r="D52" s="417">
        <f>'Market Data'!$E$52*'Mkt Pen Veh-Mi'!D52</f>
        <v>0</v>
      </c>
      <c r="E52" s="669">
        <f>'Market Data'!$E$52*'Mkt Pen Veh-Mi'!E52</f>
        <v>0</v>
      </c>
      <c r="F52" s="669">
        <f>'Market Data'!$E$52*'Mkt Pen Veh-Mi'!F52</f>
        <v>0</v>
      </c>
      <c r="G52" s="674">
        <f>'Market Data'!$E$52*'Mkt Pen Veh-Mi'!G52</f>
        <v>0</v>
      </c>
      <c r="H52" s="416">
        <f>'Market Data'!$O$52*'Mkt Pen Veh-Mi'!H52</f>
        <v>2.6060264054843536E-3</v>
      </c>
      <c r="I52" s="417">
        <f>'Market Data'!$O$52*'Mkt Pen Veh-Mi'!I52</f>
        <v>0.27928407861470372</v>
      </c>
      <c r="J52" s="417">
        <f>'Market Data'!$O$52*'Mkt Pen Veh-Mi'!J52</f>
        <v>0.29728282157234948</v>
      </c>
      <c r="K52" s="669">
        <f>'Market Data'!$O$52*'Mkt Pen Veh-Mi'!K52</f>
        <v>0.14577720715110526</v>
      </c>
      <c r="L52" s="669">
        <f>'Market Data'!$O$52*'Mkt Pen Veh-Mi'!L52</f>
        <v>6.7047976208428256E-2</v>
      </c>
      <c r="M52" s="674">
        <f>'Market Data'!$O$52*'Mkt Pen Veh-Mi'!M52</f>
        <v>0.13399846270748633</v>
      </c>
      <c r="N52" s="416">
        <f t="shared" si="4"/>
        <v>7.6609453745926911E-2</v>
      </c>
      <c r="O52" s="418">
        <f t="shared" si="5"/>
        <v>0.92339054625407302</v>
      </c>
    </row>
    <row r="53" spans="1:15" x14ac:dyDescent="0.2">
      <c r="A53" s="383"/>
      <c r="B53" s="383"/>
    </row>
    <row r="54" spans="1:15" x14ac:dyDescent="0.2">
      <c r="A54" s="1127" t="str">
        <f>"Run id: '"&amp;'Run Model'!B2&amp;"'"</f>
        <v>Run id: 'Run ID / Description'</v>
      </c>
      <c r="B54" s="383"/>
    </row>
    <row r="55" spans="1:15" x14ac:dyDescent="0.2">
      <c r="A55" s="1127" t="s">
        <v>130</v>
      </c>
      <c r="B55" s="383"/>
    </row>
    <row r="56" spans="1:15" x14ac:dyDescent="0.2">
      <c r="A56" s="1128" t="str">
        <f>"Gasoline, Centrally Refueled: " &amp;TEXT(RtimeCls1Cent1,"mm/dd/yyyy hh:mm")</f>
        <v>Gasoline, Centrally Refueled: 11/04/2020 14:43</v>
      </c>
      <c r="B56" s="384"/>
    </row>
    <row r="57" spans="1:15" x14ac:dyDescent="0.2">
      <c r="A57" s="1128" t="str">
        <f>"Gasoline, Non-Centrally Refueled: " &amp;TEXT(RtimeCls1NCent1,"mm/dd/yyyy hh:mm")</f>
        <v>Gasoline, Non-Centrally Refueled: 11/04/2020 14:43</v>
      </c>
    </row>
    <row r="58" spans="1:15" x14ac:dyDescent="0.2">
      <c r="A58" s="1128" t="str">
        <f>"Diesel, Centrally Refueled: " &amp;TEXT(RtimeCls2Cent1,"mm/dd/yyyy hh:mm")</f>
        <v>Diesel, Centrally Refueled: 11/04/2020 14:43</v>
      </c>
    </row>
    <row r="59" spans="1:15" x14ac:dyDescent="0.2">
      <c r="A59" s="1128" t="str">
        <f>"Diesel, Non-Centrally Refueled: " &amp;TEXT(RtimeCls2NCent1,"mm/dd/yyyy hh:mm")</f>
        <v>Diesel, Non-Centrally Refueled: 11/04/2020 14:43</v>
      </c>
    </row>
  </sheetData>
  <mergeCells count="7">
    <mergeCell ref="A3:O3"/>
    <mergeCell ref="N4:O4"/>
    <mergeCell ref="N5:O5"/>
    <mergeCell ref="B5:G5"/>
    <mergeCell ref="B4:G4"/>
    <mergeCell ref="H4:M4"/>
    <mergeCell ref="H5:M5"/>
  </mergeCells>
  <phoneticPr fontId="59" type="noConversion"/>
  <conditionalFormatting sqref="E6:G52">
    <cfRule type="expression" dxfId="8" priority="5">
      <formula>E$7 = "not used"</formula>
    </cfRule>
  </conditionalFormatting>
  <conditionalFormatting sqref="K6:M8">
    <cfRule type="expression" dxfId="7" priority="3">
      <formula>K$7 = "not used"</formula>
    </cfRule>
  </conditionalFormatting>
  <conditionalFormatting sqref="K9:M52">
    <cfRule type="expression" dxfId="6"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ltShr">
    <tabColor rgb="FF008000"/>
  </sheetPr>
  <dimension ref="A1:Q60"/>
  <sheetViews>
    <sheetView zoomScale="70" zoomScaleNormal="70" workbookViewId="0">
      <selection activeCell="B5" sqref="B5:G5"/>
    </sheetView>
  </sheetViews>
  <sheetFormatPr defaultColWidth="9.140625" defaultRowHeight="12.75" x14ac:dyDescent="0.2"/>
  <cols>
    <col min="1" max="1" width="9.140625" style="1119"/>
    <col min="2" max="2" width="13.28515625" style="1119" customWidth="1"/>
    <col min="3" max="7" width="10.42578125" style="1119" customWidth="1"/>
    <col min="8" max="8" width="13.85546875" style="1119" customWidth="1"/>
    <col min="9" max="13" width="10.42578125" style="1119" customWidth="1"/>
    <col min="14" max="16384" width="9.140625" style="1119"/>
  </cols>
  <sheetData>
    <row r="1" spans="1:17" x14ac:dyDescent="0.2">
      <c r="A1" s="1148"/>
    </row>
    <row r="2" spans="1:17" ht="13.5" thickBot="1" x14ac:dyDescent="0.25"/>
    <row r="3" spans="1:17" ht="19.5" thickBot="1" x14ac:dyDescent="0.35">
      <c r="A3" s="1669" t="s">
        <v>304</v>
      </c>
      <c r="B3" s="1670"/>
      <c r="C3" s="1670"/>
      <c r="D3" s="1670"/>
      <c r="E3" s="1670"/>
      <c r="F3" s="1670"/>
      <c r="G3" s="1670"/>
      <c r="H3" s="1670"/>
      <c r="I3" s="1670"/>
      <c r="J3" s="1670"/>
      <c r="K3" s="1670"/>
      <c r="L3" s="1670"/>
      <c r="M3" s="1670"/>
    </row>
    <row r="4" spans="1:17" ht="15" x14ac:dyDescent="0.25">
      <c r="A4" s="1121"/>
      <c r="B4" s="1679" t="s">
        <v>265</v>
      </c>
      <c r="C4" s="1680"/>
      <c r="D4" s="1680"/>
      <c r="E4" s="1680"/>
      <c r="F4" s="1680"/>
      <c r="G4" s="1681"/>
      <c r="H4" s="1679" t="s">
        <v>266</v>
      </c>
      <c r="I4" s="1680"/>
      <c r="J4" s="1680"/>
      <c r="K4" s="1680"/>
      <c r="L4" s="1680"/>
      <c r="M4" s="1681"/>
    </row>
    <row r="5" spans="1:17" ht="15" x14ac:dyDescent="0.25">
      <c r="A5" s="1122"/>
      <c r="B5" s="1691">
        <f>'Market Data'!C49/('Market Data'!E49+'Market Data'!C49)</f>
        <v>0.42430870386415642</v>
      </c>
      <c r="C5" s="1692"/>
      <c r="D5" s="1692"/>
      <c r="E5" s="1692"/>
      <c r="F5" s="1692"/>
      <c r="G5" s="1693"/>
      <c r="H5" s="1694">
        <f>'Market Data'!M49/('Market Data'!M49+'Market Data'!O49)</f>
        <v>0.41178568019302908</v>
      </c>
      <c r="I5" s="1695"/>
      <c r="J5" s="1695"/>
      <c r="K5" s="1695"/>
      <c r="L5" s="1695"/>
      <c r="M5" s="1696"/>
    </row>
    <row r="6" spans="1:17" ht="15" x14ac:dyDescent="0.25">
      <c r="A6" s="1122"/>
      <c r="B6" s="1687" t="s">
        <v>133</v>
      </c>
      <c r="C6" s="1688"/>
      <c r="D6" s="1688"/>
      <c r="E6" s="1688"/>
      <c r="F6" s="1688"/>
      <c r="G6" s="1689"/>
      <c r="H6" s="1687" t="s">
        <v>133</v>
      </c>
      <c r="I6" s="1688"/>
      <c r="J6" s="1688"/>
      <c r="K6" s="1688"/>
      <c r="L6" s="1688"/>
      <c r="M6" s="1689"/>
    </row>
    <row r="7" spans="1:17" ht="15" x14ac:dyDescent="0.25">
      <c r="A7" s="1122"/>
      <c r="B7" s="1149" t="s">
        <v>72</v>
      </c>
      <c r="C7" s="1150" t="s">
        <v>68</v>
      </c>
      <c r="D7" s="1150" t="s">
        <v>69</v>
      </c>
      <c r="E7" s="1150" t="s">
        <v>70</v>
      </c>
      <c r="F7" s="1150" t="s">
        <v>178</v>
      </c>
      <c r="G7" s="1151" t="s">
        <v>179</v>
      </c>
      <c r="H7" s="1149" t="s">
        <v>72</v>
      </c>
      <c r="I7" s="1150" t="s">
        <v>68</v>
      </c>
      <c r="J7" s="1150" t="s">
        <v>69</v>
      </c>
      <c r="K7" s="1150" t="s">
        <v>70</v>
      </c>
      <c r="L7" s="1150" t="s">
        <v>178</v>
      </c>
      <c r="M7" s="1151" t="s">
        <v>179</v>
      </c>
    </row>
    <row r="8" spans="1:17" s="1147" customFormat="1" ht="30" x14ac:dyDescent="0.2">
      <c r="A8" s="1146"/>
      <c r="B8" s="1152" t="str">
        <f t="shared" ref="B8:G8" si="0">INDEX(TECH_OPT_DESC_Cls1,MATCH(B7,TECH_OPT_ROWS_Cls1,0))</f>
        <v>Conventional gasoline</v>
      </c>
      <c r="C8" s="1153" t="str">
        <f t="shared" si="0"/>
        <v>not used</v>
      </c>
      <c r="D8" s="1153" t="str">
        <f t="shared" si="0"/>
        <v>not used</v>
      </c>
      <c r="E8" s="1153" t="str">
        <f t="shared" si="0"/>
        <v>not used</v>
      </c>
      <c r="F8" s="1153" t="str">
        <f t="shared" si="0"/>
        <v>not used</v>
      </c>
      <c r="G8" s="1154" t="str">
        <f t="shared" si="0"/>
        <v>not used</v>
      </c>
      <c r="H8" s="1152" t="str">
        <f t="shared" ref="H8:M8" si="1">INDEX(TECH_OPT_DESC_Cls2,MATCH(H7,TECH_OPT_ROWS_Cls2,0))</f>
        <v>Conventional Diesel ICE</v>
      </c>
      <c r="I8" s="1153" t="str">
        <f t="shared" si="1"/>
        <v>Adv Conv</v>
      </c>
      <c r="J8" s="1153" t="str">
        <f t="shared" si="1"/>
        <v>HEV</v>
      </c>
      <c r="K8" s="1153" t="str">
        <f t="shared" si="1"/>
        <v>BEV</v>
      </c>
      <c r="L8" s="1153" t="str">
        <f t="shared" si="1"/>
        <v>FCEV</v>
      </c>
      <c r="M8" s="1154" t="str">
        <f t="shared" si="1"/>
        <v>PHEV</v>
      </c>
    </row>
    <row r="9" spans="1:17" ht="15.75" thickBot="1" x14ac:dyDescent="0.3">
      <c r="A9" s="1126" t="s">
        <v>3</v>
      </c>
      <c r="B9" s="1155" t="str">
        <f t="shared" ref="B9:G9" si="2">INDEX(TECH_OPT_FUEL1_Cls1,MATCH(B7,TECH_OPT_ROWS_Cls1,0))</f>
        <v>Diesel</v>
      </c>
      <c r="C9" s="1156" t="str">
        <f t="shared" si="2"/>
        <v>Diesel</v>
      </c>
      <c r="D9" s="1156" t="str">
        <f t="shared" si="2"/>
        <v>Diesel</v>
      </c>
      <c r="E9" s="1156" t="str">
        <f t="shared" si="2"/>
        <v>Diesel</v>
      </c>
      <c r="F9" s="1156" t="str">
        <f t="shared" si="2"/>
        <v>Electricity</v>
      </c>
      <c r="G9" s="1157" t="str">
        <f t="shared" si="2"/>
        <v>Hydrogen</v>
      </c>
      <c r="H9" s="1158" t="str">
        <f t="shared" ref="H9:M9" si="3">INDEX(TECH_OPT_FUEL1_Cls2,MATCH(H7,TECH_OPT_ROWS_Cls2,0))</f>
        <v>Diesel</v>
      </c>
      <c r="I9" s="1156" t="str">
        <f t="shared" si="3"/>
        <v>Diesel</v>
      </c>
      <c r="J9" s="1156" t="str">
        <f t="shared" si="3"/>
        <v>Diesel</v>
      </c>
      <c r="K9" s="1156" t="str">
        <f t="shared" si="3"/>
        <v>Electricity</v>
      </c>
      <c r="L9" s="1156" t="str">
        <f t="shared" si="3"/>
        <v>Hydrogen</v>
      </c>
      <c r="M9" s="1157" t="str">
        <f t="shared" si="3"/>
        <v>Diesel</v>
      </c>
    </row>
    <row r="10" spans="1:17" ht="15.75" thickTop="1" x14ac:dyDescent="0.25">
      <c r="A10" s="1124">
        <v>2007</v>
      </c>
      <c r="B10" s="1139">
        <f>IF('Mkt Pen Veh-Mi'!B9=0,$B$5,($B$5-SUMPRODUCT(C10:G10,'Mkt Pen Veh-Mi'!C9:G9))/'Mkt Pen Veh-Mi'!B9)</f>
        <v>0.42430870386415642</v>
      </c>
      <c r="C10" s="1140">
        <f t="shared" ref="C10:C53" si="4">INDEX(Cls1TechACentShr,MATCH($A10,$A$10:$A$53,0))</f>
        <v>0</v>
      </c>
      <c r="D10" s="1140">
        <f t="shared" ref="D10:D53" si="5">INDEX(Cls1TechBCentShr,MATCH($A10,$A$10:$A$53,0))</f>
        <v>0</v>
      </c>
      <c r="E10" s="1140">
        <f t="shared" ref="E10:E53" si="6">INDEX(Cls1TechCCentShr,MATCH($A10,$A$10:$A$53,0))</f>
        <v>0</v>
      </c>
      <c r="F10" s="1140">
        <f t="shared" ref="F10:F53" si="7">INDEX(Cls1TechDCentShr,MATCH($A10,$A$10:$A$53,0))</f>
        <v>0</v>
      </c>
      <c r="G10" s="1141">
        <f t="shared" ref="G10:G53" si="8">INDEX(Cls1TechECentShr,MATCH($A10,$A$10:$A$53,0))</f>
        <v>0</v>
      </c>
      <c r="H10" s="835">
        <f>IF('Mkt Pen Veh-Mi'!H9=0,$H$5,($H$5-SUMPRODUCT(I10:M10,'Mkt Pen Veh-Mi'!I9:M9))/'Mkt Pen Veh-Mi'!H9)</f>
        <v>0.41178568019302908</v>
      </c>
      <c r="I10" s="1140">
        <f t="shared" ref="I10:I53" si="9">INDEX(Cls2TechACentShr,MATCH($A10,$A$10:$A$53,0))</f>
        <v>0</v>
      </c>
      <c r="J10" s="1140">
        <f t="shared" ref="J10:J53" si="10">INDEX(Cls2TechBCentShr,MATCH($A10,$A$10:$A$53,0))</f>
        <v>0</v>
      </c>
      <c r="K10" s="1140">
        <f t="shared" ref="K10:K53" si="11">INDEX(Cls2TechCCentShr,MATCH($A10,$A$10:$A$53,0))</f>
        <v>0</v>
      </c>
      <c r="L10" s="1140">
        <f t="shared" ref="L10:L53" si="12">INDEX(Cls2TechDCentShr,MATCH($A10,$A$10:$A$53,0))</f>
        <v>0</v>
      </c>
      <c r="M10" s="1141">
        <f t="shared" ref="M10:M53" si="13">INDEX(Cls2TechECentShr,MATCH($A10,$A$10:$A$53,0))</f>
        <v>0</v>
      </c>
      <c r="P10" s="1118"/>
      <c r="Q10" s="1178"/>
    </row>
    <row r="11" spans="1:17" ht="15" x14ac:dyDescent="0.25">
      <c r="A11" s="1124">
        <v>2008</v>
      </c>
      <c r="B11" s="1133">
        <f>IF('Mkt Pen Veh-Mi'!B10=0,$B$5,($B$5-SUMPRODUCT(C11:G11,'Mkt Pen Veh-Mi'!C10:G10))/'Mkt Pen Veh-Mi'!B10)</f>
        <v>0.42430870386415642</v>
      </c>
      <c r="C11" s="1134">
        <f t="shared" si="4"/>
        <v>0</v>
      </c>
      <c r="D11" s="1134">
        <f t="shared" si="5"/>
        <v>0</v>
      </c>
      <c r="E11" s="1134">
        <f t="shared" si="6"/>
        <v>0</v>
      </c>
      <c r="F11" s="1134">
        <f t="shared" si="7"/>
        <v>0</v>
      </c>
      <c r="G11" s="1135">
        <f t="shared" si="8"/>
        <v>0</v>
      </c>
      <c r="H11" s="833">
        <f>IF('Mkt Pen Veh-Mi'!H10=0,$H$5,($H$5-SUMPRODUCT(I11:M11,'Mkt Pen Veh-Mi'!I10:M10))/'Mkt Pen Veh-Mi'!H10)</f>
        <v>0.41178568019302908</v>
      </c>
      <c r="I11" s="1129">
        <f t="shared" si="9"/>
        <v>0</v>
      </c>
      <c r="J11" s="1129">
        <f t="shared" si="10"/>
        <v>0</v>
      </c>
      <c r="K11" s="1129">
        <f t="shared" si="11"/>
        <v>0</v>
      </c>
      <c r="L11" s="1129">
        <f t="shared" si="12"/>
        <v>0</v>
      </c>
      <c r="M11" s="671">
        <f t="shared" si="13"/>
        <v>0</v>
      </c>
      <c r="P11" s="1118"/>
      <c r="Q11" s="1178"/>
    </row>
    <row r="12" spans="1:17" ht="15" x14ac:dyDescent="0.25">
      <c r="A12" s="1124">
        <v>2009</v>
      </c>
      <c r="B12" s="1133">
        <f>IF('Mkt Pen Veh-Mi'!B11=0,$B$5,($B$5-SUMPRODUCT(C12:G12,'Mkt Pen Veh-Mi'!C11:G11))/'Mkt Pen Veh-Mi'!B11)</f>
        <v>0.42430870386415642</v>
      </c>
      <c r="C12" s="1134">
        <f t="shared" si="4"/>
        <v>0</v>
      </c>
      <c r="D12" s="1134">
        <f t="shared" si="5"/>
        <v>0</v>
      </c>
      <c r="E12" s="1134">
        <f t="shared" si="6"/>
        <v>0</v>
      </c>
      <c r="F12" s="1134">
        <f t="shared" si="7"/>
        <v>0</v>
      </c>
      <c r="G12" s="1135">
        <f t="shared" si="8"/>
        <v>0</v>
      </c>
      <c r="H12" s="833">
        <f>IF('Mkt Pen Veh-Mi'!H11=0,$H$5,($H$5-SUMPRODUCT(I12:M12,'Mkt Pen Veh-Mi'!I11:M11))/'Mkt Pen Veh-Mi'!H11)</f>
        <v>0.41178568019302908</v>
      </c>
      <c r="I12" s="1129">
        <f t="shared" si="9"/>
        <v>0</v>
      </c>
      <c r="J12" s="1129">
        <f t="shared" si="10"/>
        <v>0</v>
      </c>
      <c r="K12" s="1129">
        <f t="shared" si="11"/>
        <v>0</v>
      </c>
      <c r="L12" s="1129">
        <f t="shared" si="12"/>
        <v>0</v>
      </c>
      <c r="M12" s="671">
        <f t="shared" si="13"/>
        <v>0</v>
      </c>
      <c r="P12" s="1118"/>
      <c r="Q12" s="1178"/>
    </row>
    <row r="13" spans="1:17" ht="15" x14ac:dyDescent="0.25">
      <c r="A13" s="1123">
        <v>2010</v>
      </c>
      <c r="B13" s="1136">
        <f>IF('Mkt Pen Veh-Mi'!B12=0,$B$5,($B$5-SUMPRODUCT(C13:G13,'Mkt Pen Veh-Mi'!C12:G12))/'Mkt Pen Veh-Mi'!B12)</f>
        <v>0.42430870386415642</v>
      </c>
      <c r="C13" s="1137">
        <f t="shared" si="4"/>
        <v>0</v>
      </c>
      <c r="D13" s="1137">
        <f t="shared" si="5"/>
        <v>0</v>
      </c>
      <c r="E13" s="1137">
        <f t="shared" si="6"/>
        <v>0</v>
      </c>
      <c r="F13" s="1137">
        <f t="shared" si="7"/>
        <v>0</v>
      </c>
      <c r="G13" s="1138">
        <f t="shared" si="8"/>
        <v>0</v>
      </c>
      <c r="H13" s="834">
        <f>IF('Mkt Pen Veh-Mi'!H12=0,$H$5,($H$5-SUMPRODUCT(I13:M13,'Mkt Pen Veh-Mi'!I12:M12))/'Mkt Pen Veh-Mi'!H12)</f>
        <v>0.41178568019302908</v>
      </c>
      <c r="I13" s="1130">
        <f t="shared" si="9"/>
        <v>0</v>
      </c>
      <c r="J13" s="1130">
        <f t="shared" si="10"/>
        <v>0</v>
      </c>
      <c r="K13" s="1130">
        <f t="shared" si="11"/>
        <v>0</v>
      </c>
      <c r="L13" s="1130">
        <f t="shared" si="12"/>
        <v>0</v>
      </c>
      <c r="M13" s="672">
        <f t="shared" si="13"/>
        <v>0</v>
      </c>
      <c r="P13" s="1118"/>
      <c r="Q13" s="1178"/>
    </row>
    <row r="14" spans="1:17" ht="15" x14ac:dyDescent="0.25">
      <c r="A14" s="1124">
        <v>2011</v>
      </c>
      <c r="B14" s="1139">
        <f>IF('Mkt Pen Veh-Mi'!B13=0,$B$5,($B$5-SUMPRODUCT(C14:G14,'Mkt Pen Veh-Mi'!C13:G13))/'Mkt Pen Veh-Mi'!B13)</f>
        <v>0.42430870386415642</v>
      </c>
      <c r="C14" s="1140">
        <f t="shared" si="4"/>
        <v>0</v>
      </c>
      <c r="D14" s="1140">
        <f t="shared" si="5"/>
        <v>0</v>
      </c>
      <c r="E14" s="1140">
        <f t="shared" si="6"/>
        <v>0</v>
      </c>
      <c r="F14" s="1140">
        <f t="shared" si="7"/>
        <v>0</v>
      </c>
      <c r="G14" s="1141">
        <f t="shared" si="8"/>
        <v>0</v>
      </c>
      <c r="H14" s="835">
        <f>IF('Mkt Pen Veh-Mi'!H13=0,$H$5,($H$5-SUMPRODUCT(I14:M14,'Mkt Pen Veh-Mi'!I13:M13))/'Mkt Pen Veh-Mi'!H13)</f>
        <v>0.41178568019302908</v>
      </c>
      <c r="I14" s="1131">
        <f t="shared" si="9"/>
        <v>0</v>
      </c>
      <c r="J14" s="1131">
        <f t="shared" si="10"/>
        <v>0</v>
      </c>
      <c r="K14" s="1131">
        <f t="shared" si="11"/>
        <v>0</v>
      </c>
      <c r="L14" s="1131">
        <f t="shared" si="12"/>
        <v>0</v>
      </c>
      <c r="M14" s="673">
        <f t="shared" si="13"/>
        <v>0</v>
      </c>
      <c r="P14" s="1118"/>
      <c r="Q14" s="1178"/>
    </row>
    <row r="15" spans="1:17" ht="15" x14ac:dyDescent="0.25">
      <c r="A15" s="1124">
        <v>2012</v>
      </c>
      <c r="B15" s="1133">
        <f>IF('Mkt Pen Veh-Mi'!B14=0,$B$5,($B$5-SUMPRODUCT(C15:G15,'Mkt Pen Veh-Mi'!C14:G14))/'Mkt Pen Veh-Mi'!B14)</f>
        <v>0.42430870386415642</v>
      </c>
      <c r="C15" s="1134">
        <f t="shared" si="4"/>
        <v>0</v>
      </c>
      <c r="D15" s="1134">
        <f t="shared" si="5"/>
        <v>0</v>
      </c>
      <c r="E15" s="1134">
        <f t="shared" si="6"/>
        <v>0</v>
      </c>
      <c r="F15" s="1134">
        <f t="shared" si="7"/>
        <v>0</v>
      </c>
      <c r="G15" s="1135">
        <f t="shared" si="8"/>
        <v>0</v>
      </c>
      <c r="H15" s="833">
        <f>IF('Mkt Pen Veh-Mi'!H14=0,$H$5,($H$5-SUMPRODUCT(I15:M15,'Mkt Pen Veh-Mi'!I14:M14))/'Mkt Pen Veh-Mi'!H14)</f>
        <v>0.41178568019302908</v>
      </c>
      <c r="I15" s="1129">
        <f t="shared" si="9"/>
        <v>0</v>
      </c>
      <c r="J15" s="1129">
        <f t="shared" si="10"/>
        <v>0</v>
      </c>
      <c r="K15" s="1129">
        <f t="shared" si="11"/>
        <v>0</v>
      </c>
      <c r="L15" s="1129">
        <f t="shared" si="12"/>
        <v>0</v>
      </c>
      <c r="M15" s="671">
        <f t="shared" si="13"/>
        <v>0</v>
      </c>
      <c r="P15" s="1118"/>
      <c r="Q15" s="1178"/>
    </row>
    <row r="16" spans="1:17" ht="15" x14ac:dyDescent="0.25">
      <c r="A16" s="1124">
        <v>2013</v>
      </c>
      <c r="B16" s="1133">
        <f>IF('Mkt Pen Veh-Mi'!B15=0,$B$5,($B$5-SUMPRODUCT(C16:G16,'Mkt Pen Veh-Mi'!C15:G15))/'Mkt Pen Veh-Mi'!B15)</f>
        <v>0.42430870386415642</v>
      </c>
      <c r="C16" s="1134">
        <f t="shared" si="4"/>
        <v>0</v>
      </c>
      <c r="D16" s="1134">
        <f t="shared" si="5"/>
        <v>0</v>
      </c>
      <c r="E16" s="1134">
        <f t="shared" si="6"/>
        <v>0</v>
      </c>
      <c r="F16" s="1134">
        <f t="shared" si="7"/>
        <v>0</v>
      </c>
      <c r="G16" s="1135">
        <f t="shared" si="8"/>
        <v>0</v>
      </c>
      <c r="H16" s="833">
        <f>IF('Mkt Pen Veh-Mi'!H15=0,$H$5,($H$5-SUMPRODUCT(I16:M16,'Mkt Pen Veh-Mi'!I15:M15))/'Mkt Pen Veh-Mi'!H15)</f>
        <v>0.41178568019302908</v>
      </c>
      <c r="I16" s="1129">
        <f t="shared" si="9"/>
        <v>0</v>
      </c>
      <c r="J16" s="1129">
        <f t="shared" si="10"/>
        <v>0</v>
      </c>
      <c r="K16" s="1129">
        <f t="shared" si="11"/>
        <v>0</v>
      </c>
      <c r="L16" s="1129">
        <f t="shared" si="12"/>
        <v>0</v>
      </c>
      <c r="M16" s="671">
        <f t="shared" si="13"/>
        <v>0</v>
      </c>
      <c r="P16" s="1118"/>
      <c r="Q16" s="1178"/>
    </row>
    <row r="17" spans="1:17" ht="15" x14ac:dyDescent="0.25">
      <c r="A17" s="1124">
        <v>2014</v>
      </c>
      <c r="B17" s="1133">
        <f>IF('Mkt Pen Veh-Mi'!B16=0,$B$5,($B$5-SUMPRODUCT(C17:G17,'Mkt Pen Veh-Mi'!C16:G16))/'Mkt Pen Veh-Mi'!B16)</f>
        <v>0.42430870386415642</v>
      </c>
      <c r="C17" s="1134">
        <f t="shared" si="4"/>
        <v>0</v>
      </c>
      <c r="D17" s="1134">
        <f t="shared" si="5"/>
        <v>0</v>
      </c>
      <c r="E17" s="1134">
        <f t="shared" si="6"/>
        <v>0</v>
      </c>
      <c r="F17" s="1134">
        <f t="shared" si="7"/>
        <v>0</v>
      </c>
      <c r="G17" s="1135">
        <f t="shared" si="8"/>
        <v>0</v>
      </c>
      <c r="H17" s="833">
        <f>IF('Mkt Pen Veh-Mi'!H16=0,$H$5,($H$5-SUMPRODUCT(I17:M17,'Mkt Pen Veh-Mi'!I16:M16))/'Mkt Pen Veh-Mi'!H16)</f>
        <v>0.41178568019302908</v>
      </c>
      <c r="I17" s="1129">
        <f t="shared" si="9"/>
        <v>0</v>
      </c>
      <c r="J17" s="1129">
        <f t="shared" si="10"/>
        <v>0</v>
      </c>
      <c r="K17" s="1129">
        <f t="shared" si="11"/>
        <v>0</v>
      </c>
      <c r="L17" s="1129">
        <f t="shared" si="12"/>
        <v>0</v>
      </c>
      <c r="M17" s="671">
        <f t="shared" si="13"/>
        <v>0</v>
      </c>
      <c r="P17" s="1118"/>
      <c r="Q17" s="1178"/>
    </row>
    <row r="18" spans="1:17" ht="15" x14ac:dyDescent="0.25">
      <c r="A18" s="1123">
        <v>2015</v>
      </c>
      <c r="B18" s="1136">
        <f>IF('Mkt Pen Veh-Mi'!B17=0,$B$5,($B$5-SUMPRODUCT(C18:G18,'Mkt Pen Veh-Mi'!C17:G17))/'Mkt Pen Veh-Mi'!B17)</f>
        <v>0.42430870386415642</v>
      </c>
      <c r="C18" s="1137">
        <f t="shared" si="4"/>
        <v>0</v>
      </c>
      <c r="D18" s="1137">
        <f t="shared" si="5"/>
        <v>0</v>
      </c>
      <c r="E18" s="1137">
        <f t="shared" si="6"/>
        <v>0</v>
      </c>
      <c r="F18" s="1137">
        <f t="shared" si="7"/>
        <v>0</v>
      </c>
      <c r="G18" s="1138">
        <f t="shared" si="8"/>
        <v>0</v>
      </c>
      <c r="H18" s="834">
        <f>IF('Mkt Pen Veh-Mi'!H17=0,$H$5,($H$5-SUMPRODUCT(I18:M18,'Mkt Pen Veh-Mi'!I17:M17))/'Mkt Pen Veh-Mi'!H17)</f>
        <v>0.41178568019302908</v>
      </c>
      <c r="I18" s="1130">
        <f t="shared" si="9"/>
        <v>0</v>
      </c>
      <c r="J18" s="1130">
        <f t="shared" si="10"/>
        <v>0</v>
      </c>
      <c r="K18" s="1130">
        <f t="shared" si="11"/>
        <v>0</v>
      </c>
      <c r="L18" s="1130">
        <f t="shared" si="12"/>
        <v>0</v>
      </c>
      <c r="M18" s="672">
        <f t="shared" si="13"/>
        <v>0</v>
      </c>
      <c r="P18" s="1118"/>
      <c r="Q18" s="1178"/>
    </row>
    <row r="19" spans="1:17" ht="15" x14ac:dyDescent="0.25">
      <c r="A19" s="1124">
        <v>2016</v>
      </c>
      <c r="B19" s="1139">
        <f>IF('Mkt Pen Veh-Mi'!B18=0,$B$5,($B$5-SUMPRODUCT(C19:G19,'Mkt Pen Veh-Mi'!C18:G18))/'Mkt Pen Veh-Mi'!B18)</f>
        <v>0.42430870386415642</v>
      </c>
      <c r="C19" s="1140">
        <f t="shared" si="4"/>
        <v>0</v>
      </c>
      <c r="D19" s="1140">
        <f t="shared" si="5"/>
        <v>0</v>
      </c>
      <c r="E19" s="1140">
        <f t="shared" si="6"/>
        <v>0</v>
      </c>
      <c r="F19" s="1140">
        <f t="shared" si="7"/>
        <v>0</v>
      </c>
      <c r="G19" s="1141">
        <f t="shared" si="8"/>
        <v>0</v>
      </c>
      <c r="H19" s="835">
        <f>IF('Mkt Pen Veh-Mi'!H18=0,$H$5,($H$5-SUMPRODUCT(I19:M19,'Mkt Pen Veh-Mi'!I18:M18))/'Mkt Pen Veh-Mi'!H18)</f>
        <v>0.41178568019302908</v>
      </c>
      <c r="I19" s="1131">
        <f t="shared" si="9"/>
        <v>0</v>
      </c>
      <c r="J19" s="1131">
        <f t="shared" si="10"/>
        <v>0</v>
      </c>
      <c r="K19" s="1131">
        <f t="shared" si="11"/>
        <v>0</v>
      </c>
      <c r="L19" s="1131">
        <f t="shared" si="12"/>
        <v>0</v>
      </c>
      <c r="M19" s="673">
        <f t="shared" si="13"/>
        <v>0</v>
      </c>
      <c r="P19" s="1118"/>
      <c r="Q19" s="1178"/>
    </row>
    <row r="20" spans="1:17" ht="15" x14ac:dyDescent="0.25">
      <c r="A20" s="1124">
        <v>2017</v>
      </c>
      <c r="B20" s="1133">
        <f>IF('Mkt Pen Veh-Mi'!B19=0,$B$5,($B$5-SUMPRODUCT(C20:G20,'Mkt Pen Veh-Mi'!C19:G19))/'Mkt Pen Veh-Mi'!B19)</f>
        <v>0.42430870386415642</v>
      </c>
      <c r="C20" s="1134">
        <f t="shared" si="4"/>
        <v>0</v>
      </c>
      <c r="D20" s="1134">
        <f t="shared" si="5"/>
        <v>0</v>
      </c>
      <c r="E20" s="1134">
        <f t="shared" si="6"/>
        <v>0</v>
      </c>
      <c r="F20" s="1134">
        <f t="shared" si="7"/>
        <v>0</v>
      </c>
      <c r="G20" s="1135">
        <f t="shared" si="8"/>
        <v>0</v>
      </c>
      <c r="H20" s="833">
        <f>IF('Mkt Pen Veh-Mi'!H19=0,$H$5,($H$5-SUMPRODUCT(I20:M20,'Mkt Pen Veh-Mi'!I19:M19))/'Mkt Pen Veh-Mi'!H19)</f>
        <v>0.41178568019302908</v>
      </c>
      <c r="I20" s="1129">
        <f t="shared" si="9"/>
        <v>0</v>
      </c>
      <c r="J20" s="1129">
        <f t="shared" si="10"/>
        <v>0</v>
      </c>
      <c r="K20" s="1129">
        <f t="shared" si="11"/>
        <v>0</v>
      </c>
      <c r="L20" s="1129">
        <f t="shared" si="12"/>
        <v>0</v>
      </c>
      <c r="M20" s="671">
        <f t="shared" si="13"/>
        <v>0</v>
      </c>
      <c r="P20" s="1118"/>
      <c r="Q20" s="1178"/>
    </row>
    <row r="21" spans="1:17" ht="15" x14ac:dyDescent="0.25">
      <c r="A21" s="1124">
        <v>2018</v>
      </c>
      <c r="B21" s="1133">
        <f>IF('Mkt Pen Veh-Mi'!B20=0,$B$5,($B$5-SUMPRODUCT(C21:G21,'Mkt Pen Veh-Mi'!C20:G20))/'Mkt Pen Veh-Mi'!B20)</f>
        <v>0.42430870386415642</v>
      </c>
      <c r="C21" s="1134">
        <f t="shared" si="4"/>
        <v>0</v>
      </c>
      <c r="D21" s="1134">
        <f t="shared" si="5"/>
        <v>0</v>
      </c>
      <c r="E21" s="1134">
        <f t="shared" si="6"/>
        <v>0</v>
      </c>
      <c r="F21" s="1134">
        <f t="shared" si="7"/>
        <v>0</v>
      </c>
      <c r="G21" s="1135">
        <f t="shared" si="8"/>
        <v>0</v>
      </c>
      <c r="H21" s="833">
        <f>IF('Mkt Pen Veh-Mi'!H20=0,$H$5,($H$5-SUMPRODUCT(I21:M21,'Mkt Pen Veh-Mi'!I20:M20))/'Mkt Pen Veh-Mi'!H20)</f>
        <v>0.41178568019302908</v>
      </c>
      <c r="I21" s="1129">
        <f t="shared" si="9"/>
        <v>0</v>
      </c>
      <c r="J21" s="1129">
        <f t="shared" si="10"/>
        <v>0</v>
      </c>
      <c r="K21" s="1129">
        <f t="shared" si="11"/>
        <v>0</v>
      </c>
      <c r="L21" s="1129">
        <f t="shared" si="12"/>
        <v>0</v>
      </c>
      <c r="M21" s="671">
        <f t="shared" si="13"/>
        <v>0</v>
      </c>
      <c r="P21" s="1118"/>
      <c r="Q21" s="1178"/>
    </row>
    <row r="22" spans="1:17" ht="15" x14ac:dyDescent="0.25">
      <c r="A22" s="1124">
        <v>2019</v>
      </c>
      <c r="B22" s="1133">
        <f>IF('Mkt Pen Veh-Mi'!B21=0,$B$5,($B$5-SUMPRODUCT(C22:G22,'Mkt Pen Veh-Mi'!C21:G21))/'Mkt Pen Veh-Mi'!B21)</f>
        <v>0.42430870386415642</v>
      </c>
      <c r="C22" s="1134">
        <f t="shared" si="4"/>
        <v>0</v>
      </c>
      <c r="D22" s="1134">
        <f t="shared" si="5"/>
        <v>0</v>
      </c>
      <c r="E22" s="1134">
        <f t="shared" si="6"/>
        <v>0</v>
      </c>
      <c r="F22" s="1134">
        <f t="shared" si="7"/>
        <v>0</v>
      </c>
      <c r="G22" s="1135">
        <f t="shared" si="8"/>
        <v>0</v>
      </c>
      <c r="H22" s="833">
        <f>IF('Mkt Pen Veh-Mi'!H21=0,$H$5,($H$5-SUMPRODUCT(I22:M22,'Mkt Pen Veh-Mi'!I21:M21))/'Mkt Pen Veh-Mi'!H21)</f>
        <v>0.41178568019302908</v>
      </c>
      <c r="I22" s="1129">
        <f t="shared" si="9"/>
        <v>0</v>
      </c>
      <c r="J22" s="1129">
        <f t="shared" si="10"/>
        <v>0</v>
      </c>
      <c r="K22" s="1129">
        <f t="shared" si="11"/>
        <v>0</v>
      </c>
      <c r="L22" s="1129">
        <f t="shared" si="12"/>
        <v>0</v>
      </c>
      <c r="M22" s="671">
        <f t="shared" si="13"/>
        <v>0</v>
      </c>
      <c r="P22" s="1118"/>
      <c r="Q22" s="1178"/>
    </row>
    <row r="23" spans="1:17" ht="15" x14ac:dyDescent="0.25">
      <c r="A23" s="1123">
        <v>2020</v>
      </c>
      <c r="B23" s="1136">
        <f>IF('Mkt Pen Veh-Mi'!B22=0,$B$5,($B$5-SUMPRODUCT(C23:G23,'Mkt Pen Veh-Mi'!C22:G22))/'Mkt Pen Veh-Mi'!B22)</f>
        <v>0.42430870386415642</v>
      </c>
      <c r="C23" s="1137">
        <f t="shared" si="4"/>
        <v>0</v>
      </c>
      <c r="D23" s="1137">
        <f t="shared" si="5"/>
        <v>0</v>
      </c>
      <c r="E23" s="1137">
        <f t="shared" si="6"/>
        <v>0</v>
      </c>
      <c r="F23" s="1137">
        <f t="shared" si="7"/>
        <v>0</v>
      </c>
      <c r="G23" s="1138">
        <f t="shared" si="8"/>
        <v>0</v>
      </c>
      <c r="H23" s="834">
        <f>IF('Mkt Pen Veh-Mi'!H22=0,$H$5,($H$5-SUMPRODUCT(I23:M23,'Mkt Pen Veh-Mi'!I22:M22))/'Mkt Pen Veh-Mi'!H22)</f>
        <v>0.41178568019302908</v>
      </c>
      <c r="I23" s="1130">
        <f t="shared" si="9"/>
        <v>0</v>
      </c>
      <c r="J23" s="1130">
        <f t="shared" si="10"/>
        <v>0</v>
      </c>
      <c r="K23" s="1130">
        <f t="shared" si="11"/>
        <v>0</v>
      </c>
      <c r="L23" s="1130">
        <f t="shared" si="12"/>
        <v>0</v>
      </c>
      <c r="M23" s="672">
        <f t="shared" si="13"/>
        <v>0</v>
      </c>
      <c r="P23" s="1118"/>
      <c r="Q23" s="1178"/>
    </row>
    <row r="24" spans="1:17" ht="15" x14ac:dyDescent="0.25">
      <c r="A24" s="1124">
        <v>2021</v>
      </c>
      <c r="B24" s="1139">
        <f>IF('Mkt Pen Veh-Mi'!B23=0,$B$5,($B$5-SUMPRODUCT(C24:G24,'Mkt Pen Veh-Mi'!C23:G23))/'Mkt Pen Veh-Mi'!B23)</f>
        <v>0.42430870386415642</v>
      </c>
      <c r="C24" s="1140">
        <f t="shared" si="4"/>
        <v>0</v>
      </c>
      <c r="D24" s="1140">
        <f t="shared" si="5"/>
        <v>0</v>
      </c>
      <c r="E24" s="1140">
        <f t="shared" si="6"/>
        <v>0</v>
      </c>
      <c r="F24" s="1140">
        <f t="shared" si="7"/>
        <v>0</v>
      </c>
      <c r="G24" s="1141">
        <f t="shared" si="8"/>
        <v>0</v>
      </c>
      <c r="H24" s="835">
        <f>IF('Mkt Pen Veh-Mi'!H23=0,$H$5,($H$5-SUMPRODUCT(I24:M24,'Mkt Pen Veh-Mi'!I23:M23))/'Mkt Pen Veh-Mi'!H23)</f>
        <v>0.41178568019302908</v>
      </c>
      <c r="I24" s="1131">
        <f t="shared" si="9"/>
        <v>0</v>
      </c>
      <c r="J24" s="1131">
        <f t="shared" si="10"/>
        <v>0</v>
      </c>
      <c r="K24" s="1131">
        <f t="shared" si="11"/>
        <v>0</v>
      </c>
      <c r="L24" s="1131">
        <f t="shared" si="12"/>
        <v>0</v>
      </c>
      <c r="M24" s="673">
        <f t="shared" si="13"/>
        <v>0</v>
      </c>
      <c r="P24" s="1118"/>
      <c r="Q24" s="1178"/>
    </row>
    <row r="25" spans="1:17" ht="15" x14ac:dyDescent="0.25">
      <c r="A25" s="1124">
        <v>2022</v>
      </c>
      <c r="B25" s="1133">
        <f>IF('Mkt Pen Veh-Mi'!B24=0,$B$5,($B$5-SUMPRODUCT(C25:G25,'Mkt Pen Veh-Mi'!C24:G24))/'Mkt Pen Veh-Mi'!B24)</f>
        <v>0.42430870386415642</v>
      </c>
      <c r="C25" s="1134">
        <f t="shared" si="4"/>
        <v>0</v>
      </c>
      <c r="D25" s="1134">
        <f t="shared" si="5"/>
        <v>0</v>
      </c>
      <c r="E25" s="1134">
        <f t="shared" si="6"/>
        <v>0</v>
      </c>
      <c r="F25" s="1134">
        <f t="shared" si="7"/>
        <v>0</v>
      </c>
      <c r="G25" s="1135">
        <f t="shared" si="8"/>
        <v>0</v>
      </c>
      <c r="H25" s="833">
        <f>IF('Mkt Pen Veh-Mi'!H24=0,$H$5,($H$5-SUMPRODUCT(I25:M25,'Mkt Pen Veh-Mi'!I24:M24))/'Mkt Pen Veh-Mi'!H24)</f>
        <v>0.41178568019302908</v>
      </c>
      <c r="I25" s="1129">
        <f t="shared" si="9"/>
        <v>0</v>
      </c>
      <c r="J25" s="1129">
        <f t="shared" si="10"/>
        <v>0</v>
      </c>
      <c r="K25" s="1129">
        <f t="shared" si="11"/>
        <v>0</v>
      </c>
      <c r="L25" s="1129">
        <f t="shared" si="12"/>
        <v>0</v>
      </c>
      <c r="M25" s="671">
        <f t="shared" si="13"/>
        <v>0</v>
      </c>
      <c r="P25" s="1118"/>
      <c r="Q25" s="1178"/>
    </row>
    <row r="26" spans="1:17" ht="15" x14ac:dyDescent="0.25">
      <c r="A26" s="1124">
        <v>2023</v>
      </c>
      <c r="B26" s="1133">
        <f>IF('Mkt Pen Veh-Mi'!B25=0,$B$5,($B$5-SUMPRODUCT(C26:G26,'Mkt Pen Veh-Mi'!C25:G25))/'Mkt Pen Veh-Mi'!B25)</f>
        <v>0.42430870386415642</v>
      </c>
      <c r="C26" s="1134">
        <f t="shared" si="4"/>
        <v>0</v>
      </c>
      <c r="D26" s="1134">
        <f t="shared" si="5"/>
        <v>0</v>
      </c>
      <c r="E26" s="1134">
        <f t="shared" si="6"/>
        <v>0</v>
      </c>
      <c r="F26" s="1134">
        <f t="shared" si="7"/>
        <v>0</v>
      </c>
      <c r="G26" s="1135">
        <f t="shared" si="8"/>
        <v>0</v>
      </c>
      <c r="H26" s="833">
        <f>IF('Mkt Pen Veh-Mi'!H25=0,$H$5,($H$5-SUMPRODUCT(I26:M26,'Mkt Pen Veh-Mi'!I25:M25))/'Mkt Pen Veh-Mi'!H25)</f>
        <v>0.41178568019302908</v>
      </c>
      <c r="I26" s="1129">
        <f t="shared" si="9"/>
        <v>0</v>
      </c>
      <c r="J26" s="1129">
        <f t="shared" si="10"/>
        <v>0</v>
      </c>
      <c r="K26" s="1129">
        <f t="shared" si="11"/>
        <v>0</v>
      </c>
      <c r="L26" s="1129">
        <f t="shared" si="12"/>
        <v>0</v>
      </c>
      <c r="M26" s="671">
        <f t="shared" si="13"/>
        <v>0</v>
      </c>
      <c r="P26" s="1118"/>
      <c r="Q26" s="1178"/>
    </row>
    <row r="27" spans="1:17" ht="15" x14ac:dyDescent="0.25">
      <c r="A27" s="1124">
        <v>2024</v>
      </c>
      <c r="B27" s="1133">
        <f>IF('Mkt Pen Veh-Mi'!B26=0,$B$5,($B$5-SUMPRODUCT(C27:G27,'Mkt Pen Veh-Mi'!C26:G26))/'Mkt Pen Veh-Mi'!B26)</f>
        <v>0.42430870386415642</v>
      </c>
      <c r="C27" s="1134">
        <f t="shared" si="4"/>
        <v>0</v>
      </c>
      <c r="D27" s="1134">
        <f t="shared" si="5"/>
        <v>0</v>
      </c>
      <c r="E27" s="1134">
        <f t="shared" si="6"/>
        <v>0</v>
      </c>
      <c r="F27" s="1134">
        <f t="shared" si="7"/>
        <v>0</v>
      </c>
      <c r="G27" s="1135">
        <f t="shared" si="8"/>
        <v>0</v>
      </c>
      <c r="H27" s="833">
        <f>IF('Mkt Pen Veh-Mi'!H26=0,$H$5,($H$5-SUMPRODUCT(I27:M27,'Mkt Pen Veh-Mi'!I26:M26))/'Mkt Pen Veh-Mi'!H26)</f>
        <v>0.41178568019302908</v>
      </c>
      <c r="I27" s="1129">
        <f t="shared" si="9"/>
        <v>0</v>
      </c>
      <c r="J27" s="1129">
        <f t="shared" si="10"/>
        <v>0</v>
      </c>
      <c r="K27" s="1129">
        <f t="shared" si="11"/>
        <v>0</v>
      </c>
      <c r="L27" s="1129">
        <f t="shared" si="12"/>
        <v>0</v>
      </c>
      <c r="M27" s="671">
        <f t="shared" si="13"/>
        <v>0</v>
      </c>
      <c r="P27" s="1118"/>
      <c r="Q27" s="1178"/>
    </row>
    <row r="28" spans="1:17" ht="15" x14ac:dyDescent="0.25">
      <c r="A28" s="1123">
        <v>2025</v>
      </c>
      <c r="B28" s="1136">
        <f>IF('Mkt Pen Veh-Mi'!B27=0,$B$5,($B$5-SUMPRODUCT(C28:G28,'Mkt Pen Veh-Mi'!C27:G27))/'Mkt Pen Veh-Mi'!B27)</f>
        <v>0.42430870386415642</v>
      </c>
      <c r="C28" s="1137">
        <f t="shared" si="4"/>
        <v>0</v>
      </c>
      <c r="D28" s="1137">
        <f t="shared" si="5"/>
        <v>0</v>
      </c>
      <c r="E28" s="1137">
        <f t="shared" si="6"/>
        <v>0</v>
      </c>
      <c r="F28" s="1137">
        <f t="shared" si="7"/>
        <v>0</v>
      </c>
      <c r="G28" s="1138">
        <f t="shared" si="8"/>
        <v>0</v>
      </c>
      <c r="H28" s="834">
        <f>IF('Mkt Pen Veh-Mi'!H27=0,$H$5,($H$5-SUMPRODUCT(I28:M28,'Mkt Pen Veh-Mi'!I27:M27))/'Mkt Pen Veh-Mi'!H27)</f>
        <v>0.41178568019302908</v>
      </c>
      <c r="I28" s="1130">
        <f t="shared" si="9"/>
        <v>0</v>
      </c>
      <c r="J28" s="1130">
        <f t="shared" si="10"/>
        <v>0</v>
      </c>
      <c r="K28" s="1130">
        <f t="shared" si="11"/>
        <v>0</v>
      </c>
      <c r="L28" s="1130">
        <f t="shared" si="12"/>
        <v>0</v>
      </c>
      <c r="M28" s="672">
        <f t="shared" si="13"/>
        <v>0</v>
      </c>
      <c r="P28" s="1118"/>
      <c r="Q28" s="1178"/>
    </row>
    <row r="29" spans="1:17" ht="15" x14ac:dyDescent="0.25">
      <c r="A29" s="1124">
        <v>2026</v>
      </c>
      <c r="B29" s="1139">
        <f>IF('Mkt Pen Veh-Mi'!B28=0,$B$5,($B$5-SUMPRODUCT(C29:G29,'Mkt Pen Veh-Mi'!C28:G28))/'Mkt Pen Veh-Mi'!B28)</f>
        <v>0.42430870386415642</v>
      </c>
      <c r="C29" s="1140">
        <f t="shared" si="4"/>
        <v>0</v>
      </c>
      <c r="D29" s="1140">
        <f t="shared" si="5"/>
        <v>0</v>
      </c>
      <c r="E29" s="1140">
        <f t="shared" si="6"/>
        <v>0</v>
      </c>
      <c r="F29" s="1140">
        <f t="shared" si="7"/>
        <v>0</v>
      </c>
      <c r="G29" s="1141">
        <f t="shared" si="8"/>
        <v>0</v>
      </c>
      <c r="H29" s="835">
        <f>IF('Mkt Pen Veh-Mi'!H28=0,$H$5,($H$5-SUMPRODUCT(I29:M29,'Mkt Pen Veh-Mi'!I28:M28))/'Mkt Pen Veh-Mi'!H28)</f>
        <v>0.41091383297822298</v>
      </c>
      <c r="I29" s="1131">
        <f t="shared" si="9"/>
        <v>0.43432380076437016</v>
      </c>
      <c r="J29" s="1131">
        <f t="shared" si="10"/>
        <v>0.46525763283633331</v>
      </c>
      <c r="K29" s="1131">
        <f t="shared" si="11"/>
        <v>0</v>
      </c>
      <c r="L29" s="1131">
        <f t="shared" si="12"/>
        <v>0</v>
      </c>
      <c r="M29" s="673">
        <f t="shared" si="13"/>
        <v>1</v>
      </c>
      <c r="P29" s="1118"/>
      <c r="Q29" s="1178"/>
    </row>
    <row r="30" spans="1:17" ht="15" x14ac:dyDescent="0.25">
      <c r="A30" s="1124">
        <v>2027</v>
      </c>
      <c r="B30" s="1133">
        <f>IF('Mkt Pen Veh-Mi'!B29=0,$B$5,($B$5-SUMPRODUCT(C30:G30,'Mkt Pen Veh-Mi'!C29:G29))/'Mkt Pen Veh-Mi'!B29)</f>
        <v>0.42430870386415642</v>
      </c>
      <c r="C30" s="1134">
        <f t="shared" si="4"/>
        <v>0</v>
      </c>
      <c r="D30" s="1134">
        <f t="shared" si="5"/>
        <v>0</v>
      </c>
      <c r="E30" s="1134">
        <f t="shared" si="6"/>
        <v>0</v>
      </c>
      <c r="F30" s="1134">
        <f t="shared" si="7"/>
        <v>0</v>
      </c>
      <c r="G30" s="1135">
        <f t="shared" si="8"/>
        <v>0</v>
      </c>
      <c r="H30" s="833">
        <f>IF('Mkt Pen Veh-Mi'!H29=0,$H$5,($H$5-SUMPRODUCT(I30:M30,'Mkt Pen Veh-Mi'!I29:M29))/'Mkt Pen Veh-Mi'!H29)</f>
        <v>0.40953550896647423</v>
      </c>
      <c r="I30" s="1129">
        <f t="shared" si="9"/>
        <v>0.44218392007472473</v>
      </c>
      <c r="J30" s="1129">
        <f t="shared" si="10"/>
        <v>0.45960357201418001</v>
      </c>
      <c r="K30" s="1129">
        <f t="shared" si="11"/>
        <v>0</v>
      </c>
      <c r="L30" s="1129">
        <f t="shared" si="12"/>
        <v>0</v>
      </c>
      <c r="M30" s="671">
        <f t="shared" si="13"/>
        <v>0.99636815023624403</v>
      </c>
      <c r="P30" s="1118"/>
      <c r="Q30" s="1178"/>
    </row>
    <row r="31" spans="1:17" ht="15" x14ac:dyDescent="0.25">
      <c r="A31" s="1124">
        <v>2028</v>
      </c>
      <c r="B31" s="1133">
        <f>IF('Mkt Pen Veh-Mi'!B30=0,$B$5,($B$5-SUMPRODUCT(C31:G31,'Mkt Pen Veh-Mi'!C30:G30))/'Mkt Pen Veh-Mi'!B30)</f>
        <v>0.42430870386415642</v>
      </c>
      <c r="C31" s="1134">
        <f t="shared" si="4"/>
        <v>0</v>
      </c>
      <c r="D31" s="1134">
        <f t="shared" si="5"/>
        <v>0</v>
      </c>
      <c r="E31" s="1134">
        <f t="shared" si="6"/>
        <v>0</v>
      </c>
      <c r="F31" s="1134">
        <f t="shared" si="7"/>
        <v>0</v>
      </c>
      <c r="G31" s="1135">
        <f t="shared" si="8"/>
        <v>0</v>
      </c>
      <c r="H31" s="833">
        <f>IF('Mkt Pen Veh-Mi'!H30=0,$H$5,($H$5-SUMPRODUCT(I31:M31,'Mkt Pen Veh-Mi'!I30:M30))/'Mkt Pen Veh-Mi'!H30)</f>
        <v>0.40630780063264593</v>
      </c>
      <c r="I31" s="1129">
        <f t="shared" si="9"/>
        <v>0.4330592693895457</v>
      </c>
      <c r="J31" s="1129">
        <f t="shared" si="10"/>
        <v>0.44837779027667751</v>
      </c>
      <c r="K31" s="1129">
        <f t="shared" si="11"/>
        <v>0</v>
      </c>
      <c r="L31" s="1129">
        <f t="shared" si="12"/>
        <v>1</v>
      </c>
      <c r="M31" s="671">
        <f t="shared" si="13"/>
        <v>0.99142575612094574</v>
      </c>
      <c r="P31" s="1118"/>
      <c r="Q31" s="1178"/>
    </row>
    <row r="32" spans="1:17" ht="15" x14ac:dyDescent="0.25">
      <c r="A32" s="1124">
        <v>2029</v>
      </c>
      <c r="B32" s="1133">
        <f>IF('Mkt Pen Veh-Mi'!B31=0,$B$5,($B$5-SUMPRODUCT(C32:G32,'Mkt Pen Veh-Mi'!C31:G31))/'Mkt Pen Veh-Mi'!B31)</f>
        <v>0.42430870386415642</v>
      </c>
      <c r="C32" s="1134">
        <f t="shared" si="4"/>
        <v>0</v>
      </c>
      <c r="D32" s="1134">
        <f t="shared" si="5"/>
        <v>0</v>
      </c>
      <c r="E32" s="1134">
        <f t="shared" si="6"/>
        <v>0</v>
      </c>
      <c r="F32" s="1134">
        <f t="shared" si="7"/>
        <v>0</v>
      </c>
      <c r="G32" s="1135">
        <f t="shared" si="8"/>
        <v>0</v>
      </c>
      <c r="H32" s="833">
        <f>IF('Mkt Pen Veh-Mi'!H31=0,$H$5,($H$5-SUMPRODUCT(I32:M32,'Mkt Pen Veh-Mi'!I31:M31))/'Mkt Pen Veh-Mi'!H31)</f>
        <v>0.40211857809345053</v>
      </c>
      <c r="I32" s="1129">
        <f t="shared" si="9"/>
        <v>0.42890475522108668</v>
      </c>
      <c r="J32" s="1129">
        <f t="shared" si="10"/>
        <v>0.448682797859844</v>
      </c>
      <c r="K32" s="1129">
        <f t="shared" si="11"/>
        <v>0</v>
      </c>
      <c r="L32" s="1129">
        <f t="shared" si="12"/>
        <v>1</v>
      </c>
      <c r="M32" s="671">
        <f t="shared" si="13"/>
        <v>0.99015852892043854</v>
      </c>
      <c r="P32" s="1118"/>
      <c r="Q32" s="1178"/>
    </row>
    <row r="33" spans="1:17" ht="15" x14ac:dyDescent="0.25">
      <c r="A33" s="1123">
        <v>2030</v>
      </c>
      <c r="B33" s="1136">
        <f>IF('Mkt Pen Veh-Mi'!B32=0,$B$5,($B$5-SUMPRODUCT(C33:G33,'Mkt Pen Veh-Mi'!C32:G32))/'Mkt Pen Veh-Mi'!B32)</f>
        <v>0.42430870386415642</v>
      </c>
      <c r="C33" s="1137">
        <f t="shared" si="4"/>
        <v>0</v>
      </c>
      <c r="D33" s="1137">
        <f t="shared" si="5"/>
        <v>0</v>
      </c>
      <c r="E33" s="1137">
        <f t="shared" si="6"/>
        <v>0</v>
      </c>
      <c r="F33" s="1137">
        <f t="shared" si="7"/>
        <v>0</v>
      </c>
      <c r="G33" s="1138">
        <f t="shared" si="8"/>
        <v>0</v>
      </c>
      <c r="H33" s="834">
        <f>IF('Mkt Pen Veh-Mi'!H32=0,$H$5,($H$5-SUMPRODUCT(I33:M33,'Mkt Pen Veh-Mi'!I32:M32))/'Mkt Pen Veh-Mi'!H32)</f>
        <v>0.39099465198937716</v>
      </c>
      <c r="I33" s="1130">
        <f t="shared" si="9"/>
        <v>0.43864653004170479</v>
      </c>
      <c r="J33" s="1130">
        <f t="shared" si="10"/>
        <v>0.44503916588397874</v>
      </c>
      <c r="K33" s="1130">
        <f t="shared" si="11"/>
        <v>0</v>
      </c>
      <c r="L33" s="1130">
        <f t="shared" si="12"/>
        <v>1</v>
      </c>
      <c r="M33" s="672">
        <f t="shared" si="13"/>
        <v>0.98361257194322493</v>
      </c>
      <c r="P33" s="1118"/>
      <c r="Q33" s="1178"/>
    </row>
    <row r="34" spans="1:17" ht="15" x14ac:dyDescent="0.25">
      <c r="A34" s="1124">
        <v>2031</v>
      </c>
      <c r="B34" s="1139">
        <f>IF('Mkt Pen Veh-Mi'!B33=0,$B$5,($B$5-SUMPRODUCT(C34:G34,'Mkt Pen Veh-Mi'!C33:G33))/'Mkt Pen Veh-Mi'!B33)</f>
        <v>0.42430870386415642</v>
      </c>
      <c r="C34" s="1140">
        <f t="shared" si="4"/>
        <v>0</v>
      </c>
      <c r="D34" s="1140">
        <f t="shared" si="5"/>
        <v>0</v>
      </c>
      <c r="E34" s="1140">
        <f t="shared" si="6"/>
        <v>0</v>
      </c>
      <c r="F34" s="1140">
        <f t="shared" si="7"/>
        <v>0</v>
      </c>
      <c r="G34" s="1141">
        <f t="shared" si="8"/>
        <v>0</v>
      </c>
      <c r="H34" s="835">
        <f>IF('Mkt Pen Veh-Mi'!H33=0,$H$5,($H$5-SUMPRODUCT(I34:M34,'Mkt Pen Veh-Mi'!I33:M33))/'Mkt Pen Veh-Mi'!H33)</f>
        <v>0.38111625018609335</v>
      </c>
      <c r="I34" s="1131">
        <f t="shared" si="9"/>
        <v>0.43230523441632951</v>
      </c>
      <c r="J34" s="1131">
        <f t="shared" si="10"/>
        <v>0.443925456751039</v>
      </c>
      <c r="K34" s="1131">
        <f t="shared" si="11"/>
        <v>0</v>
      </c>
      <c r="L34" s="1131">
        <f t="shared" si="12"/>
        <v>1</v>
      </c>
      <c r="M34" s="673">
        <f t="shared" si="13"/>
        <v>0.97447792507008368</v>
      </c>
      <c r="P34" s="1118"/>
      <c r="Q34" s="1178"/>
    </row>
    <row r="35" spans="1:17" ht="15" x14ac:dyDescent="0.25">
      <c r="A35" s="1124">
        <v>2032</v>
      </c>
      <c r="B35" s="1133">
        <f>IF('Mkt Pen Veh-Mi'!B34=0,$B$5,($B$5-SUMPRODUCT(C35:G35,'Mkt Pen Veh-Mi'!C34:G34))/'Mkt Pen Veh-Mi'!B34)</f>
        <v>0.42430870386415642</v>
      </c>
      <c r="C35" s="1134">
        <f t="shared" si="4"/>
        <v>0</v>
      </c>
      <c r="D35" s="1134">
        <f t="shared" si="5"/>
        <v>0</v>
      </c>
      <c r="E35" s="1134">
        <f t="shared" si="6"/>
        <v>0</v>
      </c>
      <c r="F35" s="1134">
        <f t="shared" si="7"/>
        <v>0</v>
      </c>
      <c r="G35" s="1135">
        <f t="shared" si="8"/>
        <v>0</v>
      </c>
      <c r="H35" s="833">
        <f>IF('Mkt Pen Veh-Mi'!H34=0,$H$5,($H$5-SUMPRODUCT(I35:M35,'Mkt Pen Veh-Mi'!I34:M34))/'Mkt Pen Veh-Mi'!H34)</f>
        <v>0.36634059214119186</v>
      </c>
      <c r="I35" s="1129">
        <f t="shared" si="9"/>
        <v>0.42360063501351186</v>
      </c>
      <c r="J35" s="1129">
        <f t="shared" si="10"/>
        <v>0.43711521063403308</v>
      </c>
      <c r="K35" s="1129">
        <f t="shared" si="11"/>
        <v>0</v>
      </c>
      <c r="L35" s="1129">
        <f t="shared" si="12"/>
        <v>0.99999993218071026</v>
      </c>
      <c r="M35" s="671">
        <f t="shared" si="13"/>
        <v>0.94792350317719343</v>
      </c>
      <c r="P35" s="1118"/>
      <c r="Q35" s="1178"/>
    </row>
    <row r="36" spans="1:17" ht="15" x14ac:dyDescent="0.25">
      <c r="A36" s="1124">
        <v>2033</v>
      </c>
      <c r="B36" s="1133">
        <f>IF('Mkt Pen Veh-Mi'!B35=0,$B$5,($B$5-SUMPRODUCT(C36:G36,'Mkt Pen Veh-Mi'!C35:G35))/'Mkt Pen Veh-Mi'!B35)</f>
        <v>0.42430870386415642</v>
      </c>
      <c r="C36" s="1134">
        <f t="shared" si="4"/>
        <v>0</v>
      </c>
      <c r="D36" s="1134">
        <f t="shared" si="5"/>
        <v>0</v>
      </c>
      <c r="E36" s="1134">
        <f t="shared" si="6"/>
        <v>0</v>
      </c>
      <c r="F36" s="1134">
        <f t="shared" si="7"/>
        <v>0</v>
      </c>
      <c r="G36" s="1135">
        <f t="shared" si="8"/>
        <v>0</v>
      </c>
      <c r="H36" s="833">
        <f>IF('Mkt Pen Veh-Mi'!H35=0,$H$5,($H$5-SUMPRODUCT(I36:M36,'Mkt Pen Veh-Mi'!I35:M35))/'Mkt Pen Veh-Mi'!H35)</f>
        <v>0.36161519042067142</v>
      </c>
      <c r="I36" s="1129">
        <f t="shared" si="9"/>
        <v>0.41443447815037332</v>
      </c>
      <c r="J36" s="1129">
        <f t="shared" si="10"/>
        <v>0.4321731378433844</v>
      </c>
      <c r="K36" s="1129">
        <f t="shared" si="11"/>
        <v>0</v>
      </c>
      <c r="L36" s="1129">
        <f t="shared" si="12"/>
        <v>0.99999951685915578</v>
      </c>
      <c r="M36" s="671">
        <f t="shared" si="13"/>
        <v>0.91058961346759015</v>
      </c>
      <c r="P36" s="1118"/>
      <c r="Q36" s="1178"/>
    </row>
    <row r="37" spans="1:17" ht="15" x14ac:dyDescent="0.25">
      <c r="A37" s="1124">
        <v>2034</v>
      </c>
      <c r="B37" s="1133">
        <f>IF('Mkt Pen Veh-Mi'!B36=0,$B$5,($B$5-SUMPRODUCT(C37:G37,'Mkt Pen Veh-Mi'!C36:G36))/'Mkt Pen Veh-Mi'!B36)</f>
        <v>0.42430870386415642</v>
      </c>
      <c r="C37" s="1134">
        <f t="shared" si="4"/>
        <v>0</v>
      </c>
      <c r="D37" s="1134">
        <f t="shared" si="5"/>
        <v>0</v>
      </c>
      <c r="E37" s="1134">
        <f t="shared" si="6"/>
        <v>0</v>
      </c>
      <c r="F37" s="1134">
        <f t="shared" si="7"/>
        <v>0</v>
      </c>
      <c r="G37" s="1135">
        <f t="shared" si="8"/>
        <v>0</v>
      </c>
      <c r="H37" s="833">
        <f>IF('Mkt Pen Veh-Mi'!H36=0,$H$5,($H$5-SUMPRODUCT(I37:M37,'Mkt Pen Veh-Mi'!I36:M36))/'Mkt Pen Veh-Mi'!H36)</f>
        <v>0.35459115601904539</v>
      </c>
      <c r="I37" s="1129">
        <f t="shared" si="9"/>
        <v>0.41247400754622049</v>
      </c>
      <c r="J37" s="1129">
        <f t="shared" si="10"/>
        <v>0.42904486764284777</v>
      </c>
      <c r="K37" s="1129">
        <f t="shared" si="11"/>
        <v>0</v>
      </c>
      <c r="L37" s="1129">
        <f t="shared" si="12"/>
        <v>0.9999970159505277</v>
      </c>
      <c r="M37" s="671">
        <f t="shared" si="13"/>
        <v>0.87835868317537313</v>
      </c>
      <c r="P37" s="1118"/>
      <c r="Q37" s="1178"/>
    </row>
    <row r="38" spans="1:17" ht="15" x14ac:dyDescent="0.25">
      <c r="A38" s="1123">
        <v>2035</v>
      </c>
      <c r="B38" s="1136">
        <f>IF('Mkt Pen Veh-Mi'!B37=0,$B$5,($B$5-SUMPRODUCT(C38:G38,'Mkt Pen Veh-Mi'!C37:G37))/'Mkt Pen Veh-Mi'!B37)</f>
        <v>0.42430870386415642</v>
      </c>
      <c r="C38" s="1137">
        <f t="shared" si="4"/>
        <v>0</v>
      </c>
      <c r="D38" s="1137">
        <f t="shared" si="5"/>
        <v>0</v>
      </c>
      <c r="E38" s="1137">
        <f t="shared" si="6"/>
        <v>0</v>
      </c>
      <c r="F38" s="1137">
        <f t="shared" si="7"/>
        <v>0</v>
      </c>
      <c r="G38" s="1138">
        <f t="shared" si="8"/>
        <v>0</v>
      </c>
      <c r="H38" s="834">
        <f>IF('Mkt Pen Veh-Mi'!H37=0,$H$5,($H$5-SUMPRODUCT(I38:M38,'Mkt Pen Veh-Mi'!I37:M37))/'Mkt Pen Veh-Mi'!H37)</f>
        <v>0.35350196318078897</v>
      </c>
      <c r="I38" s="1130">
        <f t="shared" si="9"/>
        <v>0.40712906774626967</v>
      </c>
      <c r="J38" s="1130">
        <f t="shared" si="10"/>
        <v>0.42238997293468022</v>
      </c>
      <c r="K38" s="1130">
        <f t="shared" si="11"/>
        <v>0</v>
      </c>
      <c r="L38" s="1130">
        <f t="shared" si="12"/>
        <v>0.99998413484986448</v>
      </c>
      <c r="M38" s="672">
        <f t="shared" si="13"/>
        <v>0.82199681488542897</v>
      </c>
      <c r="P38" s="1118"/>
      <c r="Q38" s="1178"/>
    </row>
    <row r="39" spans="1:17" ht="15" x14ac:dyDescent="0.25">
      <c r="A39" s="1124">
        <v>2036</v>
      </c>
      <c r="B39" s="1139">
        <f>IF('Mkt Pen Veh-Mi'!B38=0,$B$5,($B$5-SUMPRODUCT(C39:G39,'Mkt Pen Veh-Mi'!C38:G38))/'Mkt Pen Veh-Mi'!B38)</f>
        <v>0.42430870386415642</v>
      </c>
      <c r="C39" s="1140">
        <f t="shared" si="4"/>
        <v>0</v>
      </c>
      <c r="D39" s="1140">
        <f t="shared" si="5"/>
        <v>0</v>
      </c>
      <c r="E39" s="1140">
        <f t="shared" si="6"/>
        <v>0</v>
      </c>
      <c r="F39" s="1140">
        <f t="shared" si="7"/>
        <v>0</v>
      </c>
      <c r="G39" s="1141">
        <f t="shared" si="8"/>
        <v>0</v>
      </c>
      <c r="H39" s="835">
        <f>IF('Mkt Pen Veh-Mi'!H38=0,$H$5,($H$5-SUMPRODUCT(I39:M39,'Mkt Pen Veh-Mi'!I38:M38))/'Mkt Pen Veh-Mi'!H38)</f>
        <v>0.35368066056623543</v>
      </c>
      <c r="I39" s="1131">
        <f t="shared" si="9"/>
        <v>0.40413191029895285</v>
      </c>
      <c r="J39" s="1131">
        <f t="shared" si="10"/>
        <v>0.41628211632943091</v>
      </c>
      <c r="K39" s="1131">
        <f t="shared" si="11"/>
        <v>0.27329055491291887</v>
      </c>
      <c r="L39" s="1131">
        <f t="shared" si="12"/>
        <v>0.99995084200124129</v>
      </c>
      <c r="M39" s="673">
        <f t="shared" si="13"/>
        <v>0.74697708908870042</v>
      </c>
      <c r="P39" s="1118"/>
      <c r="Q39" s="1178"/>
    </row>
    <row r="40" spans="1:17" ht="15" x14ac:dyDescent="0.25">
      <c r="A40" s="1124">
        <v>2037</v>
      </c>
      <c r="B40" s="1133">
        <f>IF('Mkt Pen Veh-Mi'!B39=0,$B$5,($B$5-SUMPRODUCT(C40:G40,'Mkt Pen Veh-Mi'!C39:G39))/'Mkt Pen Veh-Mi'!B39)</f>
        <v>0.42430870386415642</v>
      </c>
      <c r="C40" s="1134">
        <f t="shared" si="4"/>
        <v>0</v>
      </c>
      <c r="D40" s="1134">
        <f t="shared" si="5"/>
        <v>0</v>
      </c>
      <c r="E40" s="1134">
        <f t="shared" si="6"/>
        <v>0</v>
      </c>
      <c r="F40" s="1134">
        <f t="shared" si="7"/>
        <v>0</v>
      </c>
      <c r="G40" s="1135">
        <f t="shared" si="8"/>
        <v>0</v>
      </c>
      <c r="H40" s="833">
        <f>IF('Mkt Pen Veh-Mi'!H39=0,$H$5,($H$5-SUMPRODUCT(I40:M40,'Mkt Pen Veh-Mi'!I39:M39))/'Mkt Pen Veh-Mi'!H39)</f>
        <v>0.33761451823142385</v>
      </c>
      <c r="I40" s="1129">
        <f t="shared" si="9"/>
        <v>0.40562007344366524</v>
      </c>
      <c r="J40" s="1129">
        <f t="shared" si="10"/>
        <v>0.41352212763113133</v>
      </c>
      <c r="K40" s="1129">
        <f t="shared" si="11"/>
        <v>0.30917060342011649</v>
      </c>
      <c r="L40" s="1129">
        <f t="shared" si="12"/>
        <v>0.99984136954459024</v>
      </c>
      <c r="M40" s="671">
        <f t="shared" si="13"/>
        <v>0.70766511465099702</v>
      </c>
      <c r="P40" s="1118"/>
      <c r="Q40" s="1178"/>
    </row>
    <row r="41" spans="1:17" ht="15" x14ac:dyDescent="0.25">
      <c r="A41" s="1124">
        <v>2038</v>
      </c>
      <c r="B41" s="1133">
        <f>IF('Mkt Pen Veh-Mi'!B40=0,$B$5,($B$5-SUMPRODUCT(C41:G41,'Mkt Pen Veh-Mi'!C40:G40))/'Mkt Pen Veh-Mi'!B40)</f>
        <v>0.42430870386415642</v>
      </c>
      <c r="C41" s="1134">
        <f t="shared" si="4"/>
        <v>0</v>
      </c>
      <c r="D41" s="1134">
        <f t="shared" si="5"/>
        <v>0</v>
      </c>
      <c r="E41" s="1134">
        <f t="shared" si="6"/>
        <v>0</v>
      </c>
      <c r="F41" s="1134">
        <f t="shared" si="7"/>
        <v>0</v>
      </c>
      <c r="G41" s="1135">
        <f t="shared" si="8"/>
        <v>0</v>
      </c>
      <c r="H41" s="833">
        <f>IF('Mkt Pen Veh-Mi'!H40=0,$H$5,($H$5-SUMPRODUCT(I41:M41,'Mkt Pen Veh-Mi'!I40:M40))/'Mkt Pen Veh-Mi'!H40)</f>
        <v>0.33981184521816893</v>
      </c>
      <c r="I41" s="1129">
        <f t="shared" si="9"/>
        <v>0.40173238550836404</v>
      </c>
      <c r="J41" s="1129">
        <f t="shared" si="10"/>
        <v>0.41306399963003065</v>
      </c>
      <c r="K41" s="1129">
        <f t="shared" si="11"/>
        <v>0.27425105054084831</v>
      </c>
      <c r="L41" s="1129">
        <f t="shared" si="12"/>
        <v>0.99953046816044056</v>
      </c>
      <c r="M41" s="671">
        <f t="shared" si="13"/>
        <v>0.6613812938369048</v>
      </c>
      <c r="P41" s="1118"/>
      <c r="Q41" s="1178"/>
    </row>
    <row r="42" spans="1:17" ht="15" x14ac:dyDescent="0.25">
      <c r="A42" s="1124">
        <v>2039</v>
      </c>
      <c r="B42" s="1133">
        <f>IF('Mkt Pen Veh-Mi'!B41=0,$B$5,($B$5-SUMPRODUCT(C42:G42,'Mkt Pen Veh-Mi'!C41:G41))/'Mkt Pen Veh-Mi'!B41)</f>
        <v>0.42430870386415642</v>
      </c>
      <c r="C42" s="1134">
        <f t="shared" si="4"/>
        <v>0</v>
      </c>
      <c r="D42" s="1134">
        <f t="shared" si="5"/>
        <v>0</v>
      </c>
      <c r="E42" s="1134">
        <f t="shared" si="6"/>
        <v>0</v>
      </c>
      <c r="F42" s="1134">
        <f t="shared" si="7"/>
        <v>0</v>
      </c>
      <c r="G42" s="1135">
        <f t="shared" si="8"/>
        <v>0</v>
      </c>
      <c r="H42" s="833">
        <f>IF('Mkt Pen Veh-Mi'!H41=0,$H$5,($H$5-SUMPRODUCT(I42:M42,'Mkt Pen Veh-Mi'!I41:M41))/'Mkt Pen Veh-Mi'!H41)</f>
        <v>0.3348996851686763</v>
      </c>
      <c r="I42" s="1129">
        <f t="shared" si="9"/>
        <v>0.40357352147982528</v>
      </c>
      <c r="J42" s="1129">
        <f t="shared" si="10"/>
        <v>0.40734800445598884</v>
      </c>
      <c r="K42" s="1129">
        <f t="shared" si="11"/>
        <v>0.31519543035014835</v>
      </c>
      <c r="L42" s="1129">
        <f t="shared" si="12"/>
        <v>0.9982028875308685</v>
      </c>
      <c r="M42" s="671">
        <f t="shared" si="13"/>
        <v>0.6165922537595584</v>
      </c>
      <c r="P42" s="1118"/>
      <c r="Q42" s="1178"/>
    </row>
    <row r="43" spans="1:17" ht="15" x14ac:dyDescent="0.25">
      <c r="A43" s="1123">
        <v>2040</v>
      </c>
      <c r="B43" s="1136">
        <f>IF('Mkt Pen Veh-Mi'!B42=0,$B$5,($B$5-SUMPRODUCT(C43:G43,'Mkt Pen Veh-Mi'!C42:G42))/'Mkt Pen Veh-Mi'!B42)</f>
        <v>0.42430870386415642</v>
      </c>
      <c r="C43" s="1137">
        <f t="shared" si="4"/>
        <v>0</v>
      </c>
      <c r="D43" s="1137">
        <f t="shared" si="5"/>
        <v>0</v>
      </c>
      <c r="E43" s="1137">
        <f t="shared" si="6"/>
        <v>0</v>
      </c>
      <c r="F43" s="1137">
        <f t="shared" si="7"/>
        <v>0</v>
      </c>
      <c r="G43" s="1138">
        <f t="shared" si="8"/>
        <v>0</v>
      </c>
      <c r="H43" s="1161">
        <f>IF('Mkt Pen Veh-Mi'!H42=0,$H$5,($H$5-SUMPRODUCT(I43:M43,'Mkt Pen Veh-Mi'!I42:M42))/'Mkt Pen Veh-Mi'!H42)</f>
        <v>0.33761941150160069</v>
      </c>
      <c r="I43" s="1145">
        <f t="shared" si="9"/>
        <v>0.40218782696309358</v>
      </c>
      <c r="J43" s="1145">
        <f t="shared" si="10"/>
        <v>0.40391010006052874</v>
      </c>
      <c r="K43" s="1145">
        <f t="shared" si="11"/>
        <v>0.32591754448338844</v>
      </c>
      <c r="L43" s="1145">
        <f t="shared" si="12"/>
        <v>0.99596194036933172</v>
      </c>
      <c r="M43" s="1162">
        <f t="shared" si="13"/>
        <v>0.56955926711395699</v>
      </c>
      <c r="P43" s="1118"/>
      <c r="Q43" s="1178"/>
    </row>
    <row r="44" spans="1:17" ht="15" x14ac:dyDescent="0.25">
      <c r="A44" s="1124">
        <v>2041</v>
      </c>
      <c r="B44" s="1139">
        <f>IF('Mkt Pen Veh-Mi'!B43=0,$B$5,($B$5-SUMPRODUCT(C44:G44,'Mkt Pen Veh-Mi'!C43:G43))/'Mkt Pen Veh-Mi'!B43)</f>
        <v>0.42430870386415642</v>
      </c>
      <c r="C44" s="1140">
        <f t="shared" si="4"/>
        <v>0</v>
      </c>
      <c r="D44" s="1140">
        <f t="shared" si="5"/>
        <v>0</v>
      </c>
      <c r="E44" s="1140">
        <f t="shared" si="6"/>
        <v>0</v>
      </c>
      <c r="F44" s="1140">
        <f t="shared" si="7"/>
        <v>0</v>
      </c>
      <c r="G44" s="1141">
        <f t="shared" si="8"/>
        <v>0</v>
      </c>
      <c r="H44" s="835">
        <f>IF('Mkt Pen Veh-Mi'!H43=0,$H$5,($H$5-SUMPRODUCT(I44:M44,'Mkt Pen Veh-Mi'!I43:M43))/'Mkt Pen Veh-Mi'!H43)</f>
        <v>0.34041815385884888</v>
      </c>
      <c r="I44" s="1131">
        <f t="shared" si="9"/>
        <v>0.39942833461252975</v>
      </c>
      <c r="J44" s="1131">
        <f t="shared" si="10"/>
        <v>0.40161413083383307</v>
      </c>
      <c r="K44" s="1131">
        <f t="shared" si="11"/>
        <v>0.36114294624929838</v>
      </c>
      <c r="L44" s="1131">
        <f t="shared" si="12"/>
        <v>0.99135146671466212</v>
      </c>
      <c r="M44" s="673">
        <f t="shared" si="13"/>
        <v>0.52113408778571324</v>
      </c>
      <c r="P44" s="1118"/>
      <c r="Q44" s="1178"/>
    </row>
    <row r="45" spans="1:17" ht="15" x14ac:dyDescent="0.25">
      <c r="A45" s="1124">
        <v>2042</v>
      </c>
      <c r="B45" s="1133">
        <f>IF('Mkt Pen Veh-Mi'!B44=0,$B$5,($B$5-SUMPRODUCT(C45:G45,'Mkt Pen Veh-Mi'!C44:G44))/'Mkt Pen Veh-Mi'!B44)</f>
        <v>0.42430870386415642</v>
      </c>
      <c r="C45" s="1134">
        <f t="shared" si="4"/>
        <v>0</v>
      </c>
      <c r="D45" s="1134">
        <f t="shared" si="5"/>
        <v>0</v>
      </c>
      <c r="E45" s="1134">
        <f t="shared" si="6"/>
        <v>0</v>
      </c>
      <c r="F45" s="1134">
        <f t="shared" si="7"/>
        <v>0</v>
      </c>
      <c r="G45" s="1135">
        <f t="shared" si="8"/>
        <v>0</v>
      </c>
      <c r="H45" s="833">
        <f>IF('Mkt Pen Veh-Mi'!H44=0,$H$5,($H$5-SUMPRODUCT(I45:M45,'Mkt Pen Veh-Mi'!I44:M44))/'Mkt Pen Veh-Mi'!H44)</f>
        <v>0.35279205466448998</v>
      </c>
      <c r="I45" s="1129">
        <f t="shared" si="9"/>
        <v>0.39847445403071891</v>
      </c>
      <c r="J45" s="1129">
        <f t="shared" si="10"/>
        <v>0.39540542394331418</v>
      </c>
      <c r="K45" s="1129">
        <f t="shared" si="11"/>
        <v>0.39053199541198658</v>
      </c>
      <c r="L45" s="1129">
        <f t="shared" si="12"/>
        <v>0.98336072996724022</v>
      </c>
      <c r="M45" s="671">
        <f t="shared" si="13"/>
        <v>0.47169217835009053</v>
      </c>
      <c r="P45" s="1118"/>
      <c r="Q45" s="1178"/>
    </row>
    <row r="46" spans="1:17" ht="15" x14ac:dyDescent="0.25">
      <c r="A46" s="1124">
        <v>2043</v>
      </c>
      <c r="B46" s="1133">
        <f>IF('Mkt Pen Veh-Mi'!B45=0,$B$5,($B$5-SUMPRODUCT(C46:G46,'Mkt Pen Veh-Mi'!C45:G45))/'Mkt Pen Veh-Mi'!B45)</f>
        <v>0.42430870386415642</v>
      </c>
      <c r="C46" s="1134">
        <f t="shared" si="4"/>
        <v>0</v>
      </c>
      <c r="D46" s="1134">
        <f t="shared" si="5"/>
        <v>0</v>
      </c>
      <c r="E46" s="1134">
        <f t="shared" si="6"/>
        <v>0</v>
      </c>
      <c r="F46" s="1134">
        <f t="shared" si="7"/>
        <v>0</v>
      </c>
      <c r="G46" s="1135">
        <f t="shared" si="8"/>
        <v>0</v>
      </c>
      <c r="H46" s="833">
        <f>IF('Mkt Pen Veh-Mi'!H45=0,$H$5,($H$5-SUMPRODUCT(I46:M46,'Mkt Pen Veh-Mi'!I45:M45))/'Mkt Pen Veh-Mi'!H45)</f>
        <v>0.3599211278079924</v>
      </c>
      <c r="I46" s="1129">
        <f t="shared" si="9"/>
        <v>0.39410702504558259</v>
      </c>
      <c r="J46" s="1129">
        <f t="shared" si="10"/>
        <v>0.3920000122456081</v>
      </c>
      <c r="K46" s="1129">
        <f t="shared" si="11"/>
        <v>0.39571502009317727</v>
      </c>
      <c r="L46" s="1129">
        <f t="shared" si="12"/>
        <v>0.97067953399501394</v>
      </c>
      <c r="M46" s="671">
        <f t="shared" si="13"/>
        <v>0.44589464636257603</v>
      </c>
      <c r="P46" s="1118"/>
      <c r="Q46" s="1178"/>
    </row>
    <row r="47" spans="1:17" ht="15" x14ac:dyDescent="0.25">
      <c r="A47" s="1124">
        <v>2044</v>
      </c>
      <c r="B47" s="1133">
        <f>IF('Mkt Pen Veh-Mi'!B46=0,$B$5,($B$5-SUMPRODUCT(C47:G47,'Mkt Pen Veh-Mi'!C46:G46))/'Mkt Pen Veh-Mi'!B46)</f>
        <v>0.42430870386415642</v>
      </c>
      <c r="C47" s="1134">
        <f t="shared" si="4"/>
        <v>0</v>
      </c>
      <c r="D47" s="1134">
        <f t="shared" si="5"/>
        <v>0</v>
      </c>
      <c r="E47" s="1134">
        <f t="shared" si="6"/>
        <v>0</v>
      </c>
      <c r="F47" s="1134">
        <f t="shared" si="7"/>
        <v>0</v>
      </c>
      <c r="G47" s="1135">
        <f t="shared" si="8"/>
        <v>0</v>
      </c>
      <c r="H47" s="833">
        <f>IF('Mkt Pen Veh-Mi'!H46=0,$H$5,($H$5-SUMPRODUCT(I47:M47,'Mkt Pen Veh-Mi'!I46:M46))/'Mkt Pen Veh-Mi'!H46)</f>
        <v>0.36210925457296228</v>
      </c>
      <c r="I47" s="1129">
        <f t="shared" si="9"/>
        <v>0.39113796583266802</v>
      </c>
      <c r="J47" s="1129">
        <f t="shared" si="10"/>
        <v>0.38914138172123847</v>
      </c>
      <c r="K47" s="1129">
        <f t="shared" si="11"/>
        <v>0.39950108172989501</v>
      </c>
      <c r="L47" s="1129">
        <f t="shared" si="12"/>
        <v>0.95185532726355049</v>
      </c>
      <c r="M47" s="671">
        <f t="shared" si="13"/>
        <v>0.4239754908952727</v>
      </c>
      <c r="P47" s="1118"/>
      <c r="Q47" s="1178"/>
    </row>
    <row r="48" spans="1:17" ht="15" x14ac:dyDescent="0.25">
      <c r="A48" s="1123">
        <v>2045</v>
      </c>
      <c r="B48" s="1136">
        <f>IF('Mkt Pen Veh-Mi'!B47=0,$B$5,($B$5-SUMPRODUCT(C48:G48,'Mkt Pen Veh-Mi'!C47:G47))/'Mkt Pen Veh-Mi'!B47)</f>
        <v>0.42430870386415642</v>
      </c>
      <c r="C48" s="1137">
        <f t="shared" si="4"/>
        <v>0</v>
      </c>
      <c r="D48" s="1137">
        <f t="shared" si="5"/>
        <v>0</v>
      </c>
      <c r="E48" s="1137">
        <f t="shared" si="6"/>
        <v>0</v>
      </c>
      <c r="F48" s="1137">
        <f t="shared" si="7"/>
        <v>0</v>
      </c>
      <c r="G48" s="1138">
        <f t="shared" si="8"/>
        <v>0</v>
      </c>
      <c r="H48" s="834">
        <f>IF('Mkt Pen Veh-Mi'!H47=0,$H$5,($H$5-SUMPRODUCT(I48:M48,'Mkt Pen Veh-Mi'!I47:M47))/'Mkt Pen Veh-Mi'!H47)</f>
        <v>0.38324304457931918</v>
      </c>
      <c r="I48" s="1130">
        <f t="shared" si="9"/>
        <v>0.38969364653419147</v>
      </c>
      <c r="J48" s="1130">
        <f t="shared" si="10"/>
        <v>0.38489072492302673</v>
      </c>
      <c r="K48" s="1130">
        <f t="shared" si="11"/>
        <v>0.39731093056197375</v>
      </c>
      <c r="L48" s="1130">
        <f t="shared" si="12"/>
        <v>0.92788755361579467</v>
      </c>
      <c r="M48" s="672">
        <f t="shared" si="13"/>
        <v>0.410923965813218</v>
      </c>
      <c r="P48" s="1118"/>
      <c r="Q48" s="1178"/>
    </row>
    <row r="49" spans="1:17" ht="15" x14ac:dyDescent="0.25">
      <c r="A49" s="1124">
        <v>2046</v>
      </c>
      <c r="B49" s="1139">
        <f>IF('Mkt Pen Veh-Mi'!B48=0,$B$5,($B$5-SUMPRODUCT(C49:G49,'Mkt Pen Veh-Mi'!C48:G48))/'Mkt Pen Veh-Mi'!B48)</f>
        <v>0.42430870386415642</v>
      </c>
      <c r="C49" s="1140">
        <f t="shared" si="4"/>
        <v>0</v>
      </c>
      <c r="D49" s="1140">
        <f t="shared" si="5"/>
        <v>0</v>
      </c>
      <c r="E49" s="1140">
        <f t="shared" si="6"/>
        <v>0</v>
      </c>
      <c r="F49" s="1140">
        <f t="shared" si="7"/>
        <v>0</v>
      </c>
      <c r="G49" s="1141">
        <f t="shared" si="8"/>
        <v>0</v>
      </c>
      <c r="H49" s="835">
        <f>IF('Mkt Pen Veh-Mi'!H48=0,$H$5,($H$5-SUMPRODUCT(I49:M49,'Mkt Pen Veh-Mi'!I48:M48))/'Mkt Pen Veh-Mi'!H48)</f>
        <v>0.40011299625584551</v>
      </c>
      <c r="I49" s="1131">
        <f t="shared" si="9"/>
        <v>0.38669691142648227</v>
      </c>
      <c r="J49" s="1131">
        <f t="shared" si="10"/>
        <v>0.38179580991329165</v>
      </c>
      <c r="K49" s="1131">
        <f t="shared" si="11"/>
        <v>0.39552129126958141</v>
      </c>
      <c r="L49" s="1131">
        <f t="shared" si="12"/>
        <v>0.89600816506424985</v>
      </c>
      <c r="M49" s="673">
        <f t="shared" si="13"/>
        <v>0.41161083087216616</v>
      </c>
      <c r="P49" s="1118"/>
      <c r="Q49" s="1178"/>
    </row>
    <row r="50" spans="1:17" ht="15" x14ac:dyDescent="0.25">
      <c r="A50" s="1124">
        <v>2047</v>
      </c>
      <c r="B50" s="1133">
        <f>IF('Mkt Pen Veh-Mi'!B49=0,$B$5,($B$5-SUMPRODUCT(C50:G50,'Mkt Pen Veh-Mi'!C49:G49))/'Mkt Pen Veh-Mi'!B49)</f>
        <v>0.42430870386415642</v>
      </c>
      <c r="C50" s="1134">
        <f t="shared" si="4"/>
        <v>0</v>
      </c>
      <c r="D50" s="1134">
        <f t="shared" si="5"/>
        <v>0</v>
      </c>
      <c r="E50" s="1134">
        <f t="shared" si="6"/>
        <v>0</v>
      </c>
      <c r="F50" s="1134">
        <f t="shared" si="7"/>
        <v>0</v>
      </c>
      <c r="G50" s="1135">
        <f t="shared" si="8"/>
        <v>0</v>
      </c>
      <c r="H50" s="833">
        <f>IF('Mkt Pen Veh-Mi'!H49=0,$H$5,($H$5-SUMPRODUCT(I50:M50,'Mkt Pen Veh-Mi'!I49:M49))/'Mkt Pen Veh-Mi'!H49)</f>
        <v>0.42576423492548227</v>
      </c>
      <c r="I50" s="1129">
        <f t="shared" si="9"/>
        <v>0.38784572881065599</v>
      </c>
      <c r="J50" s="1129">
        <f t="shared" si="10"/>
        <v>0.38193370826724932</v>
      </c>
      <c r="K50" s="1129">
        <f t="shared" si="11"/>
        <v>0.38379937427954675</v>
      </c>
      <c r="L50" s="1129">
        <f t="shared" si="12"/>
        <v>0.8578907958004669</v>
      </c>
      <c r="M50" s="671">
        <f t="shared" si="13"/>
        <v>0.40725410323281341</v>
      </c>
      <c r="P50" s="1118"/>
      <c r="Q50" s="1178"/>
    </row>
    <row r="51" spans="1:17" ht="15" x14ac:dyDescent="0.25">
      <c r="A51" s="1124">
        <v>2048</v>
      </c>
      <c r="B51" s="1133">
        <f>IF('Mkt Pen Veh-Mi'!B50=0,$B$5,($B$5-SUMPRODUCT(C51:G51,'Mkt Pen Veh-Mi'!C50:G50))/'Mkt Pen Veh-Mi'!B50)</f>
        <v>0.42430870386415642</v>
      </c>
      <c r="C51" s="1134">
        <f t="shared" si="4"/>
        <v>0</v>
      </c>
      <c r="D51" s="1134">
        <f t="shared" si="5"/>
        <v>0</v>
      </c>
      <c r="E51" s="1134">
        <f t="shared" si="6"/>
        <v>0</v>
      </c>
      <c r="F51" s="1134">
        <f t="shared" si="7"/>
        <v>0</v>
      </c>
      <c r="G51" s="1135">
        <f t="shared" si="8"/>
        <v>0</v>
      </c>
      <c r="H51" s="833">
        <f>IF('Mkt Pen Veh-Mi'!H50=0,$H$5,($H$5-SUMPRODUCT(I51:M51,'Mkt Pen Veh-Mi'!I50:M50))/'Mkt Pen Veh-Mi'!H50)</f>
        <v>0.32233033286459578</v>
      </c>
      <c r="I51" s="1129">
        <f t="shared" si="9"/>
        <v>0.3857332401344718</v>
      </c>
      <c r="J51" s="1129">
        <f t="shared" si="10"/>
        <v>0.38364180899771005</v>
      </c>
      <c r="K51" s="1129">
        <f t="shared" si="11"/>
        <v>0.38401172261821653</v>
      </c>
      <c r="L51" s="1129">
        <f t="shared" si="12"/>
        <v>0.81510337344010519</v>
      </c>
      <c r="M51" s="671">
        <f t="shared" si="13"/>
        <v>0.40663154238061044</v>
      </c>
      <c r="P51" s="1118"/>
      <c r="Q51" s="1178"/>
    </row>
    <row r="52" spans="1:17" ht="15" x14ac:dyDescent="0.25">
      <c r="A52" s="1124">
        <v>2049</v>
      </c>
      <c r="B52" s="1133">
        <f>IF('Mkt Pen Veh-Mi'!B51=0,$B$5,($B$5-SUMPRODUCT(C52:G52,'Mkt Pen Veh-Mi'!C51:G51))/'Mkt Pen Veh-Mi'!B51)</f>
        <v>0.42430870386415642</v>
      </c>
      <c r="C52" s="1134">
        <f t="shared" si="4"/>
        <v>0</v>
      </c>
      <c r="D52" s="1134">
        <f t="shared" si="5"/>
        <v>0</v>
      </c>
      <c r="E52" s="1134">
        <f t="shared" si="6"/>
        <v>0</v>
      </c>
      <c r="F52" s="1134">
        <f t="shared" si="7"/>
        <v>0</v>
      </c>
      <c r="G52" s="1135">
        <f t="shared" si="8"/>
        <v>0</v>
      </c>
      <c r="H52" s="833">
        <f>IF('Mkt Pen Veh-Mi'!H51=0,$H$5,($H$5-SUMPRODUCT(I52:M52,'Mkt Pen Veh-Mi'!I51:M51))/'Mkt Pen Veh-Mi'!H51)</f>
        <v>0.4689667563450588</v>
      </c>
      <c r="I52" s="1129">
        <f t="shared" si="9"/>
        <v>0.38643588658060474</v>
      </c>
      <c r="J52" s="1129">
        <f t="shared" si="10"/>
        <v>0.38334468751087258</v>
      </c>
      <c r="K52" s="1129">
        <f t="shared" si="11"/>
        <v>0.37985359064722929</v>
      </c>
      <c r="L52" s="1129">
        <f t="shared" si="12"/>
        <v>0.76945542494803465</v>
      </c>
      <c r="M52" s="671">
        <f t="shared" si="13"/>
        <v>0.40612556818756779</v>
      </c>
      <c r="P52" s="1118"/>
      <c r="Q52" s="1178"/>
    </row>
    <row r="53" spans="1:17" ht="15.75" thickBot="1" x14ac:dyDescent="0.3">
      <c r="A53" s="1125">
        <v>2050</v>
      </c>
      <c r="B53" s="1142">
        <f>IF('Mkt Pen Veh-Mi'!B52=0,$B$5,($B$5-SUMPRODUCT(C53:G53,'Mkt Pen Veh-Mi'!C52:G52))/'Mkt Pen Veh-Mi'!B52)</f>
        <v>0.42430870386415642</v>
      </c>
      <c r="C53" s="1143">
        <f t="shared" si="4"/>
        <v>0</v>
      </c>
      <c r="D53" s="1143">
        <f t="shared" si="5"/>
        <v>0</v>
      </c>
      <c r="E53" s="1143">
        <f t="shared" si="6"/>
        <v>0</v>
      </c>
      <c r="F53" s="1143">
        <f t="shared" si="7"/>
        <v>0</v>
      </c>
      <c r="G53" s="1144">
        <f t="shared" si="8"/>
        <v>0</v>
      </c>
      <c r="H53" s="836">
        <f>IF('Mkt Pen Veh-Mi'!H52=0,$H$5,($H$5-SUMPRODUCT(I53:M53,'Mkt Pen Veh-Mi'!I52:M52))/'Mkt Pen Veh-Mi'!H52)</f>
        <v>0.32861132282410505</v>
      </c>
      <c r="I53" s="1132">
        <f t="shared" si="9"/>
        <v>0.38861872667902098</v>
      </c>
      <c r="J53" s="1132">
        <f t="shared" si="10"/>
        <v>0.38622700952998901</v>
      </c>
      <c r="K53" s="1132">
        <f t="shared" si="11"/>
        <v>0.37356010833661746</v>
      </c>
      <c r="L53" s="1132">
        <f t="shared" si="12"/>
        <v>0.71893527239652588</v>
      </c>
      <c r="M53" s="674">
        <f t="shared" si="13"/>
        <v>0.40629105092451884</v>
      </c>
      <c r="P53" s="1118"/>
      <c r="Q53" s="1178"/>
    </row>
    <row r="54" spans="1:17" x14ac:dyDescent="0.2">
      <c r="A54" s="1120"/>
      <c r="B54" s="1120"/>
    </row>
    <row r="55" spans="1:17" x14ac:dyDescent="0.2">
      <c r="A55" s="1127" t="str">
        <f>"Run id: '"&amp;'Run Model'!B3&amp;"'"</f>
        <v>Run id: 'BaSce FY2020 4-6 Diesel Final Run'</v>
      </c>
      <c r="B55" s="1120"/>
    </row>
    <row r="56" spans="1:17" x14ac:dyDescent="0.2">
      <c r="A56" s="1127" t="s">
        <v>130</v>
      </c>
      <c r="B56" s="1120"/>
    </row>
    <row r="57" spans="1:17" x14ac:dyDescent="0.2">
      <c r="A57" s="1128" t="str">
        <f>"Gasoline, Centrally Refueled: " &amp;TEXT(RtimeCls1Cent1,"mm/dd/yyyy hh:mm")</f>
        <v>Gasoline, Centrally Refueled: 11/04/2020 14:43</v>
      </c>
    </row>
    <row r="58" spans="1:17" x14ac:dyDescent="0.2">
      <c r="A58" s="1128" t="str">
        <f>"Gasoline, Non-Centrally Refueled: " &amp;TEXT(RtimeCls1NCent1,"mm/dd/yyyy hh:mm")</f>
        <v>Gasoline, Non-Centrally Refueled: 11/04/2020 14:43</v>
      </c>
    </row>
    <row r="59" spans="1:17" x14ac:dyDescent="0.2">
      <c r="A59" s="1128" t="str">
        <f>"Diesel, Centrally Refueled: " &amp;TEXT(RtimeCls2Cent1,"mm/dd/yyyy hh:mm")</f>
        <v>Diesel, Centrally Refueled: 11/04/2020 14:43</v>
      </c>
    </row>
    <row r="60" spans="1:17" x14ac:dyDescent="0.2">
      <c r="A60" s="1128" t="str">
        <f>"Diesel, Non-Centrally Refueled: " &amp;TEXT(RtimeCls2NCent1,"mm/dd/yyyy hh:mm")</f>
        <v>Diesel, Non-Centrally Refueled: 11/04/2020 14:43</v>
      </c>
    </row>
  </sheetData>
  <mergeCells count="7">
    <mergeCell ref="H6:M6"/>
    <mergeCell ref="B6:G6"/>
    <mergeCell ref="A3:M3"/>
    <mergeCell ref="B5:G5"/>
    <mergeCell ref="H5:M5"/>
    <mergeCell ref="B4:G4"/>
    <mergeCell ref="H4:M4"/>
  </mergeCells>
  <conditionalFormatting sqref="B7:M53">
    <cfRule type="expression" dxfId="5" priority="1">
      <formula>B$8="not used"</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uel2Shr">
    <tabColor rgb="FF008000"/>
  </sheetPr>
  <dimension ref="A1:P60"/>
  <sheetViews>
    <sheetView zoomScale="70" zoomScaleNormal="70" workbookViewId="0">
      <selection activeCell="S24" sqref="S24"/>
    </sheetView>
  </sheetViews>
  <sheetFormatPr defaultColWidth="9.140625" defaultRowHeight="12.75" x14ac:dyDescent="0.2"/>
  <cols>
    <col min="1" max="1" width="9.140625" style="1119"/>
    <col min="2" max="2" width="13.28515625" style="1119" customWidth="1"/>
    <col min="3" max="7" width="10.42578125" style="1119" customWidth="1"/>
    <col min="8" max="8" width="13.85546875" style="1119" customWidth="1"/>
    <col min="9" max="13" width="10.42578125" style="1119" customWidth="1"/>
    <col min="14" max="16384" width="9.140625" style="1119"/>
  </cols>
  <sheetData>
    <row r="1" spans="1:16" x14ac:dyDescent="0.2">
      <c r="A1" s="1148"/>
    </row>
    <row r="2" spans="1:16" ht="13.5" thickBot="1" x14ac:dyDescent="0.25"/>
    <row r="3" spans="1:16" ht="19.5" thickBot="1" x14ac:dyDescent="0.35">
      <c r="A3" s="1669" t="s">
        <v>305</v>
      </c>
      <c r="B3" s="1670"/>
      <c r="C3" s="1670"/>
      <c r="D3" s="1670"/>
      <c r="E3" s="1670"/>
      <c r="F3" s="1670"/>
      <c r="G3" s="1670"/>
      <c r="H3" s="1670"/>
      <c r="I3" s="1670"/>
      <c r="J3" s="1670"/>
      <c r="K3" s="1670"/>
      <c r="L3" s="1670"/>
      <c r="M3" s="1671"/>
    </row>
    <row r="4" spans="1:16" ht="15" x14ac:dyDescent="0.25">
      <c r="A4" s="1121"/>
      <c r="B4" s="1679" t="s">
        <v>265</v>
      </c>
      <c r="C4" s="1680"/>
      <c r="D4" s="1680"/>
      <c r="E4" s="1680"/>
      <c r="F4" s="1680"/>
      <c r="G4" s="1681"/>
      <c r="H4" s="1679" t="s">
        <v>266</v>
      </c>
      <c r="I4" s="1680"/>
      <c r="J4" s="1680"/>
      <c r="K4" s="1680"/>
      <c r="L4" s="1680"/>
      <c r="M4" s="1681"/>
    </row>
    <row r="5" spans="1:16" ht="15" x14ac:dyDescent="0.25">
      <c r="A5" s="1122"/>
      <c r="B5" s="1687" t="s">
        <v>133</v>
      </c>
      <c r="C5" s="1688"/>
      <c r="D5" s="1688"/>
      <c r="E5" s="1688"/>
      <c r="F5" s="1688"/>
      <c r="G5" s="1689"/>
      <c r="H5" s="1687" t="s">
        <v>133</v>
      </c>
      <c r="I5" s="1688"/>
      <c r="J5" s="1688"/>
      <c r="K5" s="1688"/>
      <c r="L5" s="1688"/>
      <c r="M5" s="1689"/>
    </row>
    <row r="6" spans="1:16" ht="15" x14ac:dyDescent="0.25">
      <c r="A6" s="1122"/>
      <c r="B6" s="1149" t="s">
        <v>72</v>
      </c>
      <c r="C6" s="1150" t="s">
        <v>68</v>
      </c>
      <c r="D6" s="1150" t="s">
        <v>69</v>
      </c>
      <c r="E6" s="1150" t="s">
        <v>70</v>
      </c>
      <c r="F6" s="1150" t="s">
        <v>178</v>
      </c>
      <c r="G6" s="1151" t="s">
        <v>179</v>
      </c>
      <c r="H6" s="1149" t="s">
        <v>72</v>
      </c>
      <c r="I6" s="1150" t="s">
        <v>68</v>
      </c>
      <c r="J6" s="1150" t="s">
        <v>69</v>
      </c>
      <c r="K6" s="1150" t="s">
        <v>70</v>
      </c>
      <c r="L6" s="1150" t="s">
        <v>178</v>
      </c>
      <c r="M6" s="1151" t="s">
        <v>179</v>
      </c>
    </row>
    <row r="7" spans="1:16" s="1147" customFormat="1" ht="30" x14ac:dyDescent="0.2">
      <c r="A7" s="1146"/>
      <c r="B7" s="1152" t="str">
        <f t="shared" ref="B7:G7" si="0">INDEX(TECH_OPT_DESC_Cls1,MATCH(B6,TECH_OPT_ROWS_Cls1,0))</f>
        <v>Conventional gasoline</v>
      </c>
      <c r="C7" s="1153" t="str">
        <f t="shared" si="0"/>
        <v>not used</v>
      </c>
      <c r="D7" s="1153" t="str">
        <f t="shared" si="0"/>
        <v>not used</v>
      </c>
      <c r="E7" s="1153" t="str">
        <f t="shared" si="0"/>
        <v>not used</v>
      </c>
      <c r="F7" s="1153" t="str">
        <f t="shared" si="0"/>
        <v>not used</v>
      </c>
      <c r="G7" s="1154" t="str">
        <f t="shared" si="0"/>
        <v>not used</v>
      </c>
      <c r="H7" s="1152" t="str">
        <f t="shared" ref="H7:M7" si="1">INDEX(TECH_OPT_DESC_Cls2,MATCH(H6,TECH_OPT_ROWS_Cls2,0))</f>
        <v>Conventional Diesel ICE</v>
      </c>
      <c r="I7" s="1153" t="str">
        <f t="shared" si="1"/>
        <v>Adv Conv</v>
      </c>
      <c r="J7" s="1153" t="str">
        <f t="shared" si="1"/>
        <v>HEV</v>
      </c>
      <c r="K7" s="1153" t="str">
        <f t="shared" si="1"/>
        <v>BEV</v>
      </c>
      <c r="L7" s="1153" t="str">
        <f t="shared" si="1"/>
        <v>FCEV</v>
      </c>
      <c r="M7" s="1154" t="str">
        <f t="shared" si="1"/>
        <v>PHEV</v>
      </c>
    </row>
    <row r="8" spans="1:16" s="1147" customFormat="1" ht="15" x14ac:dyDescent="0.2">
      <c r="A8" s="1146"/>
      <c r="B8" s="1163" t="str">
        <f t="shared" ref="B8:G8" si="2">INDEX(TECH_OPT_FUEL2_Cls1,MATCH(B6,TECH_OPT_ROWS_Cls1,0))</f>
        <v>N/A</v>
      </c>
      <c r="C8" s="1164" t="str">
        <f t="shared" si="2"/>
        <v>Electricity</v>
      </c>
      <c r="D8" s="1164" t="str">
        <f t="shared" si="2"/>
        <v>N/A</v>
      </c>
      <c r="E8" s="1164" t="str">
        <f t="shared" si="2"/>
        <v>N/A</v>
      </c>
      <c r="F8" s="1164" t="str">
        <f t="shared" si="2"/>
        <v>N/A</v>
      </c>
      <c r="G8" s="1165" t="str">
        <f t="shared" si="2"/>
        <v>N/A</v>
      </c>
      <c r="H8" s="1164" t="str">
        <f t="shared" ref="H8:M8" si="3">INDEX(TECH_OPT_FUEL2_Cls2,MATCH(H6,TECH_OPT_ROWS_Cls2,0))</f>
        <v>N/A</v>
      </c>
      <c r="I8" s="1164" t="str">
        <f t="shared" si="3"/>
        <v>N/A</v>
      </c>
      <c r="J8" s="1164" t="str">
        <f t="shared" si="3"/>
        <v>N/A</v>
      </c>
      <c r="K8" s="1164" t="str">
        <f t="shared" si="3"/>
        <v>N/A</v>
      </c>
      <c r="L8" s="1164" t="str">
        <f t="shared" si="3"/>
        <v>N/A</v>
      </c>
      <c r="M8" s="1165" t="str">
        <f t="shared" si="3"/>
        <v>Electricity</v>
      </c>
    </row>
    <row r="9" spans="1:16" ht="15.75" thickBot="1" x14ac:dyDescent="0.3">
      <c r="A9" s="1126" t="s">
        <v>3</v>
      </c>
      <c r="B9" s="1155" t="str">
        <f t="shared" ref="B9:G9" si="4">INDEX(TECH_OPT_FUEL1_Cls1,MATCH(B6,TECH_OPT_ROWS_Cls1,0))</f>
        <v>Diesel</v>
      </c>
      <c r="C9" s="1156" t="str">
        <f t="shared" si="4"/>
        <v>Diesel</v>
      </c>
      <c r="D9" s="1156" t="str">
        <f t="shared" si="4"/>
        <v>Diesel</v>
      </c>
      <c r="E9" s="1156" t="str">
        <f t="shared" si="4"/>
        <v>Diesel</v>
      </c>
      <c r="F9" s="1156" t="str">
        <f t="shared" si="4"/>
        <v>Electricity</v>
      </c>
      <c r="G9" s="1157" t="str">
        <f t="shared" si="4"/>
        <v>Hydrogen</v>
      </c>
      <c r="H9" s="1158" t="str">
        <f t="shared" ref="H9:M9" si="5">INDEX(TECH_OPT_FUEL1_Cls2,MATCH(H6,TECH_OPT_ROWS_Cls2,0))</f>
        <v>Diesel</v>
      </c>
      <c r="I9" s="1156" t="str">
        <f t="shared" si="5"/>
        <v>Diesel</v>
      </c>
      <c r="J9" s="1156" t="str">
        <f t="shared" si="5"/>
        <v>Diesel</v>
      </c>
      <c r="K9" s="1156" t="str">
        <f t="shared" si="5"/>
        <v>Electricity</v>
      </c>
      <c r="L9" s="1156" t="str">
        <f t="shared" si="5"/>
        <v>Hydrogen</v>
      </c>
      <c r="M9" s="1157" t="str">
        <f t="shared" si="5"/>
        <v>Diesel</v>
      </c>
    </row>
    <row r="10" spans="1:16" ht="15.75" thickTop="1" x14ac:dyDescent="0.25">
      <c r="A10" s="1159">
        <v>2007</v>
      </c>
      <c r="B10" s="1139">
        <v>0</v>
      </c>
      <c r="C10" s="1140">
        <f>'4-6 Gas'!AD76</f>
        <v>0</v>
      </c>
      <c r="D10" s="1140">
        <f>'4-6 Gas'!AD128</f>
        <v>0</v>
      </c>
      <c r="E10" s="1140">
        <f>'4-6 Gas'!AD180</f>
        <v>0</v>
      </c>
      <c r="F10" s="1140">
        <f>'4-6 Gas'!AD233</f>
        <v>0</v>
      </c>
      <c r="G10" s="1141">
        <f>'4-6 Gas'!AD286</f>
        <v>0</v>
      </c>
      <c r="H10" s="1140">
        <v>0</v>
      </c>
      <c r="I10" s="1140">
        <f>'4-6 Diesel'!AD76</f>
        <v>0</v>
      </c>
      <c r="J10" s="1140">
        <f>'4-6 Diesel'!AD128</f>
        <v>0</v>
      </c>
      <c r="K10" s="1140">
        <f>'4-6 Diesel'!AD180</f>
        <v>0</v>
      </c>
      <c r="L10" s="1140">
        <f>'4-6 Diesel'!AD233</f>
        <v>0</v>
      </c>
      <c r="M10" s="1141">
        <f>'4-6 Diesel'!AD286</f>
        <v>0</v>
      </c>
      <c r="P10" s="1118"/>
    </row>
    <row r="11" spans="1:16" ht="15" x14ac:dyDescent="0.25">
      <c r="A11" s="1159">
        <v>2008</v>
      </c>
      <c r="B11" s="1139">
        <v>0</v>
      </c>
      <c r="C11" s="1134">
        <f>'4-6 Gas'!AD77</f>
        <v>0</v>
      </c>
      <c r="D11" s="1134">
        <f>'4-6 Gas'!AD129</f>
        <v>0</v>
      </c>
      <c r="E11" s="1134">
        <f>'4-6 Gas'!AD181</f>
        <v>0</v>
      </c>
      <c r="F11" s="1134">
        <f>'4-6 Gas'!AD234</f>
        <v>0</v>
      </c>
      <c r="G11" s="1135">
        <f>'4-6 Gas'!AD287</f>
        <v>0</v>
      </c>
      <c r="H11" s="1129">
        <v>0</v>
      </c>
      <c r="I11" s="1129">
        <f>'4-6 Diesel'!AD77</f>
        <v>0</v>
      </c>
      <c r="J11" s="1129">
        <f>'4-6 Diesel'!AD129</f>
        <v>0</v>
      </c>
      <c r="K11" s="1129">
        <f>'4-6 Diesel'!AD181</f>
        <v>0</v>
      </c>
      <c r="L11" s="1129">
        <f>'4-6 Diesel'!AD234</f>
        <v>0</v>
      </c>
      <c r="M11" s="671">
        <f>'4-6 Diesel'!AD287</f>
        <v>0</v>
      </c>
      <c r="P11" s="1118"/>
    </row>
    <row r="12" spans="1:16" ht="15" x14ac:dyDescent="0.25">
      <c r="A12" s="1159">
        <v>2009</v>
      </c>
      <c r="B12" s="1139">
        <v>0</v>
      </c>
      <c r="C12" s="1134">
        <f>'4-6 Gas'!AD78</f>
        <v>0</v>
      </c>
      <c r="D12" s="1134">
        <f>'4-6 Gas'!AD130</f>
        <v>0</v>
      </c>
      <c r="E12" s="1134">
        <f>'4-6 Gas'!AD182</f>
        <v>0</v>
      </c>
      <c r="F12" s="1134">
        <f>'4-6 Gas'!AD235</f>
        <v>0</v>
      </c>
      <c r="G12" s="1135">
        <f>'4-6 Gas'!AD288</f>
        <v>0</v>
      </c>
      <c r="H12" s="1129">
        <v>0</v>
      </c>
      <c r="I12" s="1129">
        <f>'4-6 Diesel'!AD78</f>
        <v>0</v>
      </c>
      <c r="J12" s="1129">
        <f>'4-6 Diesel'!AD130</f>
        <v>0</v>
      </c>
      <c r="K12" s="1129">
        <f>'4-6 Diesel'!AD182</f>
        <v>0</v>
      </c>
      <c r="L12" s="1129">
        <f>'4-6 Diesel'!AD235</f>
        <v>0</v>
      </c>
      <c r="M12" s="671">
        <f>'4-6 Diesel'!AD288</f>
        <v>0</v>
      </c>
      <c r="P12" s="1118"/>
    </row>
    <row r="13" spans="1:16" ht="15" x14ac:dyDescent="0.25">
      <c r="A13" s="1160">
        <v>2010</v>
      </c>
      <c r="B13" s="1139">
        <v>0</v>
      </c>
      <c r="C13" s="1137">
        <f>'4-6 Gas'!AD79</f>
        <v>0</v>
      </c>
      <c r="D13" s="1137">
        <f>'4-6 Gas'!AD131</f>
        <v>0</v>
      </c>
      <c r="E13" s="1137">
        <f>'4-6 Gas'!AD183</f>
        <v>0</v>
      </c>
      <c r="F13" s="1137">
        <f>'4-6 Gas'!AD236</f>
        <v>0</v>
      </c>
      <c r="G13" s="1138">
        <f>'4-6 Gas'!AD289</f>
        <v>0</v>
      </c>
      <c r="H13" s="1130">
        <v>0</v>
      </c>
      <c r="I13" s="1130">
        <f>'4-6 Diesel'!AD79</f>
        <v>0</v>
      </c>
      <c r="J13" s="1130">
        <f>'4-6 Diesel'!AD131</f>
        <v>0</v>
      </c>
      <c r="K13" s="1130">
        <f>'4-6 Diesel'!AD183</f>
        <v>0</v>
      </c>
      <c r="L13" s="1130">
        <f>'4-6 Diesel'!AD236</f>
        <v>0</v>
      </c>
      <c r="M13" s="672">
        <f>'4-6 Diesel'!AD289</f>
        <v>0</v>
      </c>
      <c r="P13" s="1118"/>
    </row>
    <row r="14" spans="1:16" ht="15" x14ac:dyDescent="0.25">
      <c r="A14" s="1159">
        <v>2011</v>
      </c>
      <c r="B14" s="1139">
        <v>0</v>
      </c>
      <c r="C14" s="1140">
        <f>'4-6 Gas'!AD80</f>
        <v>0</v>
      </c>
      <c r="D14" s="1140">
        <f>'4-6 Gas'!AD132</f>
        <v>0</v>
      </c>
      <c r="E14" s="1140">
        <f>'4-6 Gas'!AD184</f>
        <v>0</v>
      </c>
      <c r="F14" s="1140">
        <f>'4-6 Gas'!AD237</f>
        <v>0</v>
      </c>
      <c r="G14" s="1141">
        <f>'4-6 Gas'!AD290</f>
        <v>0</v>
      </c>
      <c r="H14" s="1131">
        <v>0</v>
      </c>
      <c r="I14" s="1131">
        <f>'4-6 Diesel'!AD80</f>
        <v>0</v>
      </c>
      <c r="J14" s="1131">
        <f>'4-6 Diesel'!AD132</f>
        <v>0</v>
      </c>
      <c r="K14" s="1131">
        <f>'4-6 Diesel'!AD184</f>
        <v>0</v>
      </c>
      <c r="L14" s="1131">
        <f>'4-6 Diesel'!AD237</f>
        <v>0</v>
      </c>
      <c r="M14" s="673">
        <f>'4-6 Diesel'!AD290</f>
        <v>0</v>
      </c>
      <c r="P14" s="1118"/>
    </row>
    <row r="15" spans="1:16" ht="15" x14ac:dyDescent="0.25">
      <c r="A15" s="1159">
        <v>2012</v>
      </c>
      <c r="B15" s="1139">
        <v>0</v>
      </c>
      <c r="C15" s="1134">
        <f>'4-6 Gas'!AD81</f>
        <v>0</v>
      </c>
      <c r="D15" s="1134">
        <f>'4-6 Gas'!AD133</f>
        <v>0</v>
      </c>
      <c r="E15" s="1134">
        <f>'4-6 Gas'!AD185</f>
        <v>0</v>
      </c>
      <c r="F15" s="1134">
        <f>'4-6 Gas'!AD238</f>
        <v>0</v>
      </c>
      <c r="G15" s="1135">
        <f>'4-6 Gas'!AD291</f>
        <v>0</v>
      </c>
      <c r="H15" s="1129">
        <v>0</v>
      </c>
      <c r="I15" s="1129">
        <f>'4-6 Diesel'!AD81</f>
        <v>0</v>
      </c>
      <c r="J15" s="1129">
        <f>'4-6 Diesel'!AD133</f>
        <v>0</v>
      </c>
      <c r="K15" s="1129">
        <f>'4-6 Diesel'!AD185</f>
        <v>0</v>
      </c>
      <c r="L15" s="1129">
        <f>'4-6 Diesel'!AD238</f>
        <v>0</v>
      </c>
      <c r="M15" s="671">
        <f>'4-6 Diesel'!AD291</f>
        <v>0</v>
      </c>
      <c r="P15" s="1118"/>
    </row>
    <row r="16" spans="1:16" ht="15" x14ac:dyDescent="0.25">
      <c r="A16" s="1159">
        <v>2013</v>
      </c>
      <c r="B16" s="1139">
        <v>0</v>
      </c>
      <c r="C16" s="1134">
        <f>'4-6 Gas'!AD82</f>
        <v>0</v>
      </c>
      <c r="D16" s="1134">
        <f>'4-6 Gas'!AD134</f>
        <v>0</v>
      </c>
      <c r="E16" s="1134">
        <f>'4-6 Gas'!AD186</f>
        <v>0</v>
      </c>
      <c r="F16" s="1134">
        <f>'4-6 Gas'!AD239</f>
        <v>0</v>
      </c>
      <c r="G16" s="1135">
        <f>'4-6 Gas'!AD292</f>
        <v>0</v>
      </c>
      <c r="H16" s="1129">
        <v>0</v>
      </c>
      <c r="I16" s="1129">
        <f>'4-6 Diesel'!AD82</f>
        <v>0</v>
      </c>
      <c r="J16" s="1129">
        <f>'4-6 Diesel'!AD134</f>
        <v>0</v>
      </c>
      <c r="K16" s="1129">
        <f>'4-6 Diesel'!AD186</f>
        <v>0</v>
      </c>
      <c r="L16" s="1129">
        <f>'4-6 Diesel'!AD239</f>
        <v>0</v>
      </c>
      <c r="M16" s="671">
        <f>'4-6 Diesel'!AD292</f>
        <v>0</v>
      </c>
      <c r="P16" s="1118"/>
    </row>
    <row r="17" spans="1:16" ht="15" x14ac:dyDescent="0.25">
      <c r="A17" s="1159">
        <v>2014</v>
      </c>
      <c r="B17" s="1139">
        <v>0</v>
      </c>
      <c r="C17" s="1134">
        <f>'4-6 Gas'!AD83</f>
        <v>0</v>
      </c>
      <c r="D17" s="1134">
        <f>'4-6 Gas'!AD135</f>
        <v>0</v>
      </c>
      <c r="E17" s="1134">
        <f>'4-6 Gas'!AD187</f>
        <v>0</v>
      </c>
      <c r="F17" s="1134">
        <f>'4-6 Gas'!AD240</f>
        <v>0</v>
      </c>
      <c r="G17" s="1135">
        <f>'4-6 Gas'!AD293</f>
        <v>0</v>
      </c>
      <c r="H17" s="1129">
        <v>0</v>
      </c>
      <c r="I17" s="1129">
        <f>'4-6 Diesel'!AD83</f>
        <v>0</v>
      </c>
      <c r="J17" s="1129">
        <f>'4-6 Diesel'!AD135</f>
        <v>0</v>
      </c>
      <c r="K17" s="1129">
        <f>'4-6 Diesel'!AD187</f>
        <v>0</v>
      </c>
      <c r="L17" s="1129">
        <f>'4-6 Diesel'!AD240</f>
        <v>0</v>
      </c>
      <c r="M17" s="671">
        <f>'4-6 Diesel'!AD293</f>
        <v>0</v>
      </c>
      <c r="P17" s="1118"/>
    </row>
    <row r="18" spans="1:16" ht="15" x14ac:dyDescent="0.25">
      <c r="A18" s="1160">
        <v>2015</v>
      </c>
      <c r="B18" s="1139">
        <v>0</v>
      </c>
      <c r="C18" s="1137">
        <f>'4-6 Gas'!AD84</f>
        <v>0</v>
      </c>
      <c r="D18" s="1137">
        <f>'4-6 Gas'!AD136</f>
        <v>0</v>
      </c>
      <c r="E18" s="1137">
        <f>'4-6 Gas'!AD188</f>
        <v>0</v>
      </c>
      <c r="F18" s="1137">
        <f>'4-6 Gas'!AD241</f>
        <v>0</v>
      </c>
      <c r="G18" s="1138">
        <f>'4-6 Gas'!AD294</f>
        <v>0</v>
      </c>
      <c r="H18" s="1130">
        <v>0</v>
      </c>
      <c r="I18" s="1130">
        <f>'4-6 Diesel'!AD84</f>
        <v>0</v>
      </c>
      <c r="J18" s="1130">
        <f>'4-6 Diesel'!AD136</f>
        <v>0</v>
      </c>
      <c r="K18" s="1130">
        <f>'4-6 Diesel'!AD188</f>
        <v>0</v>
      </c>
      <c r="L18" s="1130">
        <f>'4-6 Diesel'!AD241</f>
        <v>0</v>
      </c>
      <c r="M18" s="672">
        <f>'4-6 Diesel'!AD294</f>
        <v>0</v>
      </c>
      <c r="P18" s="1118"/>
    </row>
    <row r="19" spans="1:16" ht="15" x14ac:dyDescent="0.25">
      <c r="A19" s="1159">
        <v>2016</v>
      </c>
      <c r="B19" s="1139">
        <v>0</v>
      </c>
      <c r="C19" s="1140">
        <f>'4-6 Gas'!AD85</f>
        <v>0</v>
      </c>
      <c r="D19" s="1140">
        <f>'4-6 Gas'!AD137</f>
        <v>0</v>
      </c>
      <c r="E19" s="1140">
        <f>'4-6 Gas'!AD189</f>
        <v>0</v>
      </c>
      <c r="F19" s="1140">
        <f>'4-6 Gas'!AD242</f>
        <v>0</v>
      </c>
      <c r="G19" s="1141">
        <f>'4-6 Gas'!AD295</f>
        <v>0</v>
      </c>
      <c r="H19" s="1131">
        <v>0</v>
      </c>
      <c r="I19" s="1131">
        <f>'4-6 Diesel'!AD85</f>
        <v>0</v>
      </c>
      <c r="J19" s="1131">
        <f>'4-6 Diesel'!AD137</f>
        <v>0</v>
      </c>
      <c r="K19" s="1131">
        <f>'4-6 Diesel'!AD189</f>
        <v>0</v>
      </c>
      <c r="L19" s="1131">
        <f>'4-6 Diesel'!AD242</f>
        <v>0</v>
      </c>
      <c r="M19" s="673">
        <f>'4-6 Diesel'!AD295</f>
        <v>0</v>
      </c>
      <c r="P19" s="1118"/>
    </row>
    <row r="20" spans="1:16" ht="15" x14ac:dyDescent="0.25">
      <c r="A20" s="1159">
        <v>2017</v>
      </c>
      <c r="B20" s="1139">
        <v>0</v>
      </c>
      <c r="C20" s="1134">
        <f>'4-6 Gas'!AD86</f>
        <v>0</v>
      </c>
      <c r="D20" s="1134">
        <f>'4-6 Gas'!AD138</f>
        <v>0</v>
      </c>
      <c r="E20" s="1134">
        <f>'4-6 Gas'!AD190</f>
        <v>0</v>
      </c>
      <c r="F20" s="1134">
        <f>'4-6 Gas'!AD243</f>
        <v>0</v>
      </c>
      <c r="G20" s="1135">
        <f>'4-6 Gas'!AD296</f>
        <v>0</v>
      </c>
      <c r="H20" s="1129">
        <v>0</v>
      </c>
      <c r="I20" s="1129">
        <f>'4-6 Diesel'!AD86</f>
        <v>0</v>
      </c>
      <c r="J20" s="1129">
        <f>'4-6 Diesel'!AD138</f>
        <v>0</v>
      </c>
      <c r="K20" s="1129">
        <f>'4-6 Diesel'!AD190</f>
        <v>0</v>
      </c>
      <c r="L20" s="1129">
        <f>'4-6 Diesel'!AD243</f>
        <v>0</v>
      </c>
      <c r="M20" s="671">
        <f>'4-6 Diesel'!AD296</f>
        <v>0</v>
      </c>
      <c r="P20" s="1118"/>
    </row>
    <row r="21" spans="1:16" ht="15" x14ac:dyDescent="0.25">
      <c r="A21" s="1159">
        <v>2018</v>
      </c>
      <c r="B21" s="1139">
        <v>0</v>
      </c>
      <c r="C21" s="1134">
        <f>'4-6 Gas'!AD87</f>
        <v>0</v>
      </c>
      <c r="D21" s="1134">
        <f>'4-6 Gas'!AD139</f>
        <v>0</v>
      </c>
      <c r="E21" s="1134">
        <f>'4-6 Gas'!AD191</f>
        <v>0</v>
      </c>
      <c r="F21" s="1134">
        <f>'4-6 Gas'!AD244</f>
        <v>0</v>
      </c>
      <c r="G21" s="1135">
        <f>'4-6 Gas'!AD297</f>
        <v>0</v>
      </c>
      <c r="H21" s="1129">
        <v>0</v>
      </c>
      <c r="I21" s="1129">
        <f>'4-6 Diesel'!AD87</f>
        <v>0</v>
      </c>
      <c r="J21" s="1129">
        <f>'4-6 Diesel'!AD139</f>
        <v>0</v>
      </c>
      <c r="K21" s="1129">
        <f>'4-6 Diesel'!AD191</f>
        <v>0</v>
      </c>
      <c r="L21" s="1129">
        <f>'4-6 Diesel'!AD244</f>
        <v>0</v>
      </c>
      <c r="M21" s="671">
        <f>'4-6 Diesel'!AD297</f>
        <v>0</v>
      </c>
      <c r="P21" s="1118"/>
    </row>
    <row r="22" spans="1:16" ht="15" x14ac:dyDescent="0.25">
      <c r="A22" s="1159">
        <v>2019</v>
      </c>
      <c r="B22" s="1139">
        <v>0</v>
      </c>
      <c r="C22" s="1134">
        <f>'4-6 Gas'!AD88</f>
        <v>0</v>
      </c>
      <c r="D22" s="1134">
        <f>'4-6 Gas'!AD140</f>
        <v>0</v>
      </c>
      <c r="E22" s="1134">
        <f>'4-6 Gas'!AD192</f>
        <v>0</v>
      </c>
      <c r="F22" s="1134">
        <f>'4-6 Gas'!AD245</f>
        <v>0</v>
      </c>
      <c r="G22" s="1135">
        <f>'4-6 Gas'!AD298</f>
        <v>0</v>
      </c>
      <c r="H22" s="1129">
        <v>0</v>
      </c>
      <c r="I22" s="1129">
        <f>'4-6 Diesel'!AD88</f>
        <v>0</v>
      </c>
      <c r="J22" s="1129">
        <f>'4-6 Diesel'!AD140</f>
        <v>0</v>
      </c>
      <c r="K22" s="1129">
        <f>'4-6 Diesel'!AD192</f>
        <v>0</v>
      </c>
      <c r="L22" s="1129">
        <f>'4-6 Diesel'!AD245</f>
        <v>0</v>
      </c>
      <c r="M22" s="671">
        <f>'4-6 Diesel'!AD298</f>
        <v>0</v>
      </c>
      <c r="P22" s="1118"/>
    </row>
    <row r="23" spans="1:16" ht="15" x14ac:dyDescent="0.25">
      <c r="A23" s="1160">
        <v>2020</v>
      </c>
      <c r="B23" s="1139">
        <v>0</v>
      </c>
      <c r="C23" s="1137">
        <f>'4-6 Gas'!AD89</f>
        <v>0</v>
      </c>
      <c r="D23" s="1137">
        <f>'4-6 Gas'!AD141</f>
        <v>0</v>
      </c>
      <c r="E23" s="1137">
        <f>'4-6 Gas'!AD193</f>
        <v>0</v>
      </c>
      <c r="F23" s="1137">
        <f>'4-6 Gas'!AD246</f>
        <v>0</v>
      </c>
      <c r="G23" s="1138">
        <f>'4-6 Gas'!AD299</f>
        <v>0</v>
      </c>
      <c r="H23" s="1130">
        <v>0</v>
      </c>
      <c r="I23" s="1130">
        <f>'4-6 Diesel'!AD89</f>
        <v>0</v>
      </c>
      <c r="J23" s="1130">
        <f>'4-6 Diesel'!AD141</f>
        <v>0</v>
      </c>
      <c r="K23" s="1130">
        <f>'4-6 Diesel'!AD193</f>
        <v>0</v>
      </c>
      <c r="L23" s="1130">
        <f>'4-6 Diesel'!AD246</f>
        <v>0</v>
      </c>
      <c r="M23" s="672">
        <f>'4-6 Diesel'!AD299</f>
        <v>0</v>
      </c>
      <c r="P23" s="1118"/>
    </row>
    <row r="24" spans="1:16" ht="15" x14ac:dyDescent="0.25">
      <c r="A24" s="1159">
        <v>2021</v>
      </c>
      <c r="B24" s="1139">
        <v>0</v>
      </c>
      <c r="C24" s="1140">
        <f>'4-6 Gas'!AD90</f>
        <v>0</v>
      </c>
      <c r="D24" s="1140">
        <f>'4-6 Gas'!AD142</f>
        <v>0</v>
      </c>
      <c r="E24" s="1140">
        <f>'4-6 Gas'!AD194</f>
        <v>0</v>
      </c>
      <c r="F24" s="1140">
        <f>'4-6 Gas'!AD247</f>
        <v>0</v>
      </c>
      <c r="G24" s="1141">
        <f>'4-6 Gas'!AD300</f>
        <v>0</v>
      </c>
      <c r="H24" s="1131">
        <v>0</v>
      </c>
      <c r="I24" s="1131">
        <f>'4-6 Diesel'!AD90</f>
        <v>0</v>
      </c>
      <c r="J24" s="1131">
        <f>'4-6 Diesel'!AD142</f>
        <v>0</v>
      </c>
      <c r="K24" s="1131">
        <f>'4-6 Diesel'!AD194</f>
        <v>0</v>
      </c>
      <c r="L24" s="1131">
        <f>'4-6 Diesel'!AD247</f>
        <v>0</v>
      </c>
      <c r="M24" s="673">
        <f>'4-6 Diesel'!AD300</f>
        <v>0</v>
      </c>
      <c r="P24" s="1118"/>
    </row>
    <row r="25" spans="1:16" ht="15" x14ac:dyDescent="0.25">
      <c r="A25" s="1159">
        <v>2022</v>
      </c>
      <c r="B25" s="1139">
        <v>0</v>
      </c>
      <c r="C25" s="1134">
        <f>'4-6 Gas'!AD91</f>
        <v>0</v>
      </c>
      <c r="D25" s="1134">
        <f>'4-6 Gas'!AD143</f>
        <v>0</v>
      </c>
      <c r="E25" s="1134">
        <f>'4-6 Gas'!AD195</f>
        <v>0</v>
      </c>
      <c r="F25" s="1134">
        <f>'4-6 Gas'!AD248</f>
        <v>0</v>
      </c>
      <c r="G25" s="1135">
        <f>'4-6 Gas'!AD301</f>
        <v>0</v>
      </c>
      <c r="H25" s="1129">
        <v>0</v>
      </c>
      <c r="I25" s="1129">
        <f>'4-6 Diesel'!AD91</f>
        <v>0</v>
      </c>
      <c r="J25" s="1129">
        <f>'4-6 Diesel'!AD143</f>
        <v>0</v>
      </c>
      <c r="K25" s="1129">
        <f>'4-6 Diesel'!AD195</f>
        <v>0</v>
      </c>
      <c r="L25" s="1129">
        <f>'4-6 Diesel'!AD248</f>
        <v>0</v>
      </c>
      <c r="M25" s="671">
        <f>'4-6 Diesel'!AD301</f>
        <v>0</v>
      </c>
      <c r="P25" s="1118"/>
    </row>
    <row r="26" spans="1:16" ht="15" x14ac:dyDescent="0.25">
      <c r="A26" s="1159">
        <v>2023</v>
      </c>
      <c r="B26" s="1139">
        <v>0</v>
      </c>
      <c r="C26" s="1134">
        <f>'4-6 Gas'!AD92</f>
        <v>0</v>
      </c>
      <c r="D26" s="1134">
        <f>'4-6 Gas'!AD144</f>
        <v>0</v>
      </c>
      <c r="E26" s="1134">
        <f>'4-6 Gas'!AD196</f>
        <v>0</v>
      </c>
      <c r="F26" s="1134">
        <f>'4-6 Gas'!AD249</f>
        <v>0</v>
      </c>
      <c r="G26" s="1135">
        <f>'4-6 Gas'!AD302</f>
        <v>0</v>
      </c>
      <c r="H26" s="1129">
        <v>0</v>
      </c>
      <c r="I26" s="1129">
        <f>'4-6 Diesel'!AD92</f>
        <v>0</v>
      </c>
      <c r="J26" s="1129">
        <f>'4-6 Diesel'!AD144</f>
        <v>0</v>
      </c>
      <c r="K26" s="1129">
        <f>'4-6 Diesel'!AD196</f>
        <v>0</v>
      </c>
      <c r="L26" s="1129">
        <f>'4-6 Diesel'!AD249</f>
        <v>0</v>
      </c>
      <c r="M26" s="671">
        <f>'4-6 Diesel'!AD302</f>
        <v>0</v>
      </c>
      <c r="P26" s="1118"/>
    </row>
    <row r="27" spans="1:16" ht="15" x14ac:dyDescent="0.25">
      <c r="A27" s="1159">
        <v>2024</v>
      </c>
      <c r="B27" s="1139">
        <v>0</v>
      </c>
      <c r="C27" s="1134">
        <f>'4-6 Gas'!AD93</f>
        <v>0</v>
      </c>
      <c r="D27" s="1134">
        <f>'4-6 Gas'!AD145</f>
        <v>0</v>
      </c>
      <c r="E27" s="1134">
        <f>'4-6 Gas'!AD197</f>
        <v>0</v>
      </c>
      <c r="F27" s="1134">
        <f>'4-6 Gas'!AD250</f>
        <v>0</v>
      </c>
      <c r="G27" s="1135">
        <f>'4-6 Gas'!AD303</f>
        <v>0</v>
      </c>
      <c r="H27" s="1129">
        <v>0</v>
      </c>
      <c r="I27" s="1129">
        <f>'4-6 Diesel'!AD93</f>
        <v>0</v>
      </c>
      <c r="J27" s="1129">
        <f>'4-6 Diesel'!AD145</f>
        <v>0</v>
      </c>
      <c r="K27" s="1129">
        <f>'4-6 Diesel'!AD197</f>
        <v>0</v>
      </c>
      <c r="L27" s="1129">
        <f>'4-6 Diesel'!AD250</f>
        <v>0</v>
      </c>
      <c r="M27" s="671">
        <f>'4-6 Diesel'!AD303</f>
        <v>0</v>
      </c>
      <c r="P27" s="1118"/>
    </row>
    <row r="28" spans="1:16" ht="15" x14ac:dyDescent="0.25">
      <c r="A28" s="1160">
        <v>2025</v>
      </c>
      <c r="B28" s="1139">
        <v>0</v>
      </c>
      <c r="C28" s="1137">
        <f>'4-6 Gas'!AD94</f>
        <v>0</v>
      </c>
      <c r="D28" s="1137">
        <f>'4-6 Gas'!AD146</f>
        <v>0</v>
      </c>
      <c r="E28" s="1137">
        <f>'4-6 Gas'!AD198</f>
        <v>0</v>
      </c>
      <c r="F28" s="1137">
        <f>'4-6 Gas'!AD251</f>
        <v>0</v>
      </c>
      <c r="G28" s="1138">
        <f>'4-6 Gas'!AD304</f>
        <v>0</v>
      </c>
      <c r="H28" s="1130">
        <v>0</v>
      </c>
      <c r="I28" s="1130">
        <f>'4-6 Diesel'!AD94</f>
        <v>0</v>
      </c>
      <c r="J28" s="1130">
        <f>'4-6 Diesel'!AD146</f>
        <v>0</v>
      </c>
      <c r="K28" s="1130">
        <f>'4-6 Diesel'!AD198</f>
        <v>0</v>
      </c>
      <c r="L28" s="1130">
        <f>'4-6 Diesel'!AD251</f>
        <v>0</v>
      </c>
      <c r="M28" s="672">
        <f>'4-6 Diesel'!AD304</f>
        <v>0</v>
      </c>
      <c r="P28" s="1118"/>
    </row>
    <row r="29" spans="1:16" ht="15" x14ac:dyDescent="0.25">
      <c r="A29" s="1159">
        <v>2026</v>
      </c>
      <c r="B29" s="1139">
        <v>0</v>
      </c>
      <c r="C29" s="1140">
        <f>'4-6 Gas'!AD95</f>
        <v>0</v>
      </c>
      <c r="D29" s="1140">
        <f>'4-6 Gas'!AD147</f>
        <v>0</v>
      </c>
      <c r="E29" s="1140">
        <f>'4-6 Gas'!AD199</f>
        <v>0</v>
      </c>
      <c r="F29" s="1140">
        <f>'4-6 Gas'!AD252</f>
        <v>0</v>
      </c>
      <c r="G29" s="1141">
        <f>'4-6 Gas'!AD305</f>
        <v>0</v>
      </c>
      <c r="H29" s="1131">
        <v>0</v>
      </c>
      <c r="I29" s="1131">
        <f>'4-6 Diesel'!AD95</f>
        <v>0</v>
      </c>
      <c r="J29" s="1131">
        <f>'4-6 Diesel'!AD147</f>
        <v>0</v>
      </c>
      <c r="K29" s="1131">
        <f>'4-6 Diesel'!AD199</f>
        <v>0</v>
      </c>
      <c r="L29" s="1131">
        <f>'4-6 Diesel'!AD252</f>
        <v>0</v>
      </c>
      <c r="M29" s="673">
        <f>'4-6 Diesel'!AD305</f>
        <v>0.13680708020909332</v>
      </c>
      <c r="P29" s="1118"/>
    </row>
    <row r="30" spans="1:16" ht="15" x14ac:dyDescent="0.25">
      <c r="A30" s="1159">
        <v>2027</v>
      </c>
      <c r="B30" s="1139">
        <v>0</v>
      </c>
      <c r="C30" s="1134">
        <f>'4-6 Gas'!AD96</f>
        <v>0</v>
      </c>
      <c r="D30" s="1134">
        <f>'4-6 Gas'!AD148</f>
        <v>0</v>
      </c>
      <c r="E30" s="1134">
        <f>'4-6 Gas'!AD200</f>
        <v>0</v>
      </c>
      <c r="F30" s="1134">
        <f>'4-6 Gas'!AD253</f>
        <v>0</v>
      </c>
      <c r="G30" s="1135">
        <f>'4-6 Gas'!AD306</f>
        <v>0</v>
      </c>
      <c r="H30" s="1129">
        <v>0</v>
      </c>
      <c r="I30" s="1129">
        <f>'4-6 Diesel'!AD96</f>
        <v>0</v>
      </c>
      <c r="J30" s="1129">
        <f>'4-6 Diesel'!AD148</f>
        <v>0</v>
      </c>
      <c r="K30" s="1129">
        <f>'4-6 Diesel'!AD200</f>
        <v>0</v>
      </c>
      <c r="L30" s="1129">
        <f>'4-6 Diesel'!AD253</f>
        <v>0</v>
      </c>
      <c r="M30" s="671">
        <f>'4-6 Diesel'!AD306</f>
        <v>0.13874647609090521</v>
      </c>
      <c r="P30" s="1118"/>
    </row>
    <row r="31" spans="1:16" ht="15" x14ac:dyDescent="0.25">
      <c r="A31" s="1159">
        <v>2028</v>
      </c>
      <c r="B31" s="1139">
        <v>0</v>
      </c>
      <c r="C31" s="1134">
        <f>'4-6 Gas'!AD97</f>
        <v>0</v>
      </c>
      <c r="D31" s="1134">
        <f>'4-6 Gas'!AD149</f>
        <v>0</v>
      </c>
      <c r="E31" s="1134">
        <f>'4-6 Gas'!AD201</f>
        <v>0</v>
      </c>
      <c r="F31" s="1134">
        <f>'4-6 Gas'!AD254</f>
        <v>0</v>
      </c>
      <c r="G31" s="1135">
        <f>'4-6 Gas'!AD307</f>
        <v>0</v>
      </c>
      <c r="H31" s="1129">
        <v>0</v>
      </c>
      <c r="I31" s="1129">
        <f>'4-6 Diesel'!AD97</f>
        <v>0</v>
      </c>
      <c r="J31" s="1129">
        <f>'4-6 Diesel'!AD149</f>
        <v>0</v>
      </c>
      <c r="K31" s="1129">
        <f>'4-6 Diesel'!AD201</f>
        <v>0</v>
      </c>
      <c r="L31" s="1129">
        <f>'4-6 Diesel'!AD254</f>
        <v>0</v>
      </c>
      <c r="M31" s="671">
        <f>'4-6 Diesel'!AD307</f>
        <v>0.14077178920541816</v>
      </c>
      <c r="P31" s="1118"/>
    </row>
    <row r="32" spans="1:16" ht="15" x14ac:dyDescent="0.25">
      <c r="A32" s="1159">
        <v>2029</v>
      </c>
      <c r="B32" s="1139">
        <v>0</v>
      </c>
      <c r="C32" s="1134">
        <f>'4-6 Gas'!AD98</f>
        <v>0</v>
      </c>
      <c r="D32" s="1134">
        <f>'4-6 Gas'!AD150</f>
        <v>0</v>
      </c>
      <c r="E32" s="1134">
        <f>'4-6 Gas'!AD202</f>
        <v>0</v>
      </c>
      <c r="F32" s="1134">
        <f>'4-6 Gas'!AD255</f>
        <v>0</v>
      </c>
      <c r="G32" s="1135">
        <f>'4-6 Gas'!AD308</f>
        <v>0</v>
      </c>
      <c r="H32" s="1129">
        <v>0</v>
      </c>
      <c r="I32" s="1129">
        <f>'4-6 Diesel'!AD98</f>
        <v>0</v>
      </c>
      <c r="J32" s="1129">
        <f>'4-6 Diesel'!AD150</f>
        <v>0</v>
      </c>
      <c r="K32" s="1129">
        <f>'4-6 Diesel'!AD202</f>
        <v>0</v>
      </c>
      <c r="L32" s="1129">
        <f>'4-6 Diesel'!AD255</f>
        <v>0</v>
      </c>
      <c r="M32" s="671">
        <f>'4-6 Diesel'!AD308</f>
        <v>0.14105741451579293</v>
      </c>
      <c r="P32" s="1118"/>
    </row>
    <row r="33" spans="1:16" ht="15" x14ac:dyDescent="0.25">
      <c r="A33" s="1160">
        <v>2030</v>
      </c>
      <c r="B33" s="1139">
        <v>0</v>
      </c>
      <c r="C33" s="1137">
        <f>'4-6 Gas'!AD99</f>
        <v>0</v>
      </c>
      <c r="D33" s="1137">
        <f>'4-6 Gas'!AD151</f>
        <v>0</v>
      </c>
      <c r="E33" s="1137">
        <f>'4-6 Gas'!AD203</f>
        <v>0</v>
      </c>
      <c r="F33" s="1137">
        <f>'4-6 Gas'!AD256</f>
        <v>0</v>
      </c>
      <c r="G33" s="1138">
        <f>'4-6 Gas'!AD309</f>
        <v>0</v>
      </c>
      <c r="H33" s="1130">
        <v>0</v>
      </c>
      <c r="I33" s="1130">
        <f>'4-6 Diesel'!AD99</f>
        <v>0</v>
      </c>
      <c r="J33" s="1130">
        <f>'4-6 Diesel'!AD151</f>
        <v>0</v>
      </c>
      <c r="K33" s="1130">
        <f>'4-6 Diesel'!AD203</f>
        <v>0</v>
      </c>
      <c r="L33" s="1130">
        <f>'4-6 Diesel'!AD256</f>
        <v>0</v>
      </c>
      <c r="M33" s="672">
        <f>'4-6 Diesel'!AD309</f>
        <v>0.14263278347083569</v>
      </c>
      <c r="P33" s="1118"/>
    </row>
    <row r="34" spans="1:16" ht="15" x14ac:dyDescent="0.25">
      <c r="A34" s="1159">
        <v>2031</v>
      </c>
      <c r="B34" s="1139">
        <v>0</v>
      </c>
      <c r="C34" s="1140">
        <f>'4-6 Gas'!AD100</f>
        <v>0</v>
      </c>
      <c r="D34" s="1140">
        <f>'4-6 Gas'!AD152</f>
        <v>0</v>
      </c>
      <c r="E34" s="1140">
        <f>'4-6 Gas'!AD204</f>
        <v>0</v>
      </c>
      <c r="F34" s="1140">
        <f>'4-6 Gas'!AD257</f>
        <v>0</v>
      </c>
      <c r="G34" s="1141">
        <f>'4-6 Gas'!AD310</f>
        <v>0</v>
      </c>
      <c r="H34" s="1131">
        <v>0</v>
      </c>
      <c r="I34" s="1131">
        <f>'4-6 Diesel'!AD100</f>
        <v>0</v>
      </c>
      <c r="J34" s="1131">
        <f>'4-6 Diesel'!AD152</f>
        <v>0</v>
      </c>
      <c r="K34" s="1131">
        <f>'4-6 Diesel'!AD204</f>
        <v>0</v>
      </c>
      <c r="L34" s="1131">
        <f>'4-6 Diesel'!AD257</f>
        <v>0</v>
      </c>
      <c r="M34" s="673">
        <f>'4-6 Diesel'!AD310</f>
        <v>0.14544829358465852</v>
      </c>
    </row>
    <row r="35" spans="1:16" ht="15" x14ac:dyDescent="0.25">
      <c r="A35" s="1159">
        <v>2032</v>
      </c>
      <c r="B35" s="1139">
        <v>0</v>
      </c>
      <c r="C35" s="1134">
        <f>'4-6 Gas'!AD101</f>
        <v>0</v>
      </c>
      <c r="D35" s="1134">
        <f>'4-6 Gas'!AD153</f>
        <v>0</v>
      </c>
      <c r="E35" s="1134">
        <f>'4-6 Gas'!AD205</f>
        <v>0</v>
      </c>
      <c r="F35" s="1134">
        <f>'4-6 Gas'!AD258</f>
        <v>0</v>
      </c>
      <c r="G35" s="1135">
        <f>'4-6 Gas'!AD311</f>
        <v>0</v>
      </c>
      <c r="H35" s="1129">
        <v>0</v>
      </c>
      <c r="I35" s="1129">
        <f>'4-6 Diesel'!AD101</f>
        <v>0</v>
      </c>
      <c r="J35" s="1129">
        <f>'4-6 Diesel'!AD153</f>
        <v>0</v>
      </c>
      <c r="K35" s="1129">
        <f>'4-6 Diesel'!AD205</f>
        <v>0</v>
      </c>
      <c r="L35" s="1129">
        <f>'4-6 Diesel'!AD258</f>
        <v>0</v>
      </c>
      <c r="M35" s="671">
        <f>'4-6 Diesel'!AD311</f>
        <v>0.15078905775300042</v>
      </c>
    </row>
    <row r="36" spans="1:16" ht="15" x14ac:dyDescent="0.25">
      <c r="A36" s="1159">
        <v>2033</v>
      </c>
      <c r="B36" s="1139">
        <v>0</v>
      </c>
      <c r="C36" s="1134">
        <f>'4-6 Gas'!AD102</f>
        <v>0</v>
      </c>
      <c r="D36" s="1134">
        <f>'4-6 Gas'!AD154</f>
        <v>0</v>
      </c>
      <c r="E36" s="1134">
        <f>'4-6 Gas'!AD206</f>
        <v>0</v>
      </c>
      <c r="F36" s="1134">
        <f>'4-6 Gas'!AD259</f>
        <v>0</v>
      </c>
      <c r="G36" s="1135">
        <f>'4-6 Gas'!AD312</f>
        <v>0</v>
      </c>
      <c r="H36" s="1129">
        <v>0</v>
      </c>
      <c r="I36" s="1129">
        <f>'4-6 Diesel'!AD102</f>
        <v>0</v>
      </c>
      <c r="J36" s="1129">
        <f>'4-6 Diesel'!AD154</f>
        <v>0</v>
      </c>
      <c r="K36" s="1129">
        <f>'4-6 Diesel'!AD206</f>
        <v>0</v>
      </c>
      <c r="L36" s="1129">
        <f>'4-6 Diesel'!AD259</f>
        <v>0</v>
      </c>
      <c r="M36" s="671">
        <f>'4-6 Diesel'!AD312</f>
        <v>0.15792779254522624</v>
      </c>
    </row>
    <row r="37" spans="1:16" ht="15" x14ac:dyDescent="0.25">
      <c r="A37" s="1159">
        <v>2034</v>
      </c>
      <c r="B37" s="1139">
        <v>0</v>
      </c>
      <c r="C37" s="1134">
        <f>'4-6 Gas'!AD103</f>
        <v>0</v>
      </c>
      <c r="D37" s="1134">
        <f>'4-6 Gas'!AD155</f>
        <v>0</v>
      </c>
      <c r="E37" s="1134">
        <f>'4-6 Gas'!AD207</f>
        <v>0</v>
      </c>
      <c r="F37" s="1134">
        <f>'4-6 Gas'!AD260</f>
        <v>0</v>
      </c>
      <c r="G37" s="1135">
        <f>'4-6 Gas'!AD313</f>
        <v>0</v>
      </c>
      <c r="H37" s="1129">
        <v>0</v>
      </c>
      <c r="I37" s="1129">
        <f>'4-6 Diesel'!AD103</f>
        <v>0</v>
      </c>
      <c r="J37" s="1129">
        <f>'4-6 Diesel'!AD155</f>
        <v>0</v>
      </c>
      <c r="K37" s="1129">
        <f>'4-6 Diesel'!AD207</f>
        <v>0</v>
      </c>
      <c r="L37" s="1129">
        <f>'4-6 Diesel'!AD260</f>
        <v>0</v>
      </c>
      <c r="M37" s="671">
        <f>'4-6 Diesel'!AD313</f>
        <v>0.16344270091715724</v>
      </c>
    </row>
    <row r="38" spans="1:16" ht="15" x14ac:dyDescent="0.25">
      <c r="A38" s="1160">
        <v>2035</v>
      </c>
      <c r="B38" s="1139">
        <v>0</v>
      </c>
      <c r="C38" s="1137">
        <f>'4-6 Gas'!AD104</f>
        <v>0</v>
      </c>
      <c r="D38" s="1137">
        <f>'4-6 Gas'!AD156</f>
        <v>0</v>
      </c>
      <c r="E38" s="1137">
        <f>'4-6 Gas'!AD208</f>
        <v>0</v>
      </c>
      <c r="F38" s="1137">
        <f>'4-6 Gas'!AD261</f>
        <v>0</v>
      </c>
      <c r="G38" s="1138">
        <f>'4-6 Gas'!AD314</f>
        <v>0</v>
      </c>
      <c r="H38" s="1130">
        <v>0</v>
      </c>
      <c r="I38" s="1130">
        <f>'4-6 Diesel'!AD104</f>
        <v>0</v>
      </c>
      <c r="J38" s="1130">
        <f>'4-6 Diesel'!AD156</f>
        <v>0</v>
      </c>
      <c r="K38" s="1130">
        <f>'4-6 Diesel'!AD208</f>
        <v>0</v>
      </c>
      <c r="L38" s="1130">
        <f>'4-6 Diesel'!AD261</f>
        <v>0</v>
      </c>
      <c r="M38" s="672">
        <f>'4-6 Diesel'!AD314</f>
        <v>0.17367530982568422</v>
      </c>
    </row>
    <row r="39" spans="1:16" ht="15" x14ac:dyDescent="0.25">
      <c r="A39" s="1159">
        <v>2036</v>
      </c>
      <c r="B39" s="1139">
        <v>0</v>
      </c>
      <c r="C39" s="1140">
        <f>'4-6 Gas'!AD105</f>
        <v>0</v>
      </c>
      <c r="D39" s="1140">
        <f>'4-6 Gas'!AD157</f>
        <v>0</v>
      </c>
      <c r="E39" s="1140">
        <f>'4-6 Gas'!AD209</f>
        <v>0</v>
      </c>
      <c r="F39" s="1140">
        <f>'4-6 Gas'!AD262</f>
        <v>0</v>
      </c>
      <c r="G39" s="1141">
        <f>'4-6 Gas'!AD315</f>
        <v>0</v>
      </c>
      <c r="H39" s="1131">
        <v>0</v>
      </c>
      <c r="I39" s="1131">
        <f>'4-6 Diesel'!AD105</f>
        <v>0</v>
      </c>
      <c r="J39" s="1131">
        <f>'4-6 Diesel'!AD157</f>
        <v>0</v>
      </c>
      <c r="K39" s="1131">
        <f>'4-6 Diesel'!AD209</f>
        <v>0</v>
      </c>
      <c r="L39" s="1131">
        <f>'4-6 Diesel'!AD262</f>
        <v>0</v>
      </c>
      <c r="M39" s="673">
        <f>'4-6 Diesel'!AD315</f>
        <v>0.19213445812719815</v>
      </c>
    </row>
    <row r="40" spans="1:16" ht="15" x14ac:dyDescent="0.25">
      <c r="A40" s="1159">
        <v>2037</v>
      </c>
      <c r="B40" s="1139">
        <v>0</v>
      </c>
      <c r="C40" s="1134">
        <f>'4-6 Gas'!AD106</f>
        <v>0</v>
      </c>
      <c r="D40" s="1134">
        <f>'4-6 Gas'!AD158</f>
        <v>0</v>
      </c>
      <c r="E40" s="1134">
        <f>'4-6 Gas'!AD210</f>
        <v>0</v>
      </c>
      <c r="F40" s="1134">
        <f>'4-6 Gas'!AD263</f>
        <v>0</v>
      </c>
      <c r="G40" s="1135">
        <f>'4-6 Gas'!AD316</f>
        <v>0</v>
      </c>
      <c r="H40" s="1129">
        <v>0</v>
      </c>
      <c r="I40" s="1129">
        <f>'4-6 Diesel'!AD106</f>
        <v>0</v>
      </c>
      <c r="J40" s="1129">
        <f>'4-6 Diesel'!AD158</f>
        <v>0</v>
      </c>
      <c r="K40" s="1129">
        <f>'4-6 Diesel'!AD210</f>
        <v>0</v>
      </c>
      <c r="L40" s="1129">
        <f>'4-6 Diesel'!AD263</f>
        <v>0</v>
      </c>
      <c r="M40" s="671">
        <f>'4-6 Diesel'!AD316</f>
        <v>0.20139893486753863</v>
      </c>
    </row>
    <row r="41" spans="1:16" ht="15" x14ac:dyDescent="0.25">
      <c r="A41" s="1159">
        <v>2038</v>
      </c>
      <c r="B41" s="1139">
        <v>0</v>
      </c>
      <c r="C41" s="1134">
        <f>'4-6 Gas'!AD107</f>
        <v>0</v>
      </c>
      <c r="D41" s="1134">
        <f>'4-6 Gas'!AD159</f>
        <v>0</v>
      </c>
      <c r="E41" s="1134">
        <f>'4-6 Gas'!AD211</f>
        <v>0</v>
      </c>
      <c r="F41" s="1134">
        <f>'4-6 Gas'!AD264</f>
        <v>0</v>
      </c>
      <c r="G41" s="1135">
        <f>'4-6 Gas'!AD317</f>
        <v>0</v>
      </c>
      <c r="H41" s="1129">
        <v>0</v>
      </c>
      <c r="I41" s="1129">
        <f>'4-6 Diesel'!AD107</f>
        <v>0</v>
      </c>
      <c r="J41" s="1129">
        <f>'4-6 Diesel'!AD159</f>
        <v>0</v>
      </c>
      <c r="K41" s="1129">
        <f>'4-6 Diesel'!AD211</f>
        <v>0</v>
      </c>
      <c r="L41" s="1129">
        <f>'4-6 Diesel'!AD264</f>
        <v>0</v>
      </c>
      <c r="M41" s="671">
        <f>'4-6 Diesel'!AD317</f>
        <v>0.21466219113131318</v>
      </c>
    </row>
    <row r="42" spans="1:16" ht="15" x14ac:dyDescent="0.25">
      <c r="A42" s="1159">
        <v>2039</v>
      </c>
      <c r="B42" s="1139">
        <v>0</v>
      </c>
      <c r="C42" s="1134">
        <f>'4-6 Gas'!AD108</f>
        <v>0</v>
      </c>
      <c r="D42" s="1134">
        <f>'4-6 Gas'!AD160</f>
        <v>0</v>
      </c>
      <c r="E42" s="1134">
        <f>'4-6 Gas'!AD212</f>
        <v>0</v>
      </c>
      <c r="F42" s="1134">
        <f>'4-6 Gas'!AD265</f>
        <v>0</v>
      </c>
      <c r="G42" s="1135">
        <f>'4-6 Gas'!AD318</f>
        <v>0</v>
      </c>
      <c r="H42" s="1129">
        <v>0</v>
      </c>
      <c r="I42" s="1129">
        <f>'4-6 Diesel'!AD108</f>
        <v>0</v>
      </c>
      <c r="J42" s="1129">
        <f>'4-6 Diesel'!AD160</f>
        <v>0</v>
      </c>
      <c r="K42" s="1129">
        <f>'4-6 Diesel'!AD212</f>
        <v>0</v>
      </c>
      <c r="L42" s="1129">
        <f>'4-6 Diesel'!AD265</f>
        <v>0</v>
      </c>
      <c r="M42" s="671">
        <f>'4-6 Diesel'!AD318</f>
        <v>0.23099844455205265</v>
      </c>
    </row>
    <row r="43" spans="1:16" ht="15" x14ac:dyDescent="0.25">
      <c r="A43" s="1160">
        <v>2040</v>
      </c>
      <c r="B43" s="1139">
        <v>0</v>
      </c>
      <c r="C43" s="1137">
        <f>'4-6 Gas'!AD109</f>
        <v>0</v>
      </c>
      <c r="D43" s="1137">
        <f>'4-6 Gas'!AD161</f>
        <v>0</v>
      </c>
      <c r="E43" s="1137">
        <f>'4-6 Gas'!AD213</f>
        <v>0</v>
      </c>
      <c r="F43" s="1137">
        <f>'4-6 Gas'!AD266</f>
        <v>0</v>
      </c>
      <c r="G43" s="1138">
        <f>'4-6 Gas'!AD319</f>
        <v>0</v>
      </c>
      <c r="H43" s="1145">
        <v>0</v>
      </c>
      <c r="I43" s="1145">
        <f>'4-6 Diesel'!AD109</f>
        <v>0</v>
      </c>
      <c r="J43" s="1145">
        <f>'4-6 Diesel'!AD161</f>
        <v>0</v>
      </c>
      <c r="K43" s="1145">
        <f>'4-6 Diesel'!AD213</f>
        <v>0</v>
      </c>
      <c r="L43" s="1145">
        <f>'4-6 Diesel'!AD266</f>
        <v>0</v>
      </c>
      <c r="M43" s="1162">
        <f>'4-6 Diesel'!AD319</f>
        <v>0.25191756092166501</v>
      </c>
    </row>
    <row r="44" spans="1:16" ht="15" x14ac:dyDescent="0.25">
      <c r="A44" s="1159">
        <v>2041</v>
      </c>
      <c r="B44" s="1139">
        <v>0</v>
      </c>
      <c r="C44" s="1140">
        <f>'4-6 Gas'!AD110</f>
        <v>0</v>
      </c>
      <c r="D44" s="1140">
        <f>'4-6 Gas'!AD162</f>
        <v>0</v>
      </c>
      <c r="E44" s="1140">
        <f>'4-6 Gas'!AD214</f>
        <v>0</v>
      </c>
      <c r="F44" s="1140">
        <f>'4-6 Gas'!AD267</f>
        <v>0</v>
      </c>
      <c r="G44" s="1141">
        <f>'4-6 Gas'!AD320</f>
        <v>0</v>
      </c>
      <c r="H44" s="1131">
        <v>0</v>
      </c>
      <c r="I44" s="1131">
        <f>'4-6 Diesel'!AD110</f>
        <v>0</v>
      </c>
      <c r="J44" s="1131">
        <f>'4-6 Diesel'!AD162</f>
        <v>0</v>
      </c>
      <c r="K44" s="1131">
        <f>'4-6 Diesel'!AD214</f>
        <v>0</v>
      </c>
      <c r="L44" s="1131">
        <f>'4-6 Diesel'!AD267</f>
        <v>0</v>
      </c>
      <c r="M44" s="673">
        <f>'4-6 Diesel'!AD320</f>
        <v>0.28134850262890876</v>
      </c>
    </row>
    <row r="45" spans="1:16" ht="15" x14ac:dyDescent="0.25">
      <c r="A45" s="1159">
        <v>2042</v>
      </c>
      <c r="B45" s="1139">
        <v>0</v>
      </c>
      <c r="C45" s="1134">
        <f>'4-6 Gas'!AD111</f>
        <v>0</v>
      </c>
      <c r="D45" s="1134">
        <f>'4-6 Gas'!AD163</f>
        <v>0</v>
      </c>
      <c r="E45" s="1134">
        <f>'4-6 Gas'!AD215</f>
        <v>0</v>
      </c>
      <c r="F45" s="1134">
        <f>'4-6 Gas'!AD268</f>
        <v>0</v>
      </c>
      <c r="G45" s="1135">
        <f>'4-6 Gas'!AD321</f>
        <v>0</v>
      </c>
      <c r="H45" s="1129">
        <v>0</v>
      </c>
      <c r="I45" s="1129">
        <f>'4-6 Diesel'!AD111</f>
        <v>0</v>
      </c>
      <c r="J45" s="1129">
        <f>'4-6 Diesel'!AD163</f>
        <v>0</v>
      </c>
      <c r="K45" s="1129">
        <f>'4-6 Diesel'!AD215</f>
        <v>0</v>
      </c>
      <c r="L45" s="1129">
        <f>'4-6 Diesel'!AD268</f>
        <v>0</v>
      </c>
      <c r="M45" s="671">
        <f>'4-6 Diesel'!AD321</f>
        <v>0.31912093425763394</v>
      </c>
    </row>
    <row r="46" spans="1:16" ht="15" x14ac:dyDescent="0.25">
      <c r="A46" s="1159">
        <v>2043</v>
      </c>
      <c r="B46" s="1139">
        <v>0</v>
      </c>
      <c r="C46" s="1134">
        <f>'4-6 Gas'!AD112</f>
        <v>0</v>
      </c>
      <c r="D46" s="1134">
        <f>'4-6 Gas'!AD164</f>
        <v>0</v>
      </c>
      <c r="E46" s="1134">
        <f>'4-6 Gas'!AD216</f>
        <v>0</v>
      </c>
      <c r="F46" s="1134">
        <f>'4-6 Gas'!AD269</f>
        <v>0</v>
      </c>
      <c r="G46" s="1135">
        <f>'4-6 Gas'!AD322</f>
        <v>0</v>
      </c>
      <c r="H46" s="1129">
        <v>0</v>
      </c>
      <c r="I46" s="1129">
        <f>'4-6 Diesel'!AD112</f>
        <v>0</v>
      </c>
      <c r="J46" s="1129">
        <f>'4-6 Diesel'!AD164</f>
        <v>0</v>
      </c>
      <c r="K46" s="1129">
        <f>'4-6 Diesel'!AD216</f>
        <v>0</v>
      </c>
      <c r="L46" s="1129">
        <f>'4-6 Diesel'!AD269</f>
        <v>0</v>
      </c>
      <c r="M46" s="671">
        <f>'4-6 Diesel'!AD322</f>
        <v>0.36577562568584565</v>
      </c>
    </row>
    <row r="47" spans="1:16" ht="15" x14ac:dyDescent="0.25">
      <c r="A47" s="1159">
        <v>2044</v>
      </c>
      <c r="B47" s="1139">
        <v>0</v>
      </c>
      <c r="C47" s="1134">
        <f>'4-6 Gas'!AD113</f>
        <v>0</v>
      </c>
      <c r="D47" s="1134">
        <f>'4-6 Gas'!AD165</f>
        <v>0</v>
      </c>
      <c r="E47" s="1134">
        <f>'4-6 Gas'!AD217</f>
        <v>0</v>
      </c>
      <c r="F47" s="1134">
        <f>'4-6 Gas'!AD270</f>
        <v>0</v>
      </c>
      <c r="G47" s="1135">
        <f>'4-6 Gas'!AD323</f>
        <v>0</v>
      </c>
      <c r="H47" s="1129">
        <v>0</v>
      </c>
      <c r="I47" s="1129">
        <f>'4-6 Diesel'!AD113</f>
        <v>0</v>
      </c>
      <c r="J47" s="1129">
        <f>'4-6 Diesel'!AD165</f>
        <v>0</v>
      </c>
      <c r="K47" s="1129">
        <f>'4-6 Diesel'!AD217</f>
        <v>0</v>
      </c>
      <c r="L47" s="1129">
        <f>'4-6 Diesel'!AD270</f>
        <v>0</v>
      </c>
      <c r="M47" s="671">
        <f>'4-6 Diesel'!AD323</f>
        <v>0.43704277252804413</v>
      </c>
    </row>
    <row r="48" spans="1:16" ht="15" x14ac:dyDescent="0.25">
      <c r="A48" s="1160">
        <v>2045</v>
      </c>
      <c r="B48" s="1139">
        <v>0</v>
      </c>
      <c r="C48" s="1137">
        <f>'4-6 Gas'!AD114</f>
        <v>0</v>
      </c>
      <c r="D48" s="1137">
        <f>'4-6 Gas'!AD166</f>
        <v>0</v>
      </c>
      <c r="E48" s="1137">
        <f>'4-6 Gas'!AD218</f>
        <v>0</v>
      </c>
      <c r="F48" s="1137">
        <f>'4-6 Gas'!AD271</f>
        <v>0</v>
      </c>
      <c r="G48" s="1138">
        <f>'4-6 Gas'!AD324</f>
        <v>0</v>
      </c>
      <c r="H48" s="1130">
        <v>0</v>
      </c>
      <c r="I48" s="1130">
        <f>'4-6 Diesel'!AD114</f>
        <v>0</v>
      </c>
      <c r="J48" s="1130">
        <f>'4-6 Diesel'!AD166</f>
        <v>0</v>
      </c>
      <c r="K48" s="1130">
        <f>'4-6 Diesel'!AD218</f>
        <v>0</v>
      </c>
      <c r="L48" s="1130">
        <f>'4-6 Diesel'!AD271</f>
        <v>0</v>
      </c>
      <c r="M48" s="672">
        <f>'4-6 Diesel'!AD324</f>
        <v>0.50340247302954844</v>
      </c>
    </row>
    <row r="49" spans="1:13" ht="15" x14ac:dyDescent="0.25">
      <c r="A49" s="1159">
        <v>2046</v>
      </c>
      <c r="B49" s="1139">
        <v>0</v>
      </c>
      <c r="C49" s="1140">
        <f>'4-6 Gas'!AD115</f>
        <v>0</v>
      </c>
      <c r="D49" s="1140">
        <f>'4-6 Gas'!AD167</f>
        <v>0</v>
      </c>
      <c r="E49" s="1140">
        <f>'4-6 Gas'!AD219</f>
        <v>0</v>
      </c>
      <c r="F49" s="1140">
        <f>'4-6 Gas'!AD272</f>
        <v>0</v>
      </c>
      <c r="G49" s="1141">
        <f>'4-6 Gas'!AD325</f>
        <v>0</v>
      </c>
      <c r="H49" s="1131">
        <v>0</v>
      </c>
      <c r="I49" s="1131">
        <f>'4-6 Diesel'!AD115</f>
        <v>0</v>
      </c>
      <c r="J49" s="1131">
        <f>'4-6 Diesel'!AD167</f>
        <v>0</v>
      </c>
      <c r="K49" s="1131">
        <f>'4-6 Diesel'!AD219</f>
        <v>0</v>
      </c>
      <c r="L49" s="1131">
        <f>'4-6 Diesel'!AD272</f>
        <v>0</v>
      </c>
      <c r="M49" s="673">
        <f>'4-6 Diesel'!AD325</f>
        <v>0.55188539472777243</v>
      </c>
    </row>
    <row r="50" spans="1:13" ht="15" x14ac:dyDescent="0.25">
      <c r="A50" s="1159">
        <v>2047</v>
      </c>
      <c r="B50" s="1139">
        <v>0</v>
      </c>
      <c r="C50" s="1134">
        <f>'4-6 Gas'!AD116</f>
        <v>0</v>
      </c>
      <c r="D50" s="1134">
        <f>'4-6 Gas'!AD168</f>
        <v>0</v>
      </c>
      <c r="E50" s="1134">
        <f>'4-6 Gas'!AD220</f>
        <v>0</v>
      </c>
      <c r="F50" s="1134">
        <f>'4-6 Gas'!AD273</f>
        <v>0</v>
      </c>
      <c r="G50" s="1135">
        <f>'4-6 Gas'!AD326</f>
        <v>0</v>
      </c>
      <c r="H50" s="1129">
        <v>0</v>
      </c>
      <c r="I50" s="1129">
        <f>'4-6 Diesel'!AD116</f>
        <v>0</v>
      </c>
      <c r="J50" s="1129">
        <f>'4-6 Diesel'!AD168</f>
        <v>0</v>
      </c>
      <c r="K50" s="1129">
        <f>'4-6 Diesel'!AD220</f>
        <v>0</v>
      </c>
      <c r="L50" s="1129">
        <f>'4-6 Diesel'!AD273</f>
        <v>0</v>
      </c>
      <c r="M50" s="671">
        <f>'4-6 Diesel'!AD326</f>
        <v>0.57668480368396591</v>
      </c>
    </row>
    <row r="51" spans="1:13" ht="15" x14ac:dyDescent="0.25">
      <c r="A51" s="1159">
        <v>2048</v>
      </c>
      <c r="B51" s="1139">
        <v>0</v>
      </c>
      <c r="C51" s="1134">
        <f>'4-6 Gas'!AD117</f>
        <v>0</v>
      </c>
      <c r="D51" s="1134">
        <f>'4-6 Gas'!AD169</f>
        <v>0</v>
      </c>
      <c r="E51" s="1134">
        <f>'4-6 Gas'!AD221</f>
        <v>0</v>
      </c>
      <c r="F51" s="1134">
        <f>'4-6 Gas'!AD274</f>
        <v>0</v>
      </c>
      <c r="G51" s="1135">
        <f>'4-6 Gas'!AD327</f>
        <v>0</v>
      </c>
      <c r="H51" s="1129">
        <v>0</v>
      </c>
      <c r="I51" s="1129">
        <f>'4-6 Diesel'!AD117</f>
        <v>0</v>
      </c>
      <c r="J51" s="1129">
        <f>'4-6 Diesel'!AD169</f>
        <v>0</v>
      </c>
      <c r="K51" s="1129">
        <f>'4-6 Diesel'!AD221</f>
        <v>0</v>
      </c>
      <c r="L51" s="1129">
        <f>'4-6 Diesel'!AD274</f>
        <v>0</v>
      </c>
      <c r="M51" s="671">
        <f>'4-6 Diesel'!AD327</f>
        <v>0.59386304472348139</v>
      </c>
    </row>
    <row r="52" spans="1:13" ht="15" x14ac:dyDescent="0.25">
      <c r="A52" s="1159">
        <v>2049</v>
      </c>
      <c r="B52" s="1139">
        <v>0</v>
      </c>
      <c r="C52" s="1134">
        <f>'4-6 Gas'!AD118</f>
        <v>0</v>
      </c>
      <c r="D52" s="1134">
        <f>'4-6 Gas'!AD170</f>
        <v>0</v>
      </c>
      <c r="E52" s="1134">
        <f>'4-6 Gas'!AD222</f>
        <v>0</v>
      </c>
      <c r="F52" s="1134">
        <f>'4-6 Gas'!AD275</f>
        <v>0</v>
      </c>
      <c r="G52" s="1135">
        <f>'4-6 Gas'!AD328</f>
        <v>0</v>
      </c>
      <c r="H52" s="1129">
        <v>0</v>
      </c>
      <c r="I52" s="1129">
        <f>'4-6 Diesel'!AD118</f>
        <v>0</v>
      </c>
      <c r="J52" s="1129">
        <f>'4-6 Diesel'!AD170</f>
        <v>0</v>
      </c>
      <c r="K52" s="1129">
        <f>'4-6 Diesel'!AD222</f>
        <v>0</v>
      </c>
      <c r="L52" s="1129">
        <f>'4-6 Diesel'!AD275</f>
        <v>0</v>
      </c>
      <c r="M52" s="671">
        <f>'4-6 Diesel'!AD328</f>
        <v>0.6097570323833148</v>
      </c>
    </row>
    <row r="53" spans="1:13" ht="15.75" thickBot="1" x14ac:dyDescent="0.3">
      <c r="A53" s="1125">
        <v>2050</v>
      </c>
      <c r="B53" s="1166">
        <v>0</v>
      </c>
      <c r="C53" s="1143">
        <f>'4-6 Gas'!AD119</f>
        <v>0</v>
      </c>
      <c r="D53" s="1143">
        <f>'4-6 Gas'!AD171</f>
        <v>0</v>
      </c>
      <c r="E53" s="1143">
        <f>'4-6 Gas'!AD223</f>
        <v>0</v>
      </c>
      <c r="F53" s="1143">
        <f>'4-6 Gas'!AD276</f>
        <v>0</v>
      </c>
      <c r="G53" s="1144">
        <f>'4-6 Gas'!AD329</f>
        <v>0</v>
      </c>
      <c r="H53" s="1132">
        <v>0</v>
      </c>
      <c r="I53" s="1132">
        <f>'4-6 Diesel'!AD119</f>
        <v>0</v>
      </c>
      <c r="J53" s="1132">
        <f>'4-6 Diesel'!AD171</f>
        <v>0</v>
      </c>
      <c r="K53" s="1132">
        <f>'4-6 Diesel'!AD223</f>
        <v>0</v>
      </c>
      <c r="L53" s="1132">
        <f>'4-6 Diesel'!AD276</f>
        <v>0</v>
      </c>
      <c r="M53" s="674">
        <f>'4-6 Diesel'!AD329</f>
        <v>0.62522425263064274</v>
      </c>
    </row>
    <row r="54" spans="1:13" x14ac:dyDescent="0.2">
      <c r="A54" s="1120"/>
      <c r="B54" s="1120"/>
    </row>
    <row r="55" spans="1:13" x14ac:dyDescent="0.2">
      <c r="A55" s="1127" t="str">
        <f>"Run id: '"&amp;'Run Model'!B3&amp;"'"</f>
        <v>Run id: 'BaSce FY2020 4-6 Diesel Final Run'</v>
      </c>
      <c r="B55" s="1120"/>
    </row>
    <row r="56" spans="1:13" x14ac:dyDescent="0.2">
      <c r="A56" s="1127" t="s">
        <v>130</v>
      </c>
      <c r="B56" s="1120"/>
    </row>
    <row r="57" spans="1:13" x14ac:dyDescent="0.2">
      <c r="A57" s="1128" t="str">
        <f>"Gasoline, Centrally Refueled: " &amp;TEXT(RtimeCls1Cent1,"mm/dd/yyyy hh:mm")</f>
        <v>Gasoline, Centrally Refueled: 11/04/2020 14:43</v>
      </c>
    </row>
    <row r="58" spans="1:13" x14ac:dyDescent="0.2">
      <c r="A58" s="1128" t="str">
        <f>"Gasoline, Non-Centrally Refueled: " &amp;TEXT(RtimeCls1NCent1,"mm/dd/yyyy hh:mm")</f>
        <v>Gasoline, Non-Centrally Refueled: 11/04/2020 14:43</v>
      </c>
    </row>
    <row r="59" spans="1:13" x14ac:dyDescent="0.2">
      <c r="A59" s="1128" t="str">
        <f>"Diesel, Centrally Refueled: " &amp;TEXT(RtimeCls2Cent1,"mm/dd/yyyy hh:mm")</f>
        <v>Diesel, Centrally Refueled: 11/04/2020 14:43</v>
      </c>
    </row>
    <row r="60" spans="1:13" x14ac:dyDescent="0.2">
      <c r="A60" s="1128" t="str">
        <f>"Diesel, Non-Centrally Refueled: " &amp;TEXT(RtimeCls2NCent1,"mm/dd/yyyy hh:mm")</f>
        <v>Diesel, Non-Centrally Refueled: 11/04/2020 14:43</v>
      </c>
    </row>
  </sheetData>
  <mergeCells count="5">
    <mergeCell ref="B5:G5"/>
    <mergeCell ref="H5:M5"/>
    <mergeCell ref="A3:M3"/>
    <mergeCell ref="B4:G4"/>
    <mergeCell ref="H4:M4"/>
  </mergeCells>
  <conditionalFormatting sqref="B6:M53">
    <cfRule type="expression" dxfId="4" priority="1">
      <formula>B$7="not used"</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PG">
    <tabColor rgb="FF008000"/>
  </sheetPr>
  <dimension ref="A1:AD52"/>
  <sheetViews>
    <sheetView showZeros="0" topLeftCell="O16" zoomScale="85" zoomScaleNormal="85" workbookViewId="0">
      <selection activeCell="AC52" sqref="AC52"/>
    </sheetView>
  </sheetViews>
  <sheetFormatPr defaultRowHeight="12.75" x14ac:dyDescent="0.2"/>
  <cols>
    <col min="2" max="13" width="10.5703125" customWidth="1"/>
    <col min="16" max="16" width="12.28515625" customWidth="1"/>
    <col min="17" max="19" width="11.5703125" bestFit="1" customWidth="1"/>
    <col min="20" max="20" width="10" customWidth="1"/>
    <col min="21" max="21" width="9.85546875" customWidth="1"/>
    <col min="22" max="22" width="12.7109375" customWidth="1"/>
    <col min="23" max="24" width="10.42578125" bestFit="1" customWidth="1"/>
    <col min="25" max="25" width="11.5703125" bestFit="1" customWidth="1"/>
    <col min="26" max="26" width="9.85546875" customWidth="1"/>
    <col min="27" max="27" width="10.140625" customWidth="1"/>
  </cols>
  <sheetData>
    <row r="1" spans="1:30" ht="15.75" x14ac:dyDescent="0.25">
      <c r="A1" s="1179" t="s">
        <v>319</v>
      </c>
      <c r="B1" s="1180"/>
      <c r="C1" s="1180"/>
      <c r="D1" s="1180"/>
      <c r="E1" s="1180"/>
      <c r="F1" s="1180"/>
      <c r="G1" s="1180"/>
      <c r="H1" s="1180"/>
      <c r="I1" s="1180"/>
      <c r="J1" s="1180"/>
      <c r="K1" s="1180"/>
      <c r="L1" s="1180"/>
      <c r="M1" s="1180"/>
      <c r="O1" s="1180"/>
      <c r="P1" s="1180"/>
      <c r="Q1" s="1180"/>
      <c r="R1" s="1180"/>
      <c r="S1" s="1180"/>
      <c r="T1" s="1180"/>
      <c r="U1" s="1180"/>
      <c r="V1" s="1180"/>
      <c r="W1" s="1180"/>
      <c r="X1" s="1180"/>
      <c r="Y1" s="1180"/>
      <c r="Z1" s="1180"/>
      <c r="AA1" s="1180"/>
    </row>
    <row r="2" spans="1:30" ht="15" x14ac:dyDescent="0.25">
      <c r="A2" s="1180" t="s">
        <v>320</v>
      </c>
      <c r="B2" s="1180"/>
      <c r="C2" s="1180"/>
      <c r="D2" s="1180"/>
      <c r="E2" s="1180"/>
      <c r="F2" s="1180"/>
      <c r="G2" s="1180"/>
      <c r="H2" s="1180"/>
      <c r="I2" s="1180"/>
      <c r="J2" s="1180"/>
      <c r="K2" s="1180"/>
      <c r="L2" s="1180"/>
      <c r="M2" s="1180"/>
      <c r="O2" s="1180"/>
      <c r="P2" s="1180"/>
      <c r="Q2" s="1180"/>
      <c r="R2" s="1180"/>
      <c r="S2" s="1180"/>
      <c r="T2" s="1180"/>
      <c r="U2" s="1180"/>
      <c r="V2" s="1180"/>
      <c r="W2" s="1180"/>
      <c r="X2" s="1180"/>
      <c r="Y2" s="1180"/>
      <c r="Z2" s="1180"/>
      <c r="AA2" s="1180"/>
    </row>
    <row r="3" spans="1:30" ht="15.75" thickBot="1" x14ac:dyDescent="0.3">
      <c r="A3" s="1180"/>
      <c r="B3" s="1180"/>
      <c r="C3" s="1180"/>
      <c r="D3" s="1180"/>
      <c r="E3" s="1180"/>
      <c r="F3" s="1180"/>
      <c r="G3" s="1180"/>
      <c r="H3" s="1180"/>
      <c r="I3" s="1180"/>
      <c r="J3" s="1180"/>
      <c r="K3" s="1180"/>
      <c r="L3" s="1180"/>
      <c r="M3" s="1180"/>
      <c r="O3" s="1180"/>
      <c r="P3" s="1180"/>
      <c r="Q3" s="1180"/>
      <c r="R3" s="1180"/>
      <c r="S3" s="1180"/>
      <c r="T3" s="1180"/>
      <c r="U3" s="1180"/>
      <c r="V3" s="1180"/>
      <c r="W3" s="1180"/>
      <c r="X3" s="1180"/>
      <c r="Y3" s="1180"/>
      <c r="Z3" s="1180"/>
      <c r="AA3" s="1180"/>
    </row>
    <row r="4" spans="1:30" ht="15" x14ac:dyDescent="0.25">
      <c r="A4" s="1181"/>
      <c r="B4" s="1679" t="s">
        <v>265</v>
      </c>
      <c r="C4" s="1680"/>
      <c r="D4" s="1680"/>
      <c r="E4" s="1680"/>
      <c r="F4" s="1680"/>
      <c r="G4" s="1681"/>
      <c r="H4" s="1679" t="s">
        <v>266</v>
      </c>
      <c r="I4" s="1680"/>
      <c r="J4" s="1680"/>
      <c r="K4" s="1680"/>
      <c r="L4" s="1680"/>
      <c r="M4" s="1681"/>
      <c r="O4" s="1181"/>
      <c r="P4" s="1679" t="s">
        <v>265</v>
      </c>
      <c r="Q4" s="1680"/>
      <c r="R4" s="1680"/>
      <c r="S4" s="1680"/>
      <c r="T4" s="1680"/>
      <c r="U4" s="1681"/>
      <c r="V4" s="1679" t="s">
        <v>266</v>
      </c>
      <c r="W4" s="1680"/>
      <c r="X4" s="1680"/>
      <c r="Y4" s="1680"/>
      <c r="Z4" s="1680"/>
      <c r="AA4" s="1681"/>
    </row>
    <row r="5" spans="1:30" ht="15" x14ac:dyDescent="0.25">
      <c r="A5" s="1182"/>
      <c r="B5" s="1697" t="s">
        <v>133</v>
      </c>
      <c r="C5" s="1698"/>
      <c r="D5" s="1698"/>
      <c r="E5" s="1698"/>
      <c r="F5" s="1698"/>
      <c r="G5" s="1699"/>
      <c r="H5" s="1697" t="s">
        <v>133</v>
      </c>
      <c r="I5" s="1698"/>
      <c r="J5" s="1698"/>
      <c r="K5" s="1698"/>
      <c r="L5" s="1698"/>
      <c r="M5" s="1699"/>
      <c r="O5" s="1182"/>
      <c r="P5" s="1697" t="s">
        <v>133</v>
      </c>
      <c r="Q5" s="1698"/>
      <c r="R5" s="1698"/>
      <c r="S5" s="1698"/>
      <c r="T5" s="1698"/>
      <c r="U5" s="1699"/>
      <c r="V5" s="1697" t="s">
        <v>133</v>
      </c>
      <c r="W5" s="1698"/>
      <c r="X5" s="1698"/>
      <c r="Y5" s="1698"/>
      <c r="Z5" s="1698"/>
      <c r="AA5" s="1699"/>
    </row>
    <row r="6" spans="1:30" ht="15" x14ac:dyDescent="0.25">
      <c r="A6" s="1182"/>
      <c r="B6" s="1183" t="s">
        <v>72</v>
      </c>
      <c r="C6" s="1184" t="s">
        <v>68</v>
      </c>
      <c r="D6" s="1184" t="s">
        <v>69</v>
      </c>
      <c r="E6" s="1184" t="s">
        <v>70</v>
      </c>
      <c r="F6" s="1184" t="s">
        <v>178</v>
      </c>
      <c r="G6" s="1185" t="s">
        <v>179</v>
      </c>
      <c r="H6" s="1183" t="s">
        <v>72</v>
      </c>
      <c r="I6" s="1184" t="s">
        <v>68</v>
      </c>
      <c r="J6" s="1184" t="s">
        <v>69</v>
      </c>
      <c r="K6" s="1184" t="s">
        <v>70</v>
      </c>
      <c r="L6" s="1184" t="s">
        <v>178</v>
      </c>
      <c r="M6" s="1185" t="s">
        <v>179</v>
      </c>
      <c r="O6" s="1182"/>
      <c r="P6" s="1183" t="s">
        <v>72</v>
      </c>
      <c r="Q6" s="1184" t="s">
        <v>68</v>
      </c>
      <c r="R6" s="1184" t="s">
        <v>69</v>
      </c>
      <c r="S6" s="1184" t="s">
        <v>70</v>
      </c>
      <c r="T6" s="1184" t="s">
        <v>178</v>
      </c>
      <c r="U6" s="1185" t="s">
        <v>179</v>
      </c>
      <c r="V6" s="1183" t="s">
        <v>72</v>
      </c>
      <c r="W6" s="1184" t="s">
        <v>68</v>
      </c>
      <c r="X6" s="1184" t="s">
        <v>69</v>
      </c>
      <c r="Y6" s="1184" t="s">
        <v>70</v>
      </c>
      <c r="Z6" s="1184" t="s">
        <v>178</v>
      </c>
      <c r="AA6" s="1185" t="s">
        <v>179</v>
      </c>
    </row>
    <row r="7" spans="1:30" ht="45" x14ac:dyDescent="0.2">
      <c r="A7" s="1186"/>
      <c r="B7" s="1187" t="str">
        <f t="shared" ref="B7:G7" si="0">INDEX(TECH_OPT_DESC_Cls1,MATCH(B6,TECH_OPT_ROWS_Cls1,0))</f>
        <v>Conventional gasoline</v>
      </c>
      <c r="C7" s="1188" t="str">
        <f t="shared" si="0"/>
        <v>not used</v>
      </c>
      <c r="D7" s="1188" t="str">
        <f t="shared" si="0"/>
        <v>not used</v>
      </c>
      <c r="E7" s="1188" t="str">
        <f t="shared" si="0"/>
        <v>not used</v>
      </c>
      <c r="F7" s="1188" t="str">
        <f t="shared" si="0"/>
        <v>not used</v>
      </c>
      <c r="G7" s="1189" t="str">
        <f t="shared" si="0"/>
        <v>not used</v>
      </c>
      <c r="H7" s="1187" t="str">
        <f t="shared" ref="H7:M7" si="1">INDEX(TECH_OPT_DESC_Cls2,MATCH(H6,TECH_OPT_ROWS_Cls2,0))</f>
        <v>Conventional Diesel ICE</v>
      </c>
      <c r="I7" s="1188" t="str">
        <f t="shared" si="1"/>
        <v>Adv Conv</v>
      </c>
      <c r="J7" s="1188" t="str">
        <f t="shared" si="1"/>
        <v>HEV</v>
      </c>
      <c r="K7" s="1188" t="str">
        <f t="shared" si="1"/>
        <v>BEV</v>
      </c>
      <c r="L7" s="1188" t="str">
        <f t="shared" si="1"/>
        <v>FCEV</v>
      </c>
      <c r="M7" s="1189" t="str">
        <f t="shared" si="1"/>
        <v>PHEV</v>
      </c>
      <c r="O7" s="1186"/>
      <c r="P7" s="1187" t="str">
        <f t="shared" ref="P7:U7" si="2">INDEX(TECH_OPT_DESC_Cls1,MATCH(P6,TECH_OPT_ROWS_Cls1,0))</f>
        <v>Conventional gasoline</v>
      </c>
      <c r="Q7" s="1188" t="str">
        <f t="shared" si="2"/>
        <v>not used</v>
      </c>
      <c r="R7" s="1188" t="str">
        <f t="shared" si="2"/>
        <v>not used</v>
      </c>
      <c r="S7" s="1188" t="str">
        <f t="shared" si="2"/>
        <v>not used</v>
      </c>
      <c r="T7" s="1188" t="str">
        <f t="shared" si="2"/>
        <v>not used</v>
      </c>
      <c r="U7" s="1189" t="str">
        <f t="shared" si="2"/>
        <v>not used</v>
      </c>
      <c r="V7" s="1187" t="str">
        <f t="shared" ref="V7:AA7" si="3">INDEX(TECH_OPT_DESC_Cls2,MATCH(V6,TECH_OPT_ROWS_Cls2,0))</f>
        <v>Conventional Diesel ICE</v>
      </c>
      <c r="W7" s="1188" t="str">
        <f t="shared" si="3"/>
        <v>Adv Conv</v>
      </c>
      <c r="X7" s="1188" t="str">
        <f t="shared" si="3"/>
        <v>HEV</v>
      </c>
      <c r="Y7" s="1188" t="str">
        <f t="shared" si="3"/>
        <v>BEV</v>
      </c>
      <c r="Z7" s="1188" t="str">
        <f t="shared" si="3"/>
        <v>FCEV</v>
      </c>
      <c r="AA7" s="1189" t="str">
        <f t="shared" si="3"/>
        <v>PHEV</v>
      </c>
      <c r="AC7" s="1284" t="s">
        <v>349</v>
      </c>
    </row>
    <row r="8" spans="1:30" ht="15.75" thickBot="1" x14ac:dyDescent="0.3">
      <c r="A8" s="1190" t="s">
        <v>3</v>
      </c>
      <c r="B8" s="1191" t="str">
        <f t="shared" ref="B8:G8" si="4">INDEX(TECH_OPT_FUEL1_Cls1,MATCH(B6,TECH_OPT_ROWS_Cls1,0))</f>
        <v>Diesel</v>
      </c>
      <c r="C8" s="1192" t="str">
        <f t="shared" si="4"/>
        <v>Diesel</v>
      </c>
      <c r="D8" s="1192" t="str">
        <f t="shared" si="4"/>
        <v>Diesel</v>
      </c>
      <c r="E8" s="1192" t="str">
        <f t="shared" si="4"/>
        <v>Diesel</v>
      </c>
      <c r="F8" s="1192" t="str">
        <f t="shared" si="4"/>
        <v>Electricity</v>
      </c>
      <c r="G8" s="1193" t="str">
        <f t="shared" si="4"/>
        <v>Hydrogen</v>
      </c>
      <c r="H8" s="1194" t="str">
        <f t="shared" ref="H8:M8" si="5">INDEX(TECH_OPT_FUEL1_Cls2,MATCH(H6,TECH_OPT_ROWS_Cls2,0))</f>
        <v>Diesel</v>
      </c>
      <c r="I8" s="1192" t="str">
        <f t="shared" si="5"/>
        <v>Diesel</v>
      </c>
      <c r="J8" s="1192" t="str">
        <f t="shared" si="5"/>
        <v>Diesel</v>
      </c>
      <c r="K8" s="1192" t="str">
        <f t="shared" si="5"/>
        <v>Electricity</v>
      </c>
      <c r="L8" s="1192" t="str">
        <f t="shared" si="5"/>
        <v>Hydrogen</v>
      </c>
      <c r="M8" s="1193" t="str">
        <f t="shared" si="5"/>
        <v>Diesel</v>
      </c>
      <c r="O8" s="1190" t="s">
        <v>3</v>
      </c>
      <c r="P8" s="1191" t="str">
        <f t="shared" ref="P8:U8" si="6">INDEX(TECH_OPT_FUEL1_Cls1,MATCH(P6,TECH_OPT_ROWS_Cls1,0))</f>
        <v>Diesel</v>
      </c>
      <c r="Q8" s="1192" t="str">
        <f t="shared" si="6"/>
        <v>Diesel</v>
      </c>
      <c r="R8" s="1192" t="str">
        <f t="shared" si="6"/>
        <v>Diesel</v>
      </c>
      <c r="S8" s="1192" t="str">
        <f t="shared" si="6"/>
        <v>Diesel</v>
      </c>
      <c r="T8" s="1192" t="str">
        <f t="shared" si="6"/>
        <v>Electricity</v>
      </c>
      <c r="U8" s="1193" t="str">
        <f t="shared" si="6"/>
        <v>Hydrogen</v>
      </c>
      <c r="V8" s="1194" t="str">
        <f t="shared" ref="V8:AA8" si="7">INDEX(TECH_OPT_FUEL1_Cls2,MATCH(V6,TECH_OPT_ROWS_Cls2,0))</f>
        <v>Diesel</v>
      </c>
      <c r="W8" s="1192" t="str">
        <f t="shared" si="7"/>
        <v>Diesel</v>
      </c>
      <c r="X8" s="1192" t="str">
        <f t="shared" si="7"/>
        <v>Diesel</v>
      </c>
      <c r="Y8" s="1192" t="str">
        <f t="shared" si="7"/>
        <v>Electricity</v>
      </c>
      <c r="Z8" s="1192" t="str">
        <f t="shared" si="7"/>
        <v>Hydrogen</v>
      </c>
      <c r="AA8" s="1193" t="str">
        <f t="shared" si="7"/>
        <v>Diesel</v>
      </c>
    </row>
    <row r="9" spans="1:30" ht="15.75" thickTop="1" x14ac:dyDescent="0.25">
      <c r="A9" s="1195">
        <v>2007</v>
      </c>
      <c r="B9" s="1196">
        <f>IF('Mkt Pen Veh-Mi'!B9=0,1,1/((1-Fuel2ShrbyTech!B10)/'Inputs 4-6 Gas'!$N22+Fuel2ShrbyTech!B10/'Inputs 4-6 Gas'!$T22))</f>
        <v>5.2086794014470765</v>
      </c>
      <c r="C9" s="1197">
        <f>IF('Mkt Pen Veh-Mi'!C9=0,1,1/((1-Fuel2ShrbyTech!C10)/'Inputs 4-6 Gas'!$O22+Fuel2ShrbyTech!C10/'Inputs 4-6 Gas'!$U22))</f>
        <v>1</v>
      </c>
      <c r="D9" s="1197">
        <f>IF('Mkt Pen Veh-Mi'!D9=0,1,1/((1-Fuel2ShrbyTech!D10)/'Inputs 4-6 Gas'!$P22+Fuel2ShrbyTech!D10/'Inputs 4-6 Gas'!$V22))</f>
        <v>1</v>
      </c>
      <c r="E9" s="1197">
        <f>IF('Mkt Pen Veh-Mi'!E9=0,1,1/((1-Fuel2ShrbyTech!E10)/'Inputs 4-6 Gas'!$Q22+Fuel2ShrbyTech!E10/'Inputs 4-6 Gas'!$W22))</f>
        <v>1</v>
      </c>
      <c r="F9" s="1197">
        <f>IF('Mkt Pen Veh-Mi'!F9=0,1,1/((1-Fuel2ShrbyTech!F10)/'Inputs 4-6 Gas'!$R22+Fuel2ShrbyTech!F10/'Inputs 4-6 Gas'!$X22))</f>
        <v>1</v>
      </c>
      <c r="G9" s="1198">
        <f>IF('Mkt Pen Veh-Mi'!G9=0,1,1/((1-Fuel2ShrbyTech!G10)/'Inputs 4-6 Gas'!$S22+Fuel2ShrbyTech!G10/'Inputs 4-6 Gas'!$Y22))</f>
        <v>1</v>
      </c>
      <c r="H9" s="1196">
        <f>IF('Mkt Pen Veh-Mi'!H9=0,1,1/((1-Fuel2ShrbyTech!H10)/'Inputs 4-6 Diesel'!$N22+Fuel2ShrbyTech!H10/'Inputs 4-6 Diesel'!$T22))</f>
        <v>8.5199064512918756</v>
      </c>
      <c r="I9" s="1197">
        <f>IF('Mkt Pen Veh-Mi'!I9=0,1,1/((1-Fuel2ShrbyTech!I10)/'Inputs 4-6 Diesel'!$O22+Fuel2ShrbyTech!I10/'Inputs 4-6 Diesel'!$U22))</f>
        <v>1</v>
      </c>
      <c r="J9" s="1197">
        <f>IF('Mkt Pen Veh-Mi'!J9=0,1,1/((1-Fuel2ShrbyTech!J10)/'Inputs 4-6 Diesel'!$P22+Fuel2ShrbyTech!J10/'Inputs 4-6 Diesel'!$V22))</f>
        <v>1</v>
      </c>
      <c r="K9" s="1197">
        <f>IF('Mkt Pen Veh-Mi'!K9=0,1,1/((1-Fuel2ShrbyTech!K10)/'Inputs 4-6 Diesel'!$Q22+Fuel2ShrbyTech!K10/'Inputs 4-6 Diesel'!$W22))</f>
        <v>1</v>
      </c>
      <c r="L9" s="1197">
        <f>IF('Mkt Pen Veh-Mi'!L9=0,1,1/((1-Fuel2ShrbyTech!L10)/'Inputs 4-6 Diesel'!$R22+Fuel2ShrbyTech!L10/'Inputs 4-6 Diesel'!$X22))</f>
        <v>1</v>
      </c>
      <c r="M9" s="1218">
        <f>IF('Mkt Pen Veh-Mi'!M9=0,1,1/((1-Fuel2ShrbyTech!M10)/'Inputs 4-6 Diesel'!$S22+Fuel2ShrbyTech!M10/'Inputs 4-6 Diesel'!$Y22))</f>
        <v>1</v>
      </c>
      <c r="O9" s="1195">
        <f>A9</f>
        <v>2007</v>
      </c>
      <c r="P9" s="1196">
        <f>IF(B9=1,0,B9)</f>
        <v>5.2086794014470765</v>
      </c>
      <c r="Q9" s="1197">
        <f t="shared" ref="Q9:AA9" si="8">IF(C9=1,0,C9)</f>
        <v>0</v>
      </c>
      <c r="R9" s="1197">
        <f t="shared" si="8"/>
        <v>0</v>
      </c>
      <c r="S9" s="1197">
        <f t="shared" si="8"/>
        <v>0</v>
      </c>
      <c r="T9" s="1197">
        <f t="shared" si="8"/>
        <v>0</v>
      </c>
      <c r="U9" s="1198">
        <f t="shared" si="8"/>
        <v>0</v>
      </c>
      <c r="V9" s="1196">
        <f t="shared" si="8"/>
        <v>8.5199064512918756</v>
      </c>
      <c r="W9" s="1197">
        <f t="shared" si="8"/>
        <v>0</v>
      </c>
      <c r="X9" s="1197">
        <f t="shared" si="8"/>
        <v>0</v>
      </c>
      <c r="Y9" s="1197">
        <f t="shared" si="8"/>
        <v>0</v>
      </c>
      <c r="Z9" s="1197">
        <f t="shared" si="8"/>
        <v>0</v>
      </c>
      <c r="AA9" s="1218">
        <f t="shared" si="8"/>
        <v>0</v>
      </c>
      <c r="AC9" s="1282" cm="1">
        <f t="array" ref="AC9">1/SUMPRODUCT(IFERROR(1/V9:AA9,0),'Mkt Pen Veh-Mi'!H9:M9)</f>
        <v>8.5199064512918756</v>
      </c>
      <c r="AD9" s="1283">
        <f>AC9/V9</f>
        <v>1</v>
      </c>
    </row>
    <row r="10" spans="1:30" ht="15" x14ac:dyDescent="0.25">
      <c r="A10" s="1195">
        <v>2008</v>
      </c>
      <c r="B10" s="1196">
        <f>IF('Mkt Pen Veh-Mi'!B10=0,1,1/((1-Fuel2ShrbyTech!B11)/'Inputs 4-6 Gas'!$N23+Fuel2ShrbyTech!B11/'Inputs 4-6 Gas'!$T23))</f>
        <v>5.2086794014470765</v>
      </c>
      <c r="C10" s="1199">
        <f>IF('Mkt Pen Veh-Mi'!C10=0,1,1/((1-Fuel2ShrbyTech!C11)/'Inputs 4-6 Gas'!$O23+Fuel2ShrbyTech!C11/'Inputs 4-6 Gas'!$U23))</f>
        <v>1</v>
      </c>
      <c r="D10" s="1199">
        <f>IF('Mkt Pen Veh-Mi'!D10=0,1,1/((1-Fuel2ShrbyTech!D11)/'Inputs 4-6 Gas'!$P23+Fuel2ShrbyTech!D11/'Inputs 4-6 Gas'!$V23))</f>
        <v>1</v>
      </c>
      <c r="E10" s="1199">
        <f>IF('Mkt Pen Veh-Mi'!E10=0,1,1/((1-Fuel2ShrbyTech!E11)/'Inputs 4-6 Gas'!$Q23+Fuel2ShrbyTech!E11/'Inputs 4-6 Gas'!$W23))</f>
        <v>1</v>
      </c>
      <c r="F10" s="1199">
        <f>IF('Mkt Pen Veh-Mi'!F10=0,1,1/((1-Fuel2ShrbyTech!F11)/'Inputs 4-6 Gas'!$R23+Fuel2ShrbyTech!F11/'Inputs 4-6 Gas'!$X23))</f>
        <v>1</v>
      </c>
      <c r="G10" s="1200">
        <f>IF('Mkt Pen Veh-Mi'!G10=0,1,1/((1-Fuel2ShrbyTech!G11)/'Inputs 4-6 Gas'!$S23+Fuel2ShrbyTech!G11/'Inputs 4-6 Gas'!$Y23))</f>
        <v>1</v>
      </c>
      <c r="H10" s="1196">
        <f>IF('Mkt Pen Veh-Mi'!H10=0,1,1/((1-Fuel2ShrbyTech!H11)/'Inputs 4-6 Diesel'!$N23+Fuel2ShrbyTech!H11/'Inputs 4-6 Diesel'!$T23))</f>
        <v>8.7326121505203531</v>
      </c>
      <c r="I10" s="1199">
        <f>IF('Mkt Pen Veh-Mi'!I10=0,1,1/((1-Fuel2ShrbyTech!I11)/'Inputs 4-6 Diesel'!$O23+Fuel2ShrbyTech!I11/'Inputs 4-6 Diesel'!$U23))</f>
        <v>1</v>
      </c>
      <c r="J10" s="1199">
        <f>IF('Mkt Pen Veh-Mi'!J10=0,1,1/((1-Fuel2ShrbyTech!J11)/'Inputs 4-6 Diesel'!$P23+Fuel2ShrbyTech!J11/'Inputs 4-6 Diesel'!$V23))</f>
        <v>1</v>
      </c>
      <c r="K10" s="1199">
        <f>IF('Mkt Pen Veh-Mi'!K10=0,1,1/((1-Fuel2ShrbyTech!K11)/'Inputs 4-6 Diesel'!$Q23+Fuel2ShrbyTech!K11/'Inputs 4-6 Diesel'!$W23))</f>
        <v>1</v>
      </c>
      <c r="L10" s="1199">
        <f>IF('Mkt Pen Veh-Mi'!L10=0,1,1/((1-Fuel2ShrbyTech!L11)/'Inputs 4-6 Diesel'!$R23+Fuel2ShrbyTech!L11/'Inputs 4-6 Diesel'!$X23))</f>
        <v>1</v>
      </c>
      <c r="M10" s="1200">
        <f>IF('Mkt Pen Veh-Mi'!M10=0,1,1/((1-Fuel2ShrbyTech!M11)/'Inputs 4-6 Diesel'!$S23+Fuel2ShrbyTech!M11/'Inputs 4-6 Diesel'!$Y23))</f>
        <v>1</v>
      </c>
      <c r="O10" s="1195">
        <f t="shared" ref="O10:O52" si="9">A10</f>
        <v>2008</v>
      </c>
      <c r="P10" s="1196">
        <f t="shared" ref="P10:P52" si="10">IF(B10=1,0,B10)</f>
        <v>5.2086794014470765</v>
      </c>
      <c r="Q10" s="1199">
        <f t="shared" ref="Q10:Q52" si="11">IF(C10=1,0,C10)</f>
        <v>0</v>
      </c>
      <c r="R10" s="1199">
        <f t="shared" ref="R10:R52" si="12">IF(D10=1,0,D10)</f>
        <v>0</v>
      </c>
      <c r="S10" s="1199">
        <f t="shared" ref="S10:S52" si="13">IF(E10=1,0,E10)</f>
        <v>0</v>
      </c>
      <c r="T10" s="1199">
        <f t="shared" ref="T10:T52" si="14">IF(F10=1,0,F10)</f>
        <v>0</v>
      </c>
      <c r="U10" s="1200">
        <f t="shared" ref="U10:U52" si="15">IF(G10=1,0,G10)</f>
        <v>0</v>
      </c>
      <c r="V10" s="1196">
        <f t="shared" ref="V10:V52" si="16">IF(H10=1,0,H10)</f>
        <v>8.7326121505203531</v>
      </c>
      <c r="W10" s="1199">
        <f t="shared" ref="W10:W52" si="17">IF(I10=1,0,I10)</f>
        <v>0</v>
      </c>
      <c r="X10" s="1199">
        <f t="shared" ref="X10:X52" si="18">IF(J10=1,0,J10)</f>
        <v>0</v>
      </c>
      <c r="Y10" s="1199">
        <f t="shared" ref="Y10:Y52" si="19">IF(K10=1,0,K10)</f>
        <v>0</v>
      </c>
      <c r="Z10" s="1199">
        <f t="shared" ref="Z10:Z52" si="20">IF(L10=1,0,L10)</f>
        <v>0</v>
      </c>
      <c r="AA10" s="1200">
        <f t="shared" ref="AA10:AA52" si="21">IF(M10=1,0,M10)</f>
        <v>0</v>
      </c>
      <c r="AC10" s="1282" cm="1">
        <f t="array" ref="AC10">1/SUMPRODUCT(IFERROR(1/V10:AA10,0),'Mkt Pen Veh-Mi'!H10:M10)</f>
        <v>8.7326121505203531</v>
      </c>
      <c r="AD10" s="1283">
        <f t="shared" ref="AD10:AD52" si="22">AC10/V10</f>
        <v>1</v>
      </c>
    </row>
    <row r="11" spans="1:30" ht="15" x14ac:dyDescent="0.25">
      <c r="A11" s="1195">
        <v>2009</v>
      </c>
      <c r="B11" s="1196">
        <f>IF('Mkt Pen Veh-Mi'!B11=0,1,1/((1-Fuel2ShrbyTech!B12)/'Inputs 4-6 Gas'!$N24+Fuel2ShrbyTech!B12/'Inputs 4-6 Gas'!$T24))</f>
        <v>5.2086794014470765</v>
      </c>
      <c r="C11" s="1199">
        <f>IF('Mkt Pen Veh-Mi'!C11=0,1,1/((1-Fuel2ShrbyTech!C12)/'Inputs 4-6 Gas'!$O24+Fuel2ShrbyTech!C12/'Inputs 4-6 Gas'!$U24))</f>
        <v>1</v>
      </c>
      <c r="D11" s="1199">
        <f>IF('Mkt Pen Veh-Mi'!D11=0,1,1/((1-Fuel2ShrbyTech!D12)/'Inputs 4-6 Gas'!$P24+Fuel2ShrbyTech!D12/'Inputs 4-6 Gas'!$V24))</f>
        <v>1</v>
      </c>
      <c r="E11" s="1199">
        <f>IF('Mkt Pen Veh-Mi'!E11=0,1,1/((1-Fuel2ShrbyTech!E12)/'Inputs 4-6 Gas'!$Q24+Fuel2ShrbyTech!E12/'Inputs 4-6 Gas'!$W24))</f>
        <v>1</v>
      </c>
      <c r="F11" s="1199">
        <f>IF('Mkt Pen Veh-Mi'!F11=0,1,1/((1-Fuel2ShrbyTech!F12)/'Inputs 4-6 Gas'!$R24+Fuel2ShrbyTech!F12/'Inputs 4-6 Gas'!$X24))</f>
        <v>1</v>
      </c>
      <c r="G11" s="1200">
        <f>IF('Mkt Pen Veh-Mi'!G11=0,1,1/((1-Fuel2ShrbyTech!G12)/'Inputs 4-6 Gas'!$S24+Fuel2ShrbyTech!G12/'Inputs 4-6 Gas'!$Y24))</f>
        <v>1</v>
      </c>
      <c r="H11" s="1196">
        <f>IF('Mkt Pen Veh-Mi'!H11=0,1,1/((1-Fuel2ShrbyTech!H12)/'Inputs 4-6 Diesel'!$N24+Fuel2ShrbyTech!H12/'Inputs 4-6 Diesel'!$T24))</f>
        <v>8.2410214410336931</v>
      </c>
      <c r="I11" s="1199">
        <f>IF('Mkt Pen Veh-Mi'!I11=0,1,1/((1-Fuel2ShrbyTech!I12)/'Inputs 4-6 Diesel'!$O24+Fuel2ShrbyTech!I12/'Inputs 4-6 Diesel'!$U24))</f>
        <v>1</v>
      </c>
      <c r="J11" s="1199">
        <f>IF('Mkt Pen Veh-Mi'!J11=0,1,1/((1-Fuel2ShrbyTech!J12)/'Inputs 4-6 Diesel'!$P24+Fuel2ShrbyTech!J12/'Inputs 4-6 Diesel'!$V24))</f>
        <v>1</v>
      </c>
      <c r="K11" s="1199">
        <f>IF('Mkt Pen Veh-Mi'!K11=0,1,1/((1-Fuel2ShrbyTech!K12)/'Inputs 4-6 Diesel'!$Q24+Fuel2ShrbyTech!K12/'Inputs 4-6 Diesel'!$W24))</f>
        <v>1</v>
      </c>
      <c r="L11" s="1199">
        <f>IF('Mkt Pen Veh-Mi'!L11=0,1,1/((1-Fuel2ShrbyTech!L12)/'Inputs 4-6 Diesel'!$R24+Fuel2ShrbyTech!L12/'Inputs 4-6 Diesel'!$X24))</f>
        <v>1</v>
      </c>
      <c r="M11" s="1200">
        <f>IF('Mkt Pen Veh-Mi'!M11=0,1,1/((1-Fuel2ShrbyTech!M12)/'Inputs 4-6 Diesel'!$S24+Fuel2ShrbyTech!M12/'Inputs 4-6 Diesel'!$Y24))</f>
        <v>1</v>
      </c>
      <c r="O11" s="1195">
        <f t="shared" si="9"/>
        <v>2009</v>
      </c>
      <c r="P11" s="1196">
        <f t="shared" si="10"/>
        <v>5.2086794014470765</v>
      </c>
      <c r="Q11" s="1199">
        <f t="shared" si="11"/>
        <v>0</v>
      </c>
      <c r="R11" s="1199">
        <f t="shared" si="12"/>
        <v>0</v>
      </c>
      <c r="S11" s="1199">
        <f t="shared" si="13"/>
        <v>0</v>
      </c>
      <c r="T11" s="1199">
        <f t="shared" si="14"/>
        <v>0</v>
      </c>
      <c r="U11" s="1200">
        <f t="shared" si="15"/>
        <v>0</v>
      </c>
      <c r="V11" s="1196">
        <f t="shared" si="16"/>
        <v>8.2410214410336931</v>
      </c>
      <c r="W11" s="1199">
        <f t="shared" si="17"/>
        <v>0</v>
      </c>
      <c r="X11" s="1199">
        <f t="shared" si="18"/>
        <v>0</v>
      </c>
      <c r="Y11" s="1199">
        <f t="shared" si="19"/>
        <v>0</v>
      </c>
      <c r="Z11" s="1199">
        <f t="shared" si="20"/>
        <v>0</v>
      </c>
      <c r="AA11" s="1200">
        <f t="shared" si="21"/>
        <v>0</v>
      </c>
      <c r="AC11" s="1282" cm="1">
        <f t="array" ref="AC11">1/SUMPRODUCT(IFERROR(1/V11:AA11,0),'Mkt Pen Veh-Mi'!H11:M11)</f>
        <v>8.2410214410336931</v>
      </c>
      <c r="AD11" s="1283">
        <f t="shared" si="22"/>
        <v>1</v>
      </c>
    </row>
    <row r="12" spans="1:30" ht="15" x14ac:dyDescent="0.25">
      <c r="A12" s="1201">
        <v>2010</v>
      </c>
      <c r="B12" s="1202">
        <f>IF('Mkt Pen Veh-Mi'!B12=0,1,1/((1-Fuel2ShrbyTech!B13)/'Inputs 4-6 Gas'!$N25+Fuel2ShrbyTech!B13/'Inputs 4-6 Gas'!$T25))</f>
        <v>5.2086794014470765</v>
      </c>
      <c r="C12" s="1203">
        <f>IF('Mkt Pen Veh-Mi'!C12=0,1,1/((1-Fuel2ShrbyTech!C13)/'Inputs 4-6 Gas'!$O25+Fuel2ShrbyTech!C13/'Inputs 4-6 Gas'!$U25))</f>
        <v>1</v>
      </c>
      <c r="D12" s="1203">
        <f>IF('Mkt Pen Veh-Mi'!D12=0,1,1/((1-Fuel2ShrbyTech!D13)/'Inputs 4-6 Gas'!$P25+Fuel2ShrbyTech!D13/'Inputs 4-6 Gas'!$V25))</f>
        <v>1</v>
      </c>
      <c r="E12" s="1203">
        <f>IF('Mkt Pen Veh-Mi'!E12=0,1,1/((1-Fuel2ShrbyTech!E13)/'Inputs 4-6 Gas'!$Q25+Fuel2ShrbyTech!E13/'Inputs 4-6 Gas'!$W25))</f>
        <v>1</v>
      </c>
      <c r="F12" s="1203">
        <f>IF('Mkt Pen Veh-Mi'!F12=0,1,1/((1-Fuel2ShrbyTech!F13)/'Inputs 4-6 Gas'!$R25+Fuel2ShrbyTech!F13/'Inputs 4-6 Gas'!$X25))</f>
        <v>1</v>
      </c>
      <c r="G12" s="1204">
        <f>IF('Mkt Pen Veh-Mi'!G12=0,1,1/((1-Fuel2ShrbyTech!G13)/'Inputs 4-6 Gas'!$S25+Fuel2ShrbyTech!G13/'Inputs 4-6 Gas'!$Y25))</f>
        <v>1</v>
      </c>
      <c r="H12" s="1202">
        <f>IF('Mkt Pen Veh-Mi'!H12=0,1,1/((1-Fuel2ShrbyTech!H13)/'Inputs 4-6 Diesel'!$N25+Fuel2ShrbyTech!H13/'Inputs 4-6 Diesel'!$T25))</f>
        <v>8.339898006379256</v>
      </c>
      <c r="I12" s="1203">
        <f>IF('Mkt Pen Veh-Mi'!I12=0,1,1/((1-Fuel2ShrbyTech!I13)/'Inputs 4-6 Diesel'!$O25+Fuel2ShrbyTech!I13/'Inputs 4-6 Diesel'!$U25))</f>
        <v>1</v>
      </c>
      <c r="J12" s="1203">
        <f>IF('Mkt Pen Veh-Mi'!J12=0,1,1/((1-Fuel2ShrbyTech!J13)/'Inputs 4-6 Diesel'!$P25+Fuel2ShrbyTech!J13/'Inputs 4-6 Diesel'!$V25))</f>
        <v>1</v>
      </c>
      <c r="K12" s="1203">
        <f>IF('Mkt Pen Veh-Mi'!K12=0,1,1/((1-Fuel2ShrbyTech!K13)/'Inputs 4-6 Diesel'!$Q25+Fuel2ShrbyTech!K13/'Inputs 4-6 Diesel'!$W25))</f>
        <v>1</v>
      </c>
      <c r="L12" s="1203">
        <f>IF('Mkt Pen Veh-Mi'!L12=0,1,1/((1-Fuel2ShrbyTech!L13)/'Inputs 4-6 Diesel'!$R25+Fuel2ShrbyTech!L13/'Inputs 4-6 Diesel'!$X25))</f>
        <v>1</v>
      </c>
      <c r="M12" s="1204">
        <f>IF('Mkt Pen Veh-Mi'!M12=0,1,1/((1-Fuel2ShrbyTech!M13)/'Inputs 4-6 Diesel'!$S25+Fuel2ShrbyTech!M13/'Inputs 4-6 Diesel'!$Y25))</f>
        <v>1</v>
      </c>
      <c r="O12" s="1201">
        <f t="shared" si="9"/>
        <v>2010</v>
      </c>
      <c r="P12" s="1202">
        <f t="shared" si="10"/>
        <v>5.2086794014470765</v>
      </c>
      <c r="Q12" s="1203">
        <f t="shared" si="11"/>
        <v>0</v>
      </c>
      <c r="R12" s="1203">
        <f t="shared" si="12"/>
        <v>0</v>
      </c>
      <c r="S12" s="1203">
        <f t="shared" si="13"/>
        <v>0</v>
      </c>
      <c r="T12" s="1203">
        <f t="shared" si="14"/>
        <v>0</v>
      </c>
      <c r="U12" s="1204">
        <f t="shared" si="15"/>
        <v>0</v>
      </c>
      <c r="V12" s="1202">
        <f t="shared" si="16"/>
        <v>8.339898006379256</v>
      </c>
      <c r="W12" s="1203">
        <f t="shared" si="17"/>
        <v>0</v>
      </c>
      <c r="X12" s="1203">
        <f t="shared" si="18"/>
        <v>0</v>
      </c>
      <c r="Y12" s="1203">
        <f t="shared" si="19"/>
        <v>0</v>
      </c>
      <c r="Z12" s="1203">
        <f t="shared" si="20"/>
        <v>0</v>
      </c>
      <c r="AA12" s="1204">
        <f t="shared" si="21"/>
        <v>0</v>
      </c>
      <c r="AC12" s="1282" cm="1">
        <f t="array" ref="AC12">1/SUMPRODUCT(IFERROR(1/V12:AA12,0),'Mkt Pen Veh-Mi'!H12:M12)</f>
        <v>8.339898006379256</v>
      </c>
      <c r="AD12" s="1283">
        <f t="shared" si="22"/>
        <v>1</v>
      </c>
    </row>
    <row r="13" spans="1:30" ht="15" x14ac:dyDescent="0.25">
      <c r="A13" s="1195">
        <v>2011</v>
      </c>
      <c r="B13" s="1205">
        <f>IF('Mkt Pen Veh-Mi'!B13=0,1,1/((1-Fuel2ShrbyTech!B14)/'Inputs 4-6 Gas'!$N26+Fuel2ShrbyTech!B14/'Inputs 4-6 Gas'!$T26))</f>
        <v>5.2317707351754841</v>
      </c>
      <c r="C13" s="1206">
        <f>IF('Mkt Pen Veh-Mi'!C13=0,1,1/((1-Fuel2ShrbyTech!C14)/'Inputs 4-6 Gas'!$O26+Fuel2ShrbyTech!C14/'Inputs 4-6 Gas'!$U26))</f>
        <v>1</v>
      </c>
      <c r="D13" s="1206">
        <f>IF('Mkt Pen Veh-Mi'!D13=0,1,1/((1-Fuel2ShrbyTech!D14)/'Inputs 4-6 Gas'!$P26+Fuel2ShrbyTech!D14/'Inputs 4-6 Gas'!$V26))</f>
        <v>1</v>
      </c>
      <c r="E13" s="1206">
        <f>IF('Mkt Pen Veh-Mi'!E13=0,1,1/((1-Fuel2ShrbyTech!E14)/'Inputs 4-6 Gas'!$Q26+Fuel2ShrbyTech!E14/'Inputs 4-6 Gas'!$W26))</f>
        <v>1</v>
      </c>
      <c r="F13" s="1206">
        <f>IF('Mkt Pen Veh-Mi'!F13=0,1,1/((1-Fuel2ShrbyTech!F14)/'Inputs 4-6 Gas'!$R26+Fuel2ShrbyTech!F14/'Inputs 4-6 Gas'!$X26))</f>
        <v>1</v>
      </c>
      <c r="G13" s="1207">
        <f>IF('Mkt Pen Veh-Mi'!G13=0,1,1/((1-Fuel2ShrbyTech!G14)/'Inputs 4-6 Gas'!$S26+Fuel2ShrbyTech!G14/'Inputs 4-6 Gas'!$Y26))</f>
        <v>1</v>
      </c>
      <c r="H13" s="1205">
        <f>IF('Mkt Pen Veh-Mi'!H13=0,1,1/((1-Fuel2ShrbyTech!H14)/'Inputs 4-6 Diesel'!$N26+Fuel2ShrbyTech!H14/'Inputs 4-6 Diesel'!$T26))</f>
        <v>8.4749377994563453</v>
      </c>
      <c r="I13" s="1206">
        <f>IF('Mkt Pen Veh-Mi'!I13=0,1,1/((1-Fuel2ShrbyTech!I14)/'Inputs 4-6 Diesel'!$O26+Fuel2ShrbyTech!I14/'Inputs 4-6 Diesel'!$U26))</f>
        <v>1</v>
      </c>
      <c r="J13" s="1206">
        <f>IF('Mkt Pen Veh-Mi'!J13=0,1,1/((1-Fuel2ShrbyTech!J14)/'Inputs 4-6 Diesel'!$P26+Fuel2ShrbyTech!J14/'Inputs 4-6 Diesel'!$V26))</f>
        <v>1</v>
      </c>
      <c r="K13" s="1206">
        <f>IF('Mkt Pen Veh-Mi'!K13=0,1,1/((1-Fuel2ShrbyTech!K14)/'Inputs 4-6 Diesel'!$Q26+Fuel2ShrbyTech!K14/'Inputs 4-6 Diesel'!$W26))</f>
        <v>1</v>
      </c>
      <c r="L13" s="1206">
        <f>IF('Mkt Pen Veh-Mi'!L13=0,1,1/((1-Fuel2ShrbyTech!L14)/'Inputs 4-6 Diesel'!$R26+Fuel2ShrbyTech!L14/'Inputs 4-6 Diesel'!$X26))</f>
        <v>1</v>
      </c>
      <c r="M13" s="1207">
        <f>IF('Mkt Pen Veh-Mi'!M13=0,1,1/((1-Fuel2ShrbyTech!M14)/'Inputs 4-6 Diesel'!$S26+Fuel2ShrbyTech!M14/'Inputs 4-6 Diesel'!$Y26))</f>
        <v>1</v>
      </c>
      <c r="O13" s="1195">
        <f t="shared" si="9"/>
        <v>2011</v>
      </c>
      <c r="P13" s="1205">
        <f t="shared" si="10"/>
        <v>5.2317707351754841</v>
      </c>
      <c r="Q13" s="1206">
        <f t="shared" si="11"/>
        <v>0</v>
      </c>
      <c r="R13" s="1206">
        <f t="shared" si="12"/>
        <v>0</v>
      </c>
      <c r="S13" s="1206">
        <f t="shared" si="13"/>
        <v>0</v>
      </c>
      <c r="T13" s="1206">
        <f t="shared" si="14"/>
        <v>0</v>
      </c>
      <c r="U13" s="1207">
        <f t="shared" si="15"/>
        <v>0</v>
      </c>
      <c r="V13" s="1205">
        <f t="shared" si="16"/>
        <v>8.4749377994563453</v>
      </c>
      <c r="W13" s="1206">
        <f t="shared" si="17"/>
        <v>0</v>
      </c>
      <c r="X13" s="1206">
        <f t="shared" si="18"/>
        <v>0</v>
      </c>
      <c r="Y13" s="1206">
        <f t="shared" si="19"/>
        <v>0</v>
      </c>
      <c r="Z13" s="1206">
        <f t="shared" si="20"/>
        <v>0</v>
      </c>
      <c r="AA13" s="1207">
        <f t="shared" si="21"/>
        <v>0</v>
      </c>
      <c r="AC13" s="1282" cm="1">
        <f t="array" ref="AC13">1/SUMPRODUCT(IFERROR(1/V13:AA13,0),'Mkt Pen Veh-Mi'!H13:M13)</f>
        <v>8.4749377994563453</v>
      </c>
      <c r="AD13" s="1283">
        <f t="shared" si="22"/>
        <v>1</v>
      </c>
    </row>
    <row r="14" spans="1:30" ht="15" x14ac:dyDescent="0.25">
      <c r="A14" s="1195">
        <v>2012</v>
      </c>
      <c r="B14" s="1196">
        <f>IF('Mkt Pen Veh-Mi'!B14=0,1,1/((1-Fuel2ShrbyTech!B15)/'Inputs 4-6 Gas'!$N27+Fuel2ShrbyTech!B15/'Inputs 4-6 Gas'!$T27))</f>
        <v>5.2692423642934676</v>
      </c>
      <c r="C14" s="1199">
        <f>IF('Mkt Pen Veh-Mi'!C14=0,1,1/((1-Fuel2ShrbyTech!C15)/'Inputs 4-6 Gas'!$O27+Fuel2ShrbyTech!C15/'Inputs 4-6 Gas'!$U27))</f>
        <v>1</v>
      </c>
      <c r="D14" s="1199">
        <f>IF('Mkt Pen Veh-Mi'!D14=0,1,1/((1-Fuel2ShrbyTech!D15)/'Inputs 4-6 Gas'!$P27+Fuel2ShrbyTech!D15/'Inputs 4-6 Gas'!$V27))</f>
        <v>1</v>
      </c>
      <c r="E14" s="1199">
        <f>IF('Mkt Pen Veh-Mi'!E14=0,1,1/((1-Fuel2ShrbyTech!E15)/'Inputs 4-6 Gas'!$Q27+Fuel2ShrbyTech!E15/'Inputs 4-6 Gas'!$W27))</f>
        <v>1</v>
      </c>
      <c r="F14" s="1199">
        <f>IF('Mkt Pen Veh-Mi'!F14=0,1,1/((1-Fuel2ShrbyTech!F15)/'Inputs 4-6 Gas'!$R27+Fuel2ShrbyTech!F15/'Inputs 4-6 Gas'!$X27))</f>
        <v>1</v>
      </c>
      <c r="G14" s="1200">
        <f>IF('Mkt Pen Veh-Mi'!G14=0,1,1/((1-Fuel2ShrbyTech!G15)/'Inputs 4-6 Gas'!$S27+Fuel2ShrbyTech!G15/'Inputs 4-6 Gas'!$Y27))</f>
        <v>1</v>
      </c>
      <c r="H14" s="1196">
        <f>IF('Mkt Pen Veh-Mi'!H14=0,1,1/((1-Fuel2ShrbyTech!H15)/'Inputs 4-6 Diesel'!$N27+Fuel2ShrbyTech!H15/'Inputs 4-6 Diesel'!$T27))</f>
        <v>8.5141119237684286</v>
      </c>
      <c r="I14" s="1199">
        <f>IF('Mkt Pen Veh-Mi'!I14=0,1,1/((1-Fuel2ShrbyTech!I15)/'Inputs 4-6 Diesel'!$O27+Fuel2ShrbyTech!I15/'Inputs 4-6 Diesel'!$U27))</f>
        <v>1</v>
      </c>
      <c r="J14" s="1199">
        <f>IF('Mkt Pen Veh-Mi'!J14=0,1,1/((1-Fuel2ShrbyTech!J15)/'Inputs 4-6 Diesel'!$P27+Fuel2ShrbyTech!J15/'Inputs 4-6 Diesel'!$V27))</f>
        <v>1</v>
      </c>
      <c r="K14" s="1199">
        <f>IF('Mkt Pen Veh-Mi'!K14=0,1,1/((1-Fuel2ShrbyTech!K15)/'Inputs 4-6 Diesel'!$Q27+Fuel2ShrbyTech!K15/'Inputs 4-6 Diesel'!$W27))</f>
        <v>1</v>
      </c>
      <c r="L14" s="1199">
        <f>IF('Mkt Pen Veh-Mi'!L14=0,1,1/((1-Fuel2ShrbyTech!L15)/'Inputs 4-6 Diesel'!$R27+Fuel2ShrbyTech!L15/'Inputs 4-6 Diesel'!$X27))</f>
        <v>1</v>
      </c>
      <c r="M14" s="1200">
        <f>IF('Mkt Pen Veh-Mi'!M14=0,1,1/((1-Fuel2ShrbyTech!M15)/'Inputs 4-6 Diesel'!$S27+Fuel2ShrbyTech!M15/'Inputs 4-6 Diesel'!$Y27))</f>
        <v>1</v>
      </c>
      <c r="O14" s="1195">
        <f t="shared" si="9"/>
        <v>2012</v>
      </c>
      <c r="P14" s="1196">
        <f t="shared" si="10"/>
        <v>5.2692423642934676</v>
      </c>
      <c r="Q14" s="1199">
        <f t="shared" si="11"/>
        <v>0</v>
      </c>
      <c r="R14" s="1199">
        <f t="shared" si="12"/>
        <v>0</v>
      </c>
      <c r="S14" s="1199">
        <f t="shared" si="13"/>
        <v>0</v>
      </c>
      <c r="T14" s="1199">
        <f t="shared" si="14"/>
        <v>0</v>
      </c>
      <c r="U14" s="1200">
        <f t="shared" si="15"/>
        <v>0</v>
      </c>
      <c r="V14" s="1196">
        <f t="shared" si="16"/>
        <v>8.5141119237684286</v>
      </c>
      <c r="W14" s="1199">
        <f t="shared" si="17"/>
        <v>0</v>
      </c>
      <c r="X14" s="1199">
        <f t="shared" si="18"/>
        <v>0</v>
      </c>
      <c r="Y14" s="1199">
        <f t="shared" si="19"/>
        <v>0</v>
      </c>
      <c r="Z14" s="1199">
        <f t="shared" si="20"/>
        <v>0</v>
      </c>
      <c r="AA14" s="1200">
        <f t="shared" si="21"/>
        <v>0</v>
      </c>
      <c r="AC14" s="1282" cm="1">
        <f t="array" ref="AC14">1/SUMPRODUCT(IFERROR(1/V14:AA14,0),'Mkt Pen Veh-Mi'!H14:M14)</f>
        <v>8.5141119237684286</v>
      </c>
      <c r="AD14" s="1283">
        <f t="shared" si="22"/>
        <v>1</v>
      </c>
    </row>
    <row r="15" spans="1:30" ht="15" x14ac:dyDescent="0.25">
      <c r="A15" s="1195">
        <v>2013</v>
      </c>
      <c r="B15" s="1196">
        <f>IF('Mkt Pen Veh-Mi'!B15=0,1,1/((1-Fuel2ShrbyTech!B16)/'Inputs 4-6 Gas'!$N28+Fuel2ShrbyTech!B16/'Inputs 4-6 Gas'!$T28))</f>
        <v>5.2575676669070708</v>
      </c>
      <c r="C15" s="1199">
        <f>IF('Mkt Pen Veh-Mi'!C15=0,1,1/((1-Fuel2ShrbyTech!C16)/'Inputs 4-6 Gas'!$O28+Fuel2ShrbyTech!C16/'Inputs 4-6 Gas'!$U28))</f>
        <v>1</v>
      </c>
      <c r="D15" s="1199">
        <f>IF('Mkt Pen Veh-Mi'!D15=0,1,1/((1-Fuel2ShrbyTech!D16)/'Inputs 4-6 Gas'!$P28+Fuel2ShrbyTech!D16/'Inputs 4-6 Gas'!$V28))</f>
        <v>1</v>
      </c>
      <c r="E15" s="1199">
        <f>IF('Mkt Pen Veh-Mi'!E15=0,1,1/((1-Fuel2ShrbyTech!E16)/'Inputs 4-6 Gas'!$Q28+Fuel2ShrbyTech!E16/'Inputs 4-6 Gas'!$W28))</f>
        <v>1</v>
      </c>
      <c r="F15" s="1199">
        <f>IF('Mkt Pen Veh-Mi'!F15=0,1,1/((1-Fuel2ShrbyTech!F16)/'Inputs 4-6 Gas'!$R28+Fuel2ShrbyTech!F16/'Inputs 4-6 Gas'!$X28))</f>
        <v>1</v>
      </c>
      <c r="G15" s="1200">
        <f>IF('Mkt Pen Veh-Mi'!G15=0,1,1/((1-Fuel2ShrbyTech!G16)/'Inputs 4-6 Gas'!$S28+Fuel2ShrbyTech!G16/'Inputs 4-6 Gas'!$Y28))</f>
        <v>1</v>
      </c>
      <c r="H15" s="1196">
        <f>IF('Mkt Pen Veh-Mi'!H15=0,1,1/((1-Fuel2ShrbyTech!H16)/'Inputs 4-6 Diesel'!$N28+Fuel2ShrbyTech!H16/'Inputs 4-6 Diesel'!$T28))</f>
        <v>8.5514060910502749</v>
      </c>
      <c r="I15" s="1199">
        <f>IF('Mkt Pen Veh-Mi'!I15=0,1,1/((1-Fuel2ShrbyTech!I16)/'Inputs 4-6 Diesel'!$O28+Fuel2ShrbyTech!I16/'Inputs 4-6 Diesel'!$U28))</f>
        <v>1</v>
      </c>
      <c r="J15" s="1199">
        <f>IF('Mkt Pen Veh-Mi'!J15=0,1,1/((1-Fuel2ShrbyTech!J16)/'Inputs 4-6 Diesel'!$P28+Fuel2ShrbyTech!J16/'Inputs 4-6 Diesel'!$V28))</f>
        <v>1</v>
      </c>
      <c r="K15" s="1199">
        <f>IF('Mkt Pen Veh-Mi'!K15=0,1,1/((1-Fuel2ShrbyTech!K16)/'Inputs 4-6 Diesel'!$Q28+Fuel2ShrbyTech!K16/'Inputs 4-6 Diesel'!$W28))</f>
        <v>1</v>
      </c>
      <c r="L15" s="1199">
        <f>IF('Mkt Pen Veh-Mi'!L15=0,1,1/((1-Fuel2ShrbyTech!L16)/'Inputs 4-6 Diesel'!$R28+Fuel2ShrbyTech!L16/'Inputs 4-6 Diesel'!$X28))</f>
        <v>1</v>
      </c>
      <c r="M15" s="1200">
        <f>IF('Mkt Pen Veh-Mi'!M15=0,1,1/((1-Fuel2ShrbyTech!M16)/'Inputs 4-6 Diesel'!$S28+Fuel2ShrbyTech!M16/'Inputs 4-6 Diesel'!$Y28))</f>
        <v>1</v>
      </c>
      <c r="O15" s="1195">
        <f t="shared" si="9"/>
        <v>2013</v>
      </c>
      <c r="P15" s="1196">
        <f t="shared" si="10"/>
        <v>5.2575676669070708</v>
      </c>
      <c r="Q15" s="1199">
        <f t="shared" si="11"/>
        <v>0</v>
      </c>
      <c r="R15" s="1199">
        <f t="shared" si="12"/>
        <v>0</v>
      </c>
      <c r="S15" s="1199">
        <f t="shared" si="13"/>
        <v>0</v>
      </c>
      <c r="T15" s="1199">
        <f t="shared" si="14"/>
        <v>0</v>
      </c>
      <c r="U15" s="1200">
        <f t="shared" si="15"/>
        <v>0</v>
      </c>
      <c r="V15" s="1196">
        <f t="shared" si="16"/>
        <v>8.5514060910502749</v>
      </c>
      <c r="W15" s="1199">
        <f t="shared" si="17"/>
        <v>0</v>
      </c>
      <c r="X15" s="1199">
        <f t="shared" si="18"/>
        <v>0</v>
      </c>
      <c r="Y15" s="1199">
        <f t="shared" si="19"/>
        <v>0</v>
      </c>
      <c r="Z15" s="1199">
        <f t="shared" si="20"/>
        <v>0</v>
      </c>
      <c r="AA15" s="1200">
        <f t="shared" si="21"/>
        <v>0</v>
      </c>
      <c r="AC15" s="1282" cm="1">
        <f t="array" ref="AC15">1/SUMPRODUCT(IFERROR(1/V15:AA15,0),'Mkt Pen Veh-Mi'!H15:M15)</f>
        <v>8.5514060910502749</v>
      </c>
      <c r="AD15" s="1283">
        <f t="shared" si="22"/>
        <v>1</v>
      </c>
    </row>
    <row r="16" spans="1:30" ht="15" x14ac:dyDescent="0.25">
      <c r="A16" s="1195">
        <v>2014</v>
      </c>
      <c r="B16" s="1196">
        <f>IF('Mkt Pen Veh-Mi'!B16=0,1,1/((1-Fuel2ShrbyTech!B17)/'Inputs 4-6 Gas'!$N29+Fuel2ShrbyTech!B17/'Inputs 4-6 Gas'!$T29))</f>
        <v>5.2776935976188142</v>
      </c>
      <c r="C16" s="1199">
        <f>IF('Mkt Pen Veh-Mi'!C16=0,1,1/((1-Fuel2ShrbyTech!C17)/'Inputs 4-6 Gas'!$O29+Fuel2ShrbyTech!C17/'Inputs 4-6 Gas'!$U29))</f>
        <v>1</v>
      </c>
      <c r="D16" s="1199">
        <f>IF('Mkt Pen Veh-Mi'!D16=0,1,1/((1-Fuel2ShrbyTech!D17)/'Inputs 4-6 Gas'!$P29+Fuel2ShrbyTech!D17/'Inputs 4-6 Gas'!$V29))</f>
        <v>1</v>
      </c>
      <c r="E16" s="1199">
        <f>IF('Mkt Pen Veh-Mi'!E16=0,1,1/((1-Fuel2ShrbyTech!E17)/'Inputs 4-6 Gas'!$Q29+Fuel2ShrbyTech!E17/'Inputs 4-6 Gas'!$W29))</f>
        <v>1</v>
      </c>
      <c r="F16" s="1199">
        <f>IF('Mkt Pen Veh-Mi'!F16=0,1,1/((1-Fuel2ShrbyTech!F17)/'Inputs 4-6 Gas'!$R29+Fuel2ShrbyTech!F17/'Inputs 4-6 Gas'!$X29))</f>
        <v>1</v>
      </c>
      <c r="G16" s="1200">
        <f>IF('Mkt Pen Veh-Mi'!G16=0,1,1/((1-Fuel2ShrbyTech!G17)/'Inputs 4-6 Gas'!$S29+Fuel2ShrbyTech!G17/'Inputs 4-6 Gas'!$Y29))</f>
        <v>1</v>
      </c>
      <c r="H16" s="1196">
        <f>IF('Mkt Pen Veh-Mi'!H16=0,1,1/((1-Fuel2ShrbyTech!H17)/'Inputs 4-6 Diesel'!$N29+Fuel2ShrbyTech!H17/'Inputs 4-6 Diesel'!$T29))</f>
        <v>8.7227014874833682</v>
      </c>
      <c r="I16" s="1199">
        <f>IF('Mkt Pen Veh-Mi'!I16=0,1,1/((1-Fuel2ShrbyTech!I17)/'Inputs 4-6 Diesel'!$O29+Fuel2ShrbyTech!I17/'Inputs 4-6 Diesel'!$U29))</f>
        <v>1</v>
      </c>
      <c r="J16" s="1199">
        <f>IF('Mkt Pen Veh-Mi'!J16=0,1,1/((1-Fuel2ShrbyTech!J17)/'Inputs 4-6 Diesel'!$P29+Fuel2ShrbyTech!J17/'Inputs 4-6 Diesel'!$V29))</f>
        <v>1</v>
      </c>
      <c r="K16" s="1199">
        <f>IF('Mkt Pen Veh-Mi'!K16=0,1,1/((1-Fuel2ShrbyTech!K17)/'Inputs 4-6 Diesel'!$Q29+Fuel2ShrbyTech!K17/'Inputs 4-6 Diesel'!$W29))</f>
        <v>1</v>
      </c>
      <c r="L16" s="1199">
        <f>IF('Mkt Pen Veh-Mi'!L16=0,1,1/((1-Fuel2ShrbyTech!L17)/'Inputs 4-6 Diesel'!$R29+Fuel2ShrbyTech!L17/'Inputs 4-6 Diesel'!$X29))</f>
        <v>1</v>
      </c>
      <c r="M16" s="1200">
        <f>IF('Mkt Pen Veh-Mi'!M16=0,1,1/((1-Fuel2ShrbyTech!M17)/'Inputs 4-6 Diesel'!$S29+Fuel2ShrbyTech!M17/'Inputs 4-6 Diesel'!$Y29))</f>
        <v>1</v>
      </c>
      <c r="O16" s="1195">
        <f t="shared" si="9"/>
        <v>2014</v>
      </c>
      <c r="P16" s="1196">
        <f t="shared" si="10"/>
        <v>5.2776935976188142</v>
      </c>
      <c r="Q16" s="1199">
        <f t="shared" si="11"/>
        <v>0</v>
      </c>
      <c r="R16" s="1199">
        <f t="shared" si="12"/>
        <v>0</v>
      </c>
      <c r="S16" s="1199">
        <f t="shared" si="13"/>
        <v>0</v>
      </c>
      <c r="T16" s="1199">
        <f t="shared" si="14"/>
        <v>0</v>
      </c>
      <c r="U16" s="1200">
        <f t="shared" si="15"/>
        <v>0</v>
      </c>
      <c r="V16" s="1196">
        <f t="shared" si="16"/>
        <v>8.7227014874833682</v>
      </c>
      <c r="W16" s="1199">
        <f t="shared" si="17"/>
        <v>0</v>
      </c>
      <c r="X16" s="1199">
        <f t="shared" si="18"/>
        <v>0</v>
      </c>
      <c r="Y16" s="1199">
        <f t="shared" si="19"/>
        <v>0</v>
      </c>
      <c r="Z16" s="1199">
        <f t="shared" si="20"/>
        <v>0</v>
      </c>
      <c r="AA16" s="1200">
        <f t="shared" si="21"/>
        <v>0</v>
      </c>
      <c r="AC16" s="1282" cm="1">
        <f t="array" ref="AC16">1/SUMPRODUCT(IFERROR(1/V16:AA16,0),'Mkt Pen Veh-Mi'!H16:M16)</f>
        <v>8.7227014874833682</v>
      </c>
      <c r="AD16" s="1283">
        <f t="shared" si="22"/>
        <v>1</v>
      </c>
    </row>
    <row r="17" spans="1:30" ht="15" x14ac:dyDescent="0.25">
      <c r="A17" s="1201">
        <v>2015</v>
      </c>
      <c r="B17" s="1202">
        <f>IF('Mkt Pen Veh-Mi'!B17=0,1,1/((1-Fuel2ShrbyTech!B18)/'Inputs 4-6 Gas'!$N30+Fuel2ShrbyTech!B18/'Inputs 4-6 Gas'!$T30))</f>
        <v>5.6862370734326584</v>
      </c>
      <c r="C17" s="1203">
        <f>IF('Mkt Pen Veh-Mi'!C17=0,1,1/((1-Fuel2ShrbyTech!C18)/'Inputs 4-6 Gas'!$O30+Fuel2ShrbyTech!C18/'Inputs 4-6 Gas'!$U30))</f>
        <v>1</v>
      </c>
      <c r="D17" s="1203">
        <f>IF('Mkt Pen Veh-Mi'!D17=0,1,1/((1-Fuel2ShrbyTech!D18)/'Inputs 4-6 Gas'!$P30+Fuel2ShrbyTech!D18/'Inputs 4-6 Gas'!$V30))</f>
        <v>1</v>
      </c>
      <c r="E17" s="1203">
        <f>IF('Mkt Pen Veh-Mi'!E17=0,1,1/((1-Fuel2ShrbyTech!E18)/'Inputs 4-6 Gas'!$Q30+Fuel2ShrbyTech!E18/'Inputs 4-6 Gas'!$W30))</f>
        <v>1</v>
      </c>
      <c r="F17" s="1203">
        <f>IF('Mkt Pen Veh-Mi'!F17=0,1,1/((1-Fuel2ShrbyTech!F18)/'Inputs 4-6 Gas'!$R30+Fuel2ShrbyTech!F18/'Inputs 4-6 Gas'!$X30))</f>
        <v>1</v>
      </c>
      <c r="G17" s="1204">
        <f>IF('Mkt Pen Veh-Mi'!G17=0,1,1/((1-Fuel2ShrbyTech!G18)/'Inputs 4-6 Gas'!$S30+Fuel2ShrbyTech!G18/'Inputs 4-6 Gas'!$Y30))</f>
        <v>1</v>
      </c>
      <c r="H17" s="1202">
        <f>IF('Mkt Pen Veh-Mi'!H17=0,1,1/((1-Fuel2ShrbyTech!H18)/'Inputs 4-6 Diesel'!$N30+Fuel2ShrbyTech!H18/'Inputs 4-6 Diesel'!$T30))</f>
        <v>8.7965277517014524</v>
      </c>
      <c r="I17" s="1203">
        <f>IF('Mkt Pen Veh-Mi'!I17=0,1,1/((1-Fuel2ShrbyTech!I18)/'Inputs 4-6 Diesel'!$O30+Fuel2ShrbyTech!I18/'Inputs 4-6 Diesel'!$U30))</f>
        <v>1</v>
      </c>
      <c r="J17" s="1203">
        <f>IF('Mkt Pen Veh-Mi'!J17=0,1,1/((1-Fuel2ShrbyTech!J18)/'Inputs 4-6 Diesel'!$P30+Fuel2ShrbyTech!J18/'Inputs 4-6 Diesel'!$V30))</f>
        <v>1</v>
      </c>
      <c r="K17" s="1203">
        <f>IF('Mkt Pen Veh-Mi'!K17=0,1,1/((1-Fuel2ShrbyTech!K18)/'Inputs 4-6 Diesel'!$Q30+Fuel2ShrbyTech!K18/'Inputs 4-6 Diesel'!$W30))</f>
        <v>1</v>
      </c>
      <c r="L17" s="1203">
        <f>IF('Mkt Pen Veh-Mi'!L17=0,1,1/((1-Fuel2ShrbyTech!L18)/'Inputs 4-6 Diesel'!$R30+Fuel2ShrbyTech!L18/'Inputs 4-6 Diesel'!$X30))</f>
        <v>1</v>
      </c>
      <c r="M17" s="1204">
        <f>IF('Mkt Pen Veh-Mi'!M17=0,1,1/((1-Fuel2ShrbyTech!M18)/'Inputs 4-6 Diesel'!$S30+Fuel2ShrbyTech!M18/'Inputs 4-6 Diesel'!$Y30))</f>
        <v>1</v>
      </c>
      <c r="O17" s="1201">
        <f t="shared" si="9"/>
        <v>2015</v>
      </c>
      <c r="P17" s="1202">
        <f t="shared" si="10"/>
        <v>5.6862370734326584</v>
      </c>
      <c r="Q17" s="1203">
        <f t="shared" si="11"/>
        <v>0</v>
      </c>
      <c r="R17" s="1203">
        <f t="shared" si="12"/>
        <v>0</v>
      </c>
      <c r="S17" s="1203">
        <f t="shared" si="13"/>
        <v>0</v>
      </c>
      <c r="T17" s="1203">
        <f t="shared" si="14"/>
        <v>0</v>
      </c>
      <c r="U17" s="1204">
        <f t="shared" si="15"/>
        <v>0</v>
      </c>
      <c r="V17" s="1202">
        <f t="shared" si="16"/>
        <v>8.7965277517014524</v>
      </c>
      <c r="W17" s="1203">
        <f t="shared" si="17"/>
        <v>0</v>
      </c>
      <c r="X17" s="1203">
        <f t="shared" si="18"/>
        <v>0</v>
      </c>
      <c r="Y17" s="1203">
        <f t="shared" si="19"/>
        <v>0</v>
      </c>
      <c r="Z17" s="1203">
        <f t="shared" si="20"/>
        <v>0</v>
      </c>
      <c r="AA17" s="1204">
        <f t="shared" si="21"/>
        <v>0</v>
      </c>
      <c r="AC17" s="1282" cm="1">
        <f t="array" ref="AC17">1/SUMPRODUCT(IFERROR(1/V17:AA17,0),'Mkt Pen Veh-Mi'!H17:M17)</f>
        <v>8.7965277517014524</v>
      </c>
      <c r="AD17" s="1283">
        <f t="shared" si="22"/>
        <v>1</v>
      </c>
    </row>
    <row r="18" spans="1:30" ht="15" x14ac:dyDescent="0.25">
      <c r="A18" s="1195">
        <v>2016</v>
      </c>
      <c r="B18" s="1205">
        <f>IF('Mkt Pen Veh-Mi'!B18=0,1,1/((1-Fuel2ShrbyTech!B19)/'Inputs 4-6 Gas'!$N31+Fuel2ShrbyTech!B19/'Inputs 4-6 Gas'!$T31))</f>
        <v>5.7993247585868284</v>
      </c>
      <c r="C18" s="1206">
        <f>IF('Mkt Pen Veh-Mi'!C18=0,1,1/((1-Fuel2ShrbyTech!C19)/'Inputs 4-6 Gas'!$O31+Fuel2ShrbyTech!C19/'Inputs 4-6 Gas'!$U31))</f>
        <v>1</v>
      </c>
      <c r="D18" s="1206">
        <f>IF('Mkt Pen Veh-Mi'!D18=0,1,1/((1-Fuel2ShrbyTech!D19)/'Inputs 4-6 Gas'!$P31+Fuel2ShrbyTech!D19/'Inputs 4-6 Gas'!$V31))</f>
        <v>1</v>
      </c>
      <c r="E18" s="1206">
        <f>IF('Mkt Pen Veh-Mi'!E18=0,1,1/((1-Fuel2ShrbyTech!E19)/'Inputs 4-6 Gas'!$Q31+Fuel2ShrbyTech!E19/'Inputs 4-6 Gas'!$W31))</f>
        <v>1</v>
      </c>
      <c r="F18" s="1206">
        <f>IF('Mkt Pen Veh-Mi'!F18=0,1,1/((1-Fuel2ShrbyTech!F19)/'Inputs 4-6 Gas'!$R31+Fuel2ShrbyTech!F19/'Inputs 4-6 Gas'!$X31))</f>
        <v>1</v>
      </c>
      <c r="G18" s="1207">
        <f>IF('Mkt Pen Veh-Mi'!G18=0,1,1/((1-Fuel2ShrbyTech!G19)/'Inputs 4-6 Gas'!$S31+Fuel2ShrbyTech!G19/'Inputs 4-6 Gas'!$Y31))</f>
        <v>1</v>
      </c>
      <c r="H18" s="1205">
        <f>IF('Mkt Pen Veh-Mi'!H18=0,1,1/((1-Fuel2ShrbyTech!H19)/'Inputs 4-6 Diesel'!$N31+Fuel2ShrbyTech!H19/'Inputs 4-6 Diesel'!$T31))</f>
        <v>8.9084074164027136</v>
      </c>
      <c r="I18" s="1206">
        <f>IF('Mkt Pen Veh-Mi'!I18=0,1,1/((1-Fuel2ShrbyTech!I19)/'Inputs 4-6 Diesel'!$O31+Fuel2ShrbyTech!I19/'Inputs 4-6 Diesel'!$U31))</f>
        <v>1</v>
      </c>
      <c r="J18" s="1206">
        <f>IF('Mkt Pen Veh-Mi'!J18=0,1,1/((1-Fuel2ShrbyTech!J19)/'Inputs 4-6 Diesel'!$P31+Fuel2ShrbyTech!J19/'Inputs 4-6 Diesel'!$V31))</f>
        <v>1</v>
      </c>
      <c r="K18" s="1206">
        <f>IF('Mkt Pen Veh-Mi'!K18=0,1,1/((1-Fuel2ShrbyTech!K19)/'Inputs 4-6 Diesel'!$Q31+Fuel2ShrbyTech!K19/'Inputs 4-6 Diesel'!$W31))</f>
        <v>1</v>
      </c>
      <c r="L18" s="1206">
        <f>IF('Mkt Pen Veh-Mi'!L18=0,1,1/((1-Fuel2ShrbyTech!L19)/'Inputs 4-6 Diesel'!$R31+Fuel2ShrbyTech!L19/'Inputs 4-6 Diesel'!$X31))</f>
        <v>1</v>
      </c>
      <c r="M18" s="1207">
        <f>IF('Mkt Pen Veh-Mi'!M18=0,1,1/((1-Fuel2ShrbyTech!M19)/'Inputs 4-6 Diesel'!$S31+Fuel2ShrbyTech!M19/'Inputs 4-6 Diesel'!$Y31))</f>
        <v>1</v>
      </c>
      <c r="O18" s="1195">
        <f t="shared" si="9"/>
        <v>2016</v>
      </c>
      <c r="P18" s="1205">
        <f t="shared" si="10"/>
        <v>5.7993247585868284</v>
      </c>
      <c r="Q18" s="1206">
        <f t="shared" si="11"/>
        <v>0</v>
      </c>
      <c r="R18" s="1206">
        <f t="shared" si="12"/>
        <v>0</v>
      </c>
      <c r="S18" s="1206">
        <f t="shared" si="13"/>
        <v>0</v>
      </c>
      <c r="T18" s="1206">
        <f t="shared" si="14"/>
        <v>0</v>
      </c>
      <c r="U18" s="1207">
        <f t="shared" si="15"/>
        <v>0</v>
      </c>
      <c r="V18" s="1205">
        <f t="shared" si="16"/>
        <v>8.9084074164027136</v>
      </c>
      <c r="W18" s="1206">
        <f t="shared" si="17"/>
        <v>0</v>
      </c>
      <c r="X18" s="1206">
        <f t="shared" si="18"/>
        <v>0</v>
      </c>
      <c r="Y18" s="1206">
        <f t="shared" si="19"/>
        <v>0</v>
      </c>
      <c r="Z18" s="1206">
        <f t="shared" si="20"/>
        <v>0</v>
      </c>
      <c r="AA18" s="1207">
        <f t="shared" si="21"/>
        <v>0</v>
      </c>
      <c r="AC18" s="1282" cm="1">
        <f t="array" ref="AC18">1/SUMPRODUCT(IFERROR(1/V18:AA18,0),'Mkt Pen Veh-Mi'!H18:M18)</f>
        <v>8.9084074164027136</v>
      </c>
      <c r="AD18" s="1283">
        <f t="shared" si="22"/>
        <v>1</v>
      </c>
    </row>
    <row r="19" spans="1:30" ht="15" x14ac:dyDescent="0.25">
      <c r="A19" s="1195">
        <v>2017</v>
      </c>
      <c r="B19" s="1196">
        <f>IF('Mkt Pen Veh-Mi'!B19=0,1,1/((1-Fuel2ShrbyTech!B20)/'Inputs 4-6 Gas'!$N32+Fuel2ShrbyTech!B20/'Inputs 4-6 Gas'!$T32))</f>
        <v>5.92748522868302</v>
      </c>
      <c r="C19" s="1199">
        <f>IF('Mkt Pen Veh-Mi'!C19=0,1,1/((1-Fuel2ShrbyTech!C20)/'Inputs 4-6 Gas'!$O32+Fuel2ShrbyTech!C20/'Inputs 4-6 Gas'!$U32))</f>
        <v>1</v>
      </c>
      <c r="D19" s="1199">
        <f>IF('Mkt Pen Veh-Mi'!D19=0,1,1/((1-Fuel2ShrbyTech!D20)/'Inputs 4-6 Gas'!$P32+Fuel2ShrbyTech!D20/'Inputs 4-6 Gas'!$V32))</f>
        <v>1</v>
      </c>
      <c r="E19" s="1199">
        <f>IF('Mkt Pen Veh-Mi'!E19=0,1,1/((1-Fuel2ShrbyTech!E20)/'Inputs 4-6 Gas'!$Q32+Fuel2ShrbyTech!E20/'Inputs 4-6 Gas'!$W32))</f>
        <v>1</v>
      </c>
      <c r="F19" s="1199">
        <f>IF('Mkt Pen Veh-Mi'!F19=0,1,1/((1-Fuel2ShrbyTech!F20)/'Inputs 4-6 Gas'!$R32+Fuel2ShrbyTech!F20/'Inputs 4-6 Gas'!$X32))</f>
        <v>1</v>
      </c>
      <c r="G19" s="1200">
        <f>IF('Mkt Pen Veh-Mi'!G19=0,1,1/((1-Fuel2ShrbyTech!G20)/'Inputs 4-6 Gas'!$S32+Fuel2ShrbyTech!G20/'Inputs 4-6 Gas'!$Y32))</f>
        <v>1</v>
      </c>
      <c r="H19" s="1196">
        <f>IF('Mkt Pen Veh-Mi'!H19=0,1,1/((1-Fuel2ShrbyTech!H20)/'Inputs 4-6 Diesel'!$N32+Fuel2ShrbyTech!H20/'Inputs 4-6 Diesel'!$T32))</f>
        <v>9.1113967350237353</v>
      </c>
      <c r="I19" s="1199">
        <f>IF('Mkt Pen Veh-Mi'!I19=0,1,1/((1-Fuel2ShrbyTech!I20)/'Inputs 4-6 Diesel'!$O32+Fuel2ShrbyTech!I20/'Inputs 4-6 Diesel'!$U32))</f>
        <v>1</v>
      </c>
      <c r="J19" s="1199">
        <f>IF('Mkt Pen Veh-Mi'!J19=0,1,1/((1-Fuel2ShrbyTech!J20)/'Inputs 4-6 Diesel'!$P32+Fuel2ShrbyTech!J20/'Inputs 4-6 Diesel'!$V32))</f>
        <v>1</v>
      </c>
      <c r="K19" s="1199">
        <f>IF('Mkt Pen Veh-Mi'!K19=0,1,1/((1-Fuel2ShrbyTech!K20)/'Inputs 4-6 Diesel'!$Q32+Fuel2ShrbyTech!K20/'Inputs 4-6 Diesel'!$W32))</f>
        <v>1</v>
      </c>
      <c r="L19" s="1199">
        <f>IF('Mkt Pen Veh-Mi'!L19=0,1,1/((1-Fuel2ShrbyTech!L20)/'Inputs 4-6 Diesel'!$R32+Fuel2ShrbyTech!L20/'Inputs 4-6 Diesel'!$X32))</f>
        <v>1</v>
      </c>
      <c r="M19" s="1200">
        <f>IF('Mkt Pen Veh-Mi'!M19=0,1,1/((1-Fuel2ShrbyTech!M20)/'Inputs 4-6 Diesel'!$S32+Fuel2ShrbyTech!M20/'Inputs 4-6 Diesel'!$Y32))</f>
        <v>1</v>
      </c>
      <c r="O19" s="1195">
        <f t="shared" si="9"/>
        <v>2017</v>
      </c>
      <c r="P19" s="1196">
        <f t="shared" si="10"/>
        <v>5.92748522868302</v>
      </c>
      <c r="Q19" s="1199">
        <f t="shared" si="11"/>
        <v>0</v>
      </c>
      <c r="R19" s="1199">
        <f t="shared" si="12"/>
        <v>0</v>
      </c>
      <c r="S19" s="1199">
        <f t="shared" si="13"/>
        <v>0</v>
      </c>
      <c r="T19" s="1199">
        <f t="shared" si="14"/>
        <v>0</v>
      </c>
      <c r="U19" s="1200">
        <f t="shared" si="15"/>
        <v>0</v>
      </c>
      <c r="V19" s="1196">
        <f t="shared" si="16"/>
        <v>9.1113967350237353</v>
      </c>
      <c r="W19" s="1199">
        <f t="shared" si="17"/>
        <v>0</v>
      </c>
      <c r="X19" s="1199">
        <f t="shared" si="18"/>
        <v>0</v>
      </c>
      <c r="Y19" s="1199">
        <f t="shared" si="19"/>
        <v>0</v>
      </c>
      <c r="Z19" s="1199">
        <f t="shared" si="20"/>
        <v>0</v>
      </c>
      <c r="AA19" s="1200">
        <f t="shared" si="21"/>
        <v>0</v>
      </c>
      <c r="AC19" s="1282" cm="1">
        <f t="array" ref="AC19">1/SUMPRODUCT(IFERROR(1/V19:AA19,0),'Mkt Pen Veh-Mi'!H19:M19)</f>
        <v>9.1113967350237353</v>
      </c>
      <c r="AD19" s="1283">
        <f t="shared" si="22"/>
        <v>1</v>
      </c>
    </row>
    <row r="20" spans="1:30" ht="15" x14ac:dyDescent="0.25">
      <c r="A20" s="1195">
        <v>2018</v>
      </c>
      <c r="B20" s="1196">
        <f>IF('Mkt Pen Veh-Mi'!B20=0,1,1/((1-Fuel2ShrbyTech!B21)/'Inputs 4-6 Gas'!$N33+Fuel2ShrbyTech!B21/'Inputs 4-6 Gas'!$T33))</f>
        <v>6.0434138558887955</v>
      </c>
      <c r="C20" s="1199">
        <f>IF('Mkt Pen Veh-Mi'!C20=0,1,1/((1-Fuel2ShrbyTech!C21)/'Inputs 4-6 Gas'!$O33+Fuel2ShrbyTech!C21/'Inputs 4-6 Gas'!$U33))</f>
        <v>1</v>
      </c>
      <c r="D20" s="1199">
        <f>IF('Mkt Pen Veh-Mi'!D20=0,1,1/((1-Fuel2ShrbyTech!D21)/'Inputs 4-6 Gas'!$P33+Fuel2ShrbyTech!D21/'Inputs 4-6 Gas'!$V33))</f>
        <v>1</v>
      </c>
      <c r="E20" s="1199">
        <f>IF('Mkt Pen Veh-Mi'!E20=0,1,1/((1-Fuel2ShrbyTech!E21)/'Inputs 4-6 Gas'!$Q33+Fuel2ShrbyTech!E21/'Inputs 4-6 Gas'!$W33))</f>
        <v>1</v>
      </c>
      <c r="F20" s="1199">
        <f>IF('Mkt Pen Veh-Mi'!F20=0,1,1/((1-Fuel2ShrbyTech!F21)/'Inputs 4-6 Gas'!$R33+Fuel2ShrbyTech!F21/'Inputs 4-6 Gas'!$X33))</f>
        <v>1</v>
      </c>
      <c r="G20" s="1200">
        <f>IF('Mkt Pen Veh-Mi'!G20=0,1,1/((1-Fuel2ShrbyTech!G21)/'Inputs 4-6 Gas'!$S33+Fuel2ShrbyTech!G21/'Inputs 4-6 Gas'!$Y33))</f>
        <v>1</v>
      </c>
      <c r="H20" s="1196">
        <f>IF('Mkt Pen Veh-Mi'!H20=0,1,1/((1-Fuel2ShrbyTech!H21)/'Inputs 4-6 Diesel'!$N33+Fuel2ShrbyTech!H21/'Inputs 4-6 Diesel'!$T33))</f>
        <v>9.6034986562454456</v>
      </c>
      <c r="I20" s="1199">
        <f>IF('Mkt Pen Veh-Mi'!I20=0,1,1/((1-Fuel2ShrbyTech!I21)/'Inputs 4-6 Diesel'!$O33+Fuel2ShrbyTech!I21/'Inputs 4-6 Diesel'!$U33))</f>
        <v>1</v>
      </c>
      <c r="J20" s="1199">
        <f>IF('Mkt Pen Veh-Mi'!J20=0,1,1/((1-Fuel2ShrbyTech!J21)/'Inputs 4-6 Diesel'!$P33+Fuel2ShrbyTech!J21/'Inputs 4-6 Diesel'!$V33))</f>
        <v>1</v>
      </c>
      <c r="K20" s="1199">
        <f>IF('Mkt Pen Veh-Mi'!K20=0,1,1/((1-Fuel2ShrbyTech!K21)/'Inputs 4-6 Diesel'!$Q33+Fuel2ShrbyTech!K21/'Inputs 4-6 Diesel'!$W33))</f>
        <v>1</v>
      </c>
      <c r="L20" s="1199">
        <f>IF('Mkt Pen Veh-Mi'!L20=0,1,1/((1-Fuel2ShrbyTech!L21)/'Inputs 4-6 Diesel'!$R33+Fuel2ShrbyTech!L21/'Inputs 4-6 Diesel'!$X33))</f>
        <v>1</v>
      </c>
      <c r="M20" s="1200">
        <f>IF('Mkt Pen Veh-Mi'!M20=0,1,1/((1-Fuel2ShrbyTech!M21)/'Inputs 4-6 Diesel'!$S33+Fuel2ShrbyTech!M21/'Inputs 4-6 Diesel'!$Y33))</f>
        <v>1</v>
      </c>
      <c r="O20" s="1195">
        <f t="shared" si="9"/>
        <v>2018</v>
      </c>
      <c r="P20" s="1196">
        <f t="shared" si="10"/>
        <v>6.0434138558887955</v>
      </c>
      <c r="Q20" s="1199">
        <f t="shared" si="11"/>
        <v>0</v>
      </c>
      <c r="R20" s="1199">
        <f t="shared" si="12"/>
        <v>0</v>
      </c>
      <c r="S20" s="1199">
        <f t="shared" si="13"/>
        <v>0</v>
      </c>
      <c r="T20" s="1199">
        <f t="shared" si="14"/>
        <v>0</v>
      </c>
      <c r="U20" s="1200">
        <f t="shared" si="15"/>
        <v>0</v>
      </c>
      <c r="V20" s="1196">
        <f t="shared" si="16"/>
        <v>9.6034986562454456</v>
      </c>
      <c r="W20" s="1199">
        <f t="shared" si="17"/>
        <v>0</v>
      </c>
      <c r="X20" s="1199">
        <f t="shared" si="18"/>
        <v>0</v>
      </c>
      <c r="Y20" s="1199">
        <f t="shared" si="19"/>
        <v>0</v>
      </c>
      <c r="Z20" s="1199">
        <f t="shared" si="20"/>
        <v>0</v>
      </c>
      <c r="AA20" s="1200">
        <f t="shared" si="21"/>
        <v>0</v>
      </c>
      <c r="AC20" s="1282" cm="1">
        <f t="array" ref="AC20">1/SUMPRODUCT(IFERROR(1/V20:AA20,0),'Mkt Pen Veh-Mi'!H20:M20)</f>
        <v>9.6034986562454456</v>
      </c>
      <c r="AD20" s="1283">
        <f t="shared" si="22"/>
        <v>1</v>
      </c>
    </row>
    <row r="21" spans="1:30" ht="15" x14ac:dyDescent="0.25">
      <c r="A21" s="1195">
        <v>2019</v>
      </c>
      <c r="B21" s="1196">
        <f>IF('Mkt Pen Veh-Mi'!B21=0,1,1/((1-Fuel2ShrbyTech!B22)/'Inputs 4-6 Gas'!$N34+Fuel2ShrbyTech!B22/'Inputs 4-6 Gas'!$T34))</f>
        <v>6.0517299050653381</v>
      </c>
      <c r="C21" s="1199">
        <f>IF('Mkt Pen Veh-Mi'!C21=0,1,1/((1-Fuel2ShrbyTech!C22)/'Inputs 4-6 Gas'!$O34+Fuel2ShrbyTech!C22/'Inputs 4-6 Gas'!$U34))</f>
        <v>1</v>
      </c>
      <c r="D21" s="1199">
        <f>IF('Mkt Pen Veh-Mi'!D21=0,1,1/((1-Fuel2ShrbyTech!D22)/'Inputs 4-6 Gas'!$P34+Fuel2ShrbyTech!D22/'Inputs 4-6 Gas'!$V34))</f>
        <v>1</v>
      </c>
      <c r="E21" s="1199">
        <f>IF('Mkt Pen Veh-Mi'!E21=0,1,1/((1-Fuel2ShrbyTech!E22)/'Inputs 4-6 Gas'!$Q34+Fuel2ShrbyTech!E22/'Inputs 4-6 Gas'!$W34))</f>
        <v>1</v>
      </c>
      <c r="F21" s="1199">
        <f>IF('Mkt Pen Veh-Mi'!F21=0,1,1/((1-Fuel2ShrbyTech!F22)/'Inputs 4-6 Gas'!$R34+Fuel2ShrbyTech!F22/'Inputs 4-6 Gas'!$X34))</f>
        <v>1</v>
      </c>
      <c r="G21" s="1200">
        <f>IF('Mkt Pen Veh-Mi'!G21=0,1,1/((1-Fuel2ShrbyTech!G22)/'Inputs 4-6 Gas'!$S34+Fuel2ShrbyTech!G22/'Inputs 4-6 Gas'!$Y34))</f>
        <v>1</v>
      </c>
      <c r="H21" s="1196">
        <f>IF('Mkt Pen Veh-Mi'!H21=0,1,1/((1-Fuel2ShrbyTech!H22)/'Inputs 4-6 Diesel'!$N34+Fuel2ShrbyTech!H22/'Inputs 4-6 Diesel'!$T34))</f>
        <v>9.6335882118658933</v>
      </c>
      <c r="I21" s="1199">
        <f>IF('Mkt Pen Veh-Mi'!I21=0,1,1/((1-Fuel2ShrbyTech!I22)/'Inputs 4-6 Diesel'!$O34+Fuel2ShrbyTech!I22/'Inputs 4-6 Diesel'!$U34))</f>
        <v>1</v>
      </c>
      <c r="J21" s="1199">
        <f>IF('Mkt Pen Veh-Mi'!J21=0,1,1/((1-Fuel2ShrbyTech!J22)/'Inputs 4-6 Diesel'!$P34+Fuel2ShrbyTech!J22/'Inputs 4-6 Diesel'!$V34))</f>
        <v>1</v>
      </c>
      <c r="K21" s="1199">
        <f>IF('Mkt Pen Veh-Mi'!K21=0,1,1/((1-Fuel2ShrbyTech!K22)/'Inputs 4-6 Diesel'!$Q34+Fuel2ShrbyTech!K22/'Inputs 4-6 Diesel'!$W34))</f>
        <v>1</v>
      </c>
      <c r="L21" s="1199">
        <f>IF('Mkt Pen Veh-Mi'!L21=0,1,1/((1-Fuel2ShrbyTech!L22)/'Inputs 4-6 Diesel'!$R34+Fuel2ShrbyTech!L22/'Inputs 4-6 Diesel'!$X34))</f>
        <v>1</v>
      </c>
      <c r="M21" s="1200">
        <f>IF('Mkt Pen Veh-Mi'!M21=0,1,1/((1-Fuel2ShrbyTech!M22)/'Inputs 4-6 Diesel'!$S34+Fuel2ShrbyTech!M22/'Inputs 4-6 Diesel'!$Y34))</f>
        <v>1</v>
      </c>
      <c r="O21" s="1195">
        <f t="shared" si="9"/>
        <v>2019</v>
      </c>
      <c r="P21" s="1196">
        <f t="shared" si="10"/>
        <v>6.0517299050653381</v>
      </c>
      <c r="Q21" s="1199">
        <f t="shared" si="11"/>
        <v>0</v>
      </c>
      <c r="R21" s="1199">
        <f t="shared" si="12"/>
        <v>0</v>
      </c>
      <c r="S21" s="1199">
        <f t="shared" si="13"/>
        <v>0</v>
      </c>
      <c r="T21" s="1199">
        <f t="shared" si="14"/>
        <v>0</v>
      </c>
      <c r="U21" s="1200">
        <f t="shared" si="15"/>
        <v>0</v>
      </c>
      <c r="V21" s="1196">
        <f t="shared" si="16"/>
        <v>9.6335882118658933</v>
      </c>
      <c r="W21" s="1199">
        <f t="shared" si="17"/>
        <v>0</v>
      </c>
      <c r="X21" s="1199">
        <f t="shared" si="18"/>
        <v>0</v>
      </c>
      <c r="Y21" s="1199">
        <f t="shared" si="19"/>
        <v>0</v>
      </c>
      <c r="Z21" s="1199">
        <f t="shared" si="20"/>
        <v>0</v>
      </c>
      <c r="AA21" s="1200">
        <f t="shared" si="21"/>
        <v>0</v>
      </c>
      <c r="AC21" s="1282" cm="1">
        <f t="array" ref="AC21">1/SUMPRODUCT(IFERROR(1/V21:AA21,0),'Mkt Pen Veh-Mi'!H21:M21)</f>
        <v>9.6335882118658933</v>
      </c>
      <c r="AD21" s="1283">
        <f t="shared" si="22"/>
        <v>1</v>
      </c>
    </row>
    <row r="22" spans="1:30" ht="15" x14ac:dyDescent="0.25">
      <c r="A22" s="1201">
        <v>2020</v>
      </c>
      <c r="B22" s="1202">
        <f>IF('Mkt Pen Veh-Mi'!B22=0,1,1/((1-Fuel2ShrbyTech!B23)/'Inputs 4-6 Gas'!$N35+Fuel2ShrbyTech!B23/'Inputs 4-6 Gas'!$T35))</f>
        <v>6.0617991424237987</v>
      </c>
      <c r="C22" s="1203">
        <f>IF('Mkt Pen Veh-Mi'!C22=0,1,1/((1-Fuel2ShrbyTech!C23)/'Inputs 4-6 Gas'!$O35+Fuel2ShrbyTech!C23/'Inputs 4-6 Gas'!$U35))</f>
        <v>1</v>
      </c>
      <c r="D22" s="1203">
        <f>IF('Mkt Pen Veh-Mi'!D22=0,1,1/((1-Fuel2ShrbyTech!D23)/'Inputs 4-6 Gas'!$P35+Fuel2ShrbyTech!D23/'Inputs 4-6 Gas'!$V35))</f>
        <v>1</v>
      </c>
      <c r="E22" s="1203">
        <f>IF('Mkt Pen Veh-Mi'!E22=0,1,1/((1-Fuel2ShrbyTech!E23)/'Inputs 4-6 Gas'!$Q35+Fuel2ShrbyTech!E23/'Inputs 4-6 Gas'!$W35))</f>
        <v>1</v>
      </c>
      <c r="F22" s="1203">
        <f>IF('Mkt Pen Veh-Mi'!F22=0,1,1/((1-Fuel2ShrbyTech!F23)/'Inputs 4-6 Gas'!$R35+Fuel2ShrbyTech!F23/'Inputs 4-6 Gas'!$X35))</f>
        <v>1</v>
      </c>
      <c r="G22" s="1204">
        <f>IF('Mkt Pen Veh-Mi'!G22=0,1,1/((1-Fuel2ShrbyTech!G23)/'Inputs 4-6 Gas'!$S35+Fuel2ShrbyTech!G23/'Inputs 4-6 Gas'!$Y35))</f>
        <v>1</v>
      </c>
      <c r="H22" s="1202">
        <f>IF('Mkt Pen Veh-Mi'!H22=0,1,1/((1-Fuel2ShrbyTech!H23)/'Inputs 4-6 Diesel'!$N35+Fuel2ShrbyTech!H23/'Inputs 4-6 Diesel'!$T35))</f>
        <v>9.6735766739433959</v>
      </c>
      <c r="I22" s="1203">
        <f>IF('Mkt Pen Veh-Mi'!I22=0,1,1/((1-Fuel2ShrbyTech!I23)/'Inputs 4-6 Diesel'!$O35+Fuel2ShrbyTech!I23/'Inputs 4-6 Diesel'!$U35))</f>
        <v>1</v>
      </c>
      <c r="J22" s="1203">
        <f>IF('Mkt Pen Veh-Mi'!J22=0,1,1/((1-Fuel2ShrbyTech!J23)/'Inputs 4-6 Diesel'!$P35+Fuel2ShrbyTech!J23/'Inputs 4-6 Diesel'!$V35))</f>
        <v>1</v>
      </c>
      <c r="K22" s="1203">
        <f>IF('Mkt Pen Veh-Mi'!K22=0,1,1/((1-Fuel2ShrbyTech!K23)/'Inputs 4-6 Diesel'!$Q35+Fuel2ShrbyTech!K23/'Inputs 4-6 Diesel'!$W35))</f>
        <v>1</v>
      </c>
      <c r="L22" s="1203">
        <f>IF('Mkt Pen Veh-Mi'!L22=0,1,1/((1-Fuel2ShrbyTech!L23)/'Inputs 4-6 Diesel'!$R35+Fuel2ShrbyTech!L23/'Inputs 4-6 Diesel'!$X35))</f>
        <v>1</v>
      </c>
      <c r="M22" s="1204">
        <f>IF('Mkt Pen Veh-Mi'!M22=0,1,1/((1-Fuel2ShrbyTech!M23)/'Inputs 4-6 Diesel'!$S35+Fuel2ShrbyTech!M23/'Inputs 4-6 Diesel'!$Y35))</f>
        <v>1</v>
      </c>
      <c r="O22" s="1201">
        <f t="shared" si="9"/>
        <v>2020</v>
      </c>
      <c r="P22" s="1202">
        <f t="shared" si="10"/>
        <v>6.0617991424237987</v>
      </c>
      <c r="Q22" s="1203">
        <f t="shared" si="11"/>
        <v>0</v>
      </c>
      <c r="R22" s="1203">
        <f t="shared" si="12"/>
        <v>0</v>
      </c>
      <c r="S22" s="1203">
        <f t="shared" si="13"/>
        <v>0</v>
      </c>
      <c r="T22" s="1203">
        <f t="shared" si="14"/>
        <v>0</v>
      </c>
      <c r="U22" s="1204">
        <f t="shared" si="15"/>
        <v>0</v>
      </c>
      <c r="V22" s="1202">
        <f t="shared" si="16"/>
        <v>9.6735766739433959</v>
      </c>
      <c r="W22" s="1203">
        <f t="shared" si="17"/>
        <v>0</v>
      </c>
      <c r="X22" s="1203">
        <f t="shared" si="18"/>
        <v>0</v>
      </c>
      <c r="Y22" s="1203">
        <f t="shared" si="19"/>
        <v>0</v>
      </c>
      <c r="Z22" s="1203">
        <f t="shared" si="20"/>
        <v>0</v>
      </c>
      <c r="AA22" s="1204">
        <f t="shared" si="21"/>
        <v>0</v>
      </c>
      <c r="AC22" s="1282" cm="1">
        <f t="array" ref="AC22">1/SUMPRODUCT(IFERROR(1/V22:AA22,0),'Mkt Pen Veh-Mi'!H22:M22)</f>
        <v>9.6735766739433959</v>
      </c>
      <c r="AD22" s="1283">
        <f t="shared" si="22"/>
        <v>1</v>
      </c>
    </row>
    <row r="23" spans="1:30" ht="15" x14ac:dyDescent="0.25">
      <c r="A23" s="1195">
        <v>2021</v>
      </c>
      <c r="B23" s="1205">
        <f>IF('Mkt Pen Veh-Mi'!B23=0,1,1/((1-Fuel2ShrbyTech!B24)/'Inputs 4-6 Gas'!$N36+Fuel2ShrbyTech!B24/'Inputs 4-6 Gas'!$T36))</f>
        <v>6.0698882545031161</v>
      </c>
      <c r="C23" s="1206">
        <f>IF('Mkt Pen Veh-Mi'!C23=0,1,1/((1-Fuel2ShrbyTech!C24)/'Inputs 4-6 Gas'!$O36+Fuel2ShrbyTech!C24/'Inputs 4-6 Gas'!$U36))</f>
        <v>1</v>
      </c>
      <c r="D23" s="1206">
        <f>IF('Mkt Pen Veh-Mi'!D23=0,1,1/((1-Fuel2ShrbyTech!D24)/'Inputs 4-6 Gas'!$P36+Fuel2ShrbyTech!D24/'Inputs 4-6 Gas'!$V36))</f>
        <v>1</v>
      </c>
      <c r="E23" s="1206">
        <f>IF('Mkt Pen Veh-Mi'!E23=0,1,1/((1-Fuel2ShrbyTech!E24)/'Inputs 4-6 Gas'!$Q36+Fuel2ShrbyTech!E24/'Inputs 4-6 Gas'!$W36))</f>
        <v>1</v>
      </c>
      <c r="F23" s="1206">
        <f>IF('Mkt Pen Veh-Mi'!F23=0,1,1/((1-Fuel2ShrbyTech!F24)/'Inputs 4-6 Gas'!$R36+Fuel2ShrbyTech!F24/'Inputs 4-6 Gas'!$X36))</f>
        <v>1</v>
      </c>
      <c r="G23" s="1207">
        <f>IF('Mkt Pen Veh-Mi'!G23=0,1,1/((1-Fuel2ShrbyTech!G24)/'Inputs 4-6 Gas'!$S36+Fuel2ShrbyTech!G24/'Inputs 4-6 Gas'!$Y36))</f>
        <v>1</v>
      </c>
      <c r="H23" s="1205">
        <f>IF('Mkt Pen Veh-Mi'!H23=0,1,1/((1-Fuel2ShrbyTech!H24)/'Inputs 4-6 Diesel'!$N36+Fuel2ShrbyTech!H24/'Inputs 4-6 Diesel'!$T36))</f>
        <v>9.993194235359379</v>
      </c>
      <c r="I23" s="1206">
        <f>IF('Mkt Pen Veh-Mi'!I23=0,1,1/((1-Fuel2ShrbyTech!I24)/'Inputs 4-6 Diesel'!$O36+Fuel2ShrbyTech!I24/'Inputs 4-6 Diesel'!$U36))</f>
        <v>1</v>
      </c>
      <c r="J23" s="1206">
        <f>IF('Mkt Pen Veh-Mi'!J23=0,1,1/((1-Fuel2ShrbyTech!J24)/'Inputs 4-6 Diesel'!$P36+Fuel2ShrbyTech!J24/'Inputs 4-6 Diesel'!$V36))</f>
        <v>1</v>
      </c>
      <c r="K23" s="1206">
        <f>IF('Mkt Pen Veh-Mi'!K23=0,1,1/((1-Fuel2ShrbyTech!K24)/'Inputs 4-6 Diesel'!$Q36+Fuel2ShrbyTech!K24/'Inputs 4-6 Diesel'!$W36))</f>
        <v>1</v>
      </c>
      <c r="L23" s="1206">
        <f>IF('Mkt Pen Veh-Mi'!L23=0,1,1/((1-Fuel2ShrbyTech!L24)/'Inputs 4-6 Diesel'!$R36+Fuel2ShrbyTech!L24/'Inputs 4-6 Diesel'!$X36))</f>
        <v>1</v>
      </c>
      <c r="M23" s="1207">
        <f>IF('Mkt Pen Veh-Mi'!M23=0,1,1/((1-Fuel2ShrbyTech!M24)/'Inputs 4-6 Diesel'!$S36+Fuel2ShrbyTech!M24/'Inputs 4-6 Diesel'!$Y36))</f>
        <v>1</v>
      </c>
      <c r="O23" s="1195">
        <f t="shared" si="9"/>
        <v>2021</v>
      </c>
      <c r="P23" s="1205">
        <f t="shared" si="10"/>
        <v>6.0698882545031161</v>
      </c>
      <c r="Q23" s="1206">
        <f t="shared" si="11"/>
        <v>0</v>
      </c>
      <c r="R23" s="1206">
        <f t="shared" si="12"/>
        <v>0</v>
      </c>
      <c r="S23" s="1206">
        <f t="shared" si="13"/>
        <v>0</v>
      </c>
      <c r="T23" s="1206">
        <f t="shared" si="14"/>
        <v>0</v>
      </c>
      <c r="U23" s="1207">
        <f t="shared" si="15"/>
        <v>0</v>
      </c>
      <c r="V23" s="1205">
        <f t="shared" si="16"/>
        <v>9.993194235359379</v>
      </c>
      <c r="W23" s="1206">
        <f t="shared" si="17"/>
        <v>0</v>
      </c>
      <c r="X23" s="1206">
        <f t="shared" si="18"/>
        <v>0</v>
      </c>
      <c r="Y23" s="1206">
        <f t="shared" si="19"/>
        <v>0</v>
      </c>
      <c r="Z23" s="1206">
        <f t="shared" si="20"/>
        <v>0</v>
      </c>
      <c r="AA23" s="1207">
        <f t="shared" si="21"/>
        <v>0</v>
      </c>
      <c r="AC23" s="1282" cm="1">
        <f t="array" ref="AC23">1/SUMPRODUCT(IFERROR(1/V23:AA23,0),'Mkt Pen Veh-Mi'!H23:M23)</f>
        <v>9.993194235359379</v>
      </c>
      <c r="AD23" s="1283">
        <f t="shared" si="22"/>
        <v>1</v>
      </c>
    </row>
    <row r="24" spans="1:30" ht="15" x14ac:dyDescent="0.25">
      <c r="A24" s="1195">
        <v>2022</v>
      </c>
      <c r="B24" s="1196">
        <f>IF('Mkt Pen Veh-Mi'!B24=0,1,1/((1-Fuel2ShrbyTech!B25)/'Inputs 4-6 Gas'!$N37+Fuel2ShrbyTech!B25/'Inputs 4-6 Gas'!$T37))</f>
        <v>6.0697511411601228</v>
      </c>
      <c r="C24" s="1199">
        <f>IF('Mkt Pen Veh-Mi'!C24=0,1,1/((1-Fuel2ShrbyTech!C25)/'Inputs 4-6 Gas'!$O37+Fuel2ShrbyTech!C25/'Inputs 4-6 Gas'!$U37))</f>
        <v>1</v>
      </c>
      <c r="D24" s="1199">
        <f>IF('Mkt Pen Veh-Mi'!D24=0,1,1/((1-Fuel2ShrbyTech!D25)/'Inputs 4-6 Gas'!$P37+Fuel2ShrbyTech!D25/'Inputs 4-6 Gas'!$V37))</f>
        <v>1</v>
      </c>
      <c r="E24" s="1199">
        <f>IF('Mkt Pen Veh-Mi'!E24=0,1,1/((1-Fuel2ShrbyTech!E25)/'Inputs 4-6 Gas'!$Q37+Fuel2ShrbyTech!E25/'Inputs 4-6 Gas'!$W37))</f>
        <v>1</v>
      </c>
      <c r="F24" s="1199">
        <f>IF('Mkt Pen Veh-Mi'!F24=0,1,1/((1-Fuel2ShrbyTech!F25)/'Inputs 4-6 Gas'!$R37+Fuel2ShrbyTech!F25/'Inputs 4-6 Gas'!$X37))</f>
        <v>1</v>
      </c>
      <c r="G24" s="1200">
        <f>IF('Mkt Pen Veh-Mi'!G24=0,1,1/((1-Fuel2ShrbyTech!G25)/'Inputs 4-6 Gas'!$S37+Fuel2ShrbyTech!G25/'Inputs 4-6 Gas'!$Y37))</f>
        <v>1</v>
      </c>
      <c r="H24" s="1196">
        <f>IF('Mkt Pen Veh-Mi'!H24=0,1,1/((1-Fuel2ShrbyTech!H25)/'Inputs 4-6 Diesel'!$N37+Fuel2ShrbyTech!H25/'Inputs 4-6 Diesel'!$T37))</f>
        <v>10.175060148623018</v>
      </c>
      <c r="I24" s="1199">
        <f>IF('Mkt Pen Veh-Mi'!I24=0,1,1/((1-Fuel2ShrbyTech!I25)/'Inputs 4-6 Diesel'!$O37+Fuel2ShrbyTech!I25/'Inputs 4-6 Diesel'!$U37))</f>
        <v>1</v>
      </c>
      <c r="J24" s="1199">
        <f>IF('Mkt Pen Veh-Mi'!J24=0,1,1/((1-Fuel2ShrbyTech!J25)/'Inputs 4-6 Diesel'!$P37+Fuel2ShrbyTech!J25/'Inputs 4-6 Diesel'!$V37))</f>
        <v>1</v>
      </c>
      <c r="K24" s="1199">
        <f>IF('Mkt Pen Veh-Mi'!K24=0,1,1/((1-Fuel2ShrbyTech!K25)/'Inputs 4-6 Diesel'!$Q37+Fuel2ShrbyTech!K25/'Inputs 4-6 Diesel'!$W37))</f>
        <v>1</v>
      </c>
      <c r="L24" s="1199">
        <f>IF('Mkt Pen Veh-Mi'!L24=0,1,1/((1-Fuel2ShrbyTech!L25)/'Inputs 4-6 Diesel'!$R37+Fuel2ShrbyTech!L25/'Inputs 4-6 Diesel'!$X37))</f>
        <v>1</v>
      </c>
      <c r="M24" s="1200">
        <f>IF('Mkt Pen Veh-Mi'!M24=0,1,1/((1-Fuel2ShrbyTech!M25)/'Inputs 4-6 Diesel'!$S37+Fuel2ShrbyTech!M25/'Inputs 4-6 Diesel'!$Y37))</f>
        <v>1</v>
      </c>
      <c r="O24" s="1195">
        <f t="shared" si="9"/>
        <v>2022</v>
      </c>
      <c r="P24" s="1196">
        <f t="shared" si="10"/>
        <v>6.0697511411601228</v>
      </c>
      <c r="Q24" s="1199">
        <f t="shared" si="11"/>
        <v>0</v>
      </c>
      <c r="R24" s="1199">
        <f t="shared" si="12"/>
        <v>0</v>
      </c>
      <c r="S24" s="1199">
        <f t="shared" si="13"/>
        <v>0</v>
      </c>
      <c r="T24" s="1199">
        <f t="shared" si="14"/>
        <v>0</v>
      </c>
      <c r="U24" s="1200">
        <f t="shared" si="15"/>
        <v>0</v>
      </c>
      <c r="V24" s="1196">
        <f t="shared" si="16"/>
        <v>10.175060148623018</v>
      </c>
      <c r="W24" s="1199">
        <f t="shared" si="17"/>
        <v>0</v>
      </c>
      <c r="X24" s="1199">
        <f t="shared" si="18"/>
        <v>0</v>
      </c>
      <c r="Y24" s="1199">
        <f t="shared" si="19"/>
        <v>0</v>
      </c>
      <c r="Z24" s="1199">
        <f t="shared" si="20"/>
        <v>0</v>
      </c>
      <c r="AA24" s="1200">
        <f t="shared" si="21"/>
        <v>0</v>
      </c>
      <c r="AC24" s="1282" cm="1">
        <f t="array" ref="AC24">1/SUMPRODUCT(IFERROR(1/V24:AA24,0),'Mkt Pen Veh-Mi'!H24:M24)</f>
        <v>10.175060148623018</v>
      </c>
      <c r="AD24" s="1283">
        <f t="shared" si="22"/>
        <v>1</v>
      </c>
    </row>
    <row r="25" spans="1:30" ht="15" x14ac:dyDescent="0.25">
      <c r="A25" s="1195">
        <v>2023</v>
      </c>
      <c r="B25" s="1196">
        <f>IF('Mkt Pen Veh-Mi'!B25=0,1,1/((1-Fuel2ShrbyTech!B26)/'Inputs 4-6 Gas'!$N38+Fuel2ShrbyTech!B26/'Inputs 4-6 Gas'!$T38))</f>
        <v>6.0729648588549479</v>
      </c>
      <c r="C25" s="1199">
        <f>IF('Mkt Pen Veh-Mi'!C25=0,1,1/((1-Fuel2ShrbyTech!C26)/'Inputs 4-6 Gas'!$O38+Fuel2ShrbyTech!C26/'Inputs 4-6 Gas'!$U38))</f>
        <v>1</v>
      </c>
      <c r="D25" s="1199">
        <f>IF('Mkt Pen Veh-Mi'!D25=0,1,1/((1-Fuel2ShrbyTech!D26)/'Inputs 4-6 Gas'!$P38+Fuel2ShrbyTech!D26/'Inputs 4-6 Gas'!$V38))</f>
        <v>1</v>
      </c>
      <c r="E25" s="1199">
        <f>IF('Mkt Pen Veh-Mi'!E25=0,1,1/((1-Fuel2ShrbyTech!E26)/'Inputs 4-6 Gas'!$Q38+Fuel2ShrbyTech!E26/'Inputs 4-6 Gas'!$W38))</f>
        <v>1</v>
      </c>
      <c r="F25" s="1199">
        <f>IF('Mkt Pen Veh-Mi'!F25=0,1,1/((1-Fuel2ShrbyTech!F26)/'Inputs 4-6 Gas'!$R38+Fuel2ShrbyTech!F26/'Inputs 4-6 Gas'!$X38))</f>
        <v>1</v>
      </c>
      <c r="G25" s="1200">
        <f>IF('Mkt Pen Veh-Mi'!G25=0,1,1/((1-Fuel2ShrbyTech!G26)/'Inputs 4-6 Gas'!$S38+Fuel2ShrbyTech!G26/'Inputs 4-6 Gas'!$Y38))</f>
        <v>1</v>
      </c>
      <c r="H25" s="1196">
        <f>IF('Mkt Pen Veh-Mi'!H25=0,1,1/((1-Fuel2ShrbyTech!H26)/'Inputs 4-6 Diesel'!$N38+Fuel2ShrbyTech!H26/'Inputs 4-6 Diesel'!$T38))</f>
        <v>10.410221008353947</v>
      </c>
      <c r="I25" s="1199">
        <f>IF('Mkt Pen Veh-Mi'!I25=0,1,1/((1-Fuel2ShrbyTech!I26)/'Inputs 4-6 Diesel'!$O38+Fuel2ShrbyTech!I26/'Inputs 4-6 Diesel'!$U38))</f>
        <v>1</v>
      </c>
      <c r="J25" s="1199">
        <f>IF('Mkt Pen Veh-Mi'!J25=0,1,1/((1-Fuel2ShrbyTech!J26)/'Inputs 4-6 Diesel'!$P38+Fuel2ShrbyTech!J26/'Inputs 4-6 Diesel'!$V38))</f>
        <v>1</v>
      </c>
      <c r="K25" s="1199">
        <f>IF('Mkt Pen Veh-Mi'!K25=0,1,1/((1-Fuel2ShrbyTech!K26)/'Inputs 4-6 Diesel'!$Q38+Fuel2ShrbyTech!K26/'Inputs 4-6 Diesel'!$W38))</f>
        <v>1</v>
      </c>
      <c r="L25" s="1199">
        <f>IF('Mkt Pen Veh-Mi'!L25=0,1,1/((1-Fuel2ShrbyTech!L26)/'Inputs 4-6 Diesel'!$R38+Fuel2ShrbyTech!L26/'Inputs 4-6 Diesel'!$X38))</f>
        <v>1</v>
      </c>
      <c r="M25" s="1200">
        <f>IF('Mkt Pen Veh-Mi'!M25=0,1,1/((1-Fuel2ShrbyTech!M26)/'Inputs 4-6 Diesel'!$S38+Fuel2ShrbyTech!M26/'Inputs 4-6 Diesel'!$Y38))</f>
        <v>1</v>
      </c>
      <c r="O25" s="1195">
        <f t="shared" si="9"/>
        <v>2023</v>
      </c>
      <c r="P25" s="1196">
        <f t="shared" si="10"/>
        <v>6.0729648588549479</v>
      </c>
      <c r="Q25" s="1199">
        <f t="shared" si="11"/>
        <v>0</v>
      </c>
      <c r="R25" s="1199">
        <f t="shared" si="12"/>
        <v>0</v>
      </c>
      <c r="S25" s="1199">
        <f t="shared" si="13"/>
        <v>0</v>
      </c>
      <c r="T25" s="1199">
        <f t="shared" si="14"/>
        <v>0</v>
      </c>
      <c r="U25" s="1200">
        <f t="shared" si="15"/>
        <v>0</v>
      </c>
      <c r="V25" s="1196">
        <f t="shared" si="16"/>
        <v>10.410221008353947</v>
      </c>
      <c r="W25" s="1199">
        <f t="shared" si="17"/>
        <v>0</v>
      </c>
      <c r="X25" s="1199">
        <f t="shared" si="18"/>
        <v>0</v>
      </c>
      <c r="Y25" s="1199">
        <f t="shared" si="19"/>
        <v>0</v>
      </c>
      <c r="Z25" s="1199">
        <f t="shared" si="20"/>
        <v>0</v>
      </c>
      <c r="AA25" s="1200">
        <f t="shared" si="21"/>
        <v>0</v>
      </c>
      <c r="AC25" s="1282" cm="1">
        <f t="array" ref="AC25">1/SUMPRODUCT(IFERROR(1/V25:AA25,0),'Mkt Pen Veh-Mi'!H25:M25)</f>
        <v>10.410221008353947</v>
      </c>
      <c r="AD25" s="1283">
        <f t="shared" si="22"/>
        <v>1</v>
      </c>
    </row>
    <row r="26" spans="1:30" ht="15" x14ac:dyDescent="0.25">
      <c r="A26" s="1195">
        <v>2024</v>
      </c>
      <c r="B26" s="1196">
        <f>IF('Mkt Pen Veh-Mi'!B26=0,1,1/((1-Fuel2ShrbyTech!B27)/'Inputs 4-6 Gas'!$N39+Fuel2ShrbyTech!B27/'Inputs 4-6 Gas'!$T39))</f>
        <v>6.0741789594890339</v>
      </c>
      <c r="C26" s="1199">
        <f>IF('Mkt Pen Veh-Mi'!C26=0,1,1/((1-Fuel2ShrbyTech!C27)/'Inputs 4-6 Gas'!$O39+Fuel2ShrbyTech!C27/'Inputs 4-6 Gas'!$U39))</f>
        <v>1</v>
      </c>
      <c r="D26" s="1199">
        <f>IF('Mkt Pen Veh-Mi'!D26=0,1,1/((1-Fuel2ShrbyTech!D27)/'Inputs 4-6 Gas'!$P39+Fuel2ShrbyTech!D27/'Inputs 4-6 Gas'!$V39))</f>
        <v>1</v>
      </c>
      <c r="E26" s="1199">
        <f>IF('Mkt Pen Veh-Mi'!E26=0,1,1/((1-Fuel2ShrbyTech!E27)/'Inputs 4-6 Gas'!$Q39+Fuel2ShrbyTech!E27/'Inputs 4-6 Gas'!$W39))</f>
        <v>1</v>
      </c>
      <c r="F26" s="1199">
        <f>IF('Mkt Pen Veh-Mi'!F26=0,1,1/((1-Fuel2ShrbyTech!F27)/'Inputs 4-6 Gas'!$R39+Fuel2ShrbyTech!F27/'Inputs 4-6 Gas'!$X39))</f>
        <v>1</v>
      </c>
      <c r="G26" s="1200">
        <f>IF('Mkt Pen Veh-Mi'!G26=0,1,1/((1-Fuel2ShrbyTech!G27)/'Inputs 4-6 Gas'!$S39+Fuel2ShrbyTech!G27/'Inputs 4-6 Gas'!$Y39))</f>
        <v>1</v>
      </c>
      <c r="H26" s="1196">
        <f>IF('Mkt Pen Veh-Mi'!H26=0,1,1/((1-Fuel2ShrbyTech!H27)/'Inputs 4-6 Diesel'!$N39+Fuel2ShrbyTech!H27/'Inputs 4-6 Diesel'!$T39))</f>
        <v>10.694775449062888</v>
      </c>
      <c r="I26" s="1199">
        <f>IF('Mkt Pen Veh-Mi'!I26=0,1,1/((1-Fuel2ShrbyTech!I27)/'Inputs 4-6 Diesel'!$O39+Fuel2ShrbyTech!I27/'Inputs 4-6 Diesel'!$U39))</f>
        <v>1</v>
      </c>
      <c r="J26" s="1199">
        <f>IF('Mkt Pen Veh-Mi'!J26=0,1,1/((1-Fuel2ShrbyTech!J27)/'Inputs 4-6 Diesel'!$P39+Fuel2ShrbyTech!J27/'Inputs 4-6 Diesel'!$V39))</f>
        <v>1</v>
      </c>
      <c r="K26" s="1199">
        <f>IF('Mkt Pen Veh-Mi'!K26=0,1,1/((1-Fuel2ShrbyTech!K27)/'Inputs 4-6 Diesel'!$Q39+Fuel2ShrbyTech!K27/'Inputs 4-6 Diesel'!$W39))</f>
        <v>1</v>
      </c>
      <c r="L26" s="1199">
        <f>IF('Mkt Pen Veh-Mi'!L26=0,1,1/((1-Fuel2ShrbyTech!L27)/'Inputs 4-6 Diesel'!$R39+Fuel2ShrbyTech!L27/'Inputs 4-6 Diesel'!$X39))</f>
        <v>1</v>
      </c>
      <c r="M26" s="1200">
        <f>IF('Mkt Pen Veh-Mi'!M26=0,1,1/((1-Fuel2ShrbyTech!M27)/'Inputs 4-6 Diesel'!$S39+Fuel2ShrbyTech!M27/'Inputs 4-6 Diesel'!$Y39))</f>
        <v>1</v>
      </c>
      <c r="O26" s="1195">
        <f t="shared" si="9"/>
        <v>2024</v>
      </c>
      <c r="P26" s="1196">
        <f t="shared" si="10"/>
        <v>6.0741789594890339</v>
      </c>
      <c r="Q26" s="1199">
        <f t="shared" si="11"/>
        <v>0</v>
      </c>
      <c r="R26" s="1199">
        <f t="shared" si="12"/>
        <v>0</v>
      </c>
      <c r="S26" s="1199">
        <f t="shared" si="13"/>
        <v>0</v>
      </c>
      <c r="T26" s="1199">
        <f t="shared" si="14"/>
        <v>0</v>
      </c>
      <c r="U26" s="1200">
        <f t="shared" si="15"/>
        <v>0</v>
      </c>
      <c r="V26" s="1196">
        <f t="shared" si="16"/>
        <v>10.694775449062888</v>
      </c>
      <c r="W26" s="1199">
        <f t="shared" si="17"/>
        <v>0</v>
      </c>
      <c r="X26" s="1199">
        <f t="shared" si="18"/>
        <v>0</v>
      </c>
      <c r="Y26" s="1199">
        <f t="shared" si="19"/>
        <v>0</v>
      </c>
      <c r="Z26" s="1199">
        <f t="shared" si="20"/>
        <v>0</v>
      </c>
      <c r="AA26" s="1200">
        <f t="shared" si="21"/>
        <v>0</v>
      </c>
      <c r="AC26" s="1282" cm="1">
        <f t="array" ref="AC26">1/SUMPRODUCT(IFERROR(1/V26:AA26,0),'Mkt Pen Veh-Mi'!H26:M26)</f>
        <v>10.694775449062888</v>
      </c>
      <c r="AD26" s="1283">
        <f t="shared" si="22"/>
        <v>1</v>
      </c>
    </row>
    <row r="27" spans="1:30" ht="15" x14ac:dyDescent="0.25">
      <c r="A27" s="1201">
        <v>2025</v>
      </c>
      <c r="B27" s="1202">
        <f>IF('Mkt Pen Veh-Mi'!B27=0,1,1/((1-Fuel2ShrbyTech!B28)/'Inputs 4-6 Gas'!$N40+Fuel2ShrbyTech!B28/'Inputs 4-6 Gas'!$T40))</f>
        <v>6.081627072612104</v>
      </c>
      <c r="C27" s="1203">
        <f>IF('Mkt Pen Veh-Mi'!C27=0,1,1/((1-Fuel2ShrbyTech!C28)/'Inputs 4-6 Gas'!$O40+Fuel2ShrbyTech!C28/'Inputs 4-6 Gas'!$U40))</f>
        <v>1</v>
      </c>
      <c r="D27" s="1203">
        <f>IF('Mkt Pen Veh-Mi'!D27=0,1,1/((1-Fuel2ShrbyTech!D28)/'Inputs 4-6 Gas'!$P40+Fuel2ShrbyTech!D28/'Inputs 4-6 Gas'!$V40))</f>
        <v>1</v>
      </c>
      <c r="E27" s="1203">
        <f>IF('Mkt Pen Veh-Mi'!E27=0,1,1/((1-Fuel2ShrbyTech!E28)/'Inputs 4-6 Gas'!$Q40+Fuel2ShrbyTech!E28/'Inputs 4-6 Gas'!$W40))</f>
        <v>1</v>
      </c>
      <c r="F27" s="1203">
        <f>IF('Mkt Pen Veh-Mi'!F27=0,1,1/((1-Fuel2ShrbyTech!F28)/'Inputs 4-6 Gas'!$R40+Fuel2ShrbyTech!F28/'Inputs 4-6 Gas'!$X40))</f>
        <v>1</v>
      </c>
      <c r="G27" s="1204">
        <f>IF('Mkt Pen Veh-Mi'!G27=0,1,1/((1-Fuel2ShrbyTech!G28)/'Inputs 4-6 Gas'!$S40+Fuel2ShrbyTech!G28/'Inputs 4-6 Gas'!$Y40))</f>
        <v>1</v>
      </c>
      <c r="H27" s="1202">
        <f>IF('Mkt Pen Veh-Mi'!H27=0,1,1/((1-Fuel2ShrbyTech!H28)/'Inputs 4-6 Diesel'!$N40+Fuel2ShrbyTech!H28/'Inputs 4-6 Diesel'!$T40))</f>
        <v>11.01664280967314</v>
      </c>
      <c r="I27" s="1203">
        <f>IF('Mkt Pen Veh-Mi'!I27=0,1,1/((1-Fuel2ShrbyTech!I28)/'Inputs 4-6 Diesel'!$O40+Fuel2ShrbyTech!I28/'Inputs 4-6 Diesel'!$U40))</f>
        <v>1</v>
      </c>
      <c r="J27" s="1203">
        <f>IF('Mkt Pen Veh-Mi'!J27=0,1,1/((1-Fuel2ShrbyTech!J28)/'Inputs 4-6 Diesel'!$P40+Fuel2ShrbyTech!J28/'Inputs 4-6 Diesel'!$V40))</f>
        <v>1</v>
      </c>
      <c r="K27" s="1203">
        <f>IF('Mkt Pen Veh-Mi'!K27=0,1,1/((1-Fuel2ShrbyTech!K28)/'Inputs 4-6 Diesel'!$Q40+Fuel2ShrbyTech!K28/'Inputs 4-6 Diesel'!$W40))</f>
        <v>1</v>
      </c>
      <c r="L27" s="1203">
        <f>IF('Mkt Pen Veh-Mi'!L27=0,1,1/((1-Fuel2ShrbyTech!L28)/'Inputs 4-6 Diesel'!$R40+Fuel2ShrbyTech!L28/'Inputs 4-6 Diesel'!$X40))</f>
        <v>1</v>
      </c>
      <c r="M27" s="1204">
        <f>IF('Mkt Pen Veh-Mi'!M27=0,1,1/((1-Fuel2ShrbyTech!M28)/'Inputs 4-6 Diesel'!$S40+Fuel2ShrbyTech!M28/'Inputs 4-6 Diesel'!$Y40))</f>
        <v>1</v>
      </c>
      <c r="O27" s="1201">
        <f t="shared" si="9"/>
        <v>2025</v>
      </c>
      <c r="P27" s="1202">
        <f t="shared" si="10"/>
        <v>6.081627072612104</v>
      </c>
      <c r="Q27" s="1203">
        <f t="shared" si="11"/>
        <v>0</v>
      </c>
      <c r="R27" s="1203">
        <f t="shared" si="12"/>
        <v>0</v>
      </c>
      <c r="S27" s="1203">
        <f t="shared" si="13"/>
        <v>0</v>
      </c>
      <c r="T27" s="1203">
        <f t="shared" si="14"/>
        <v>0</v>
      </c>
      <c r="U27" s="1204">
        <f t="shared" si="15"/>
        <v>0</v>
      </c>
      <c r="V27" s="1202">
        <f t="shared" si="16"/>
        <v>11.01664280967314</v>
      </c>
      <c r="W27" s="1203">
        <f t="shared" si="17"/>
        <v>0</v>
      </c>
      <c r="X27" s="1203">
        <f t="shared" si="18"/>
        <v>0</v>
      </c>
      <c r="Y27" s="1203">
        <f t="shared" si="19"/>
        <v>0</v>
      </c>
      <c r="Z27" s="1203">
        <f t="shared" si="20"/>
        <v>0</v>
      </c>
      <c r="AA27" s="1204">
        <f t="shared" si="21"/>
        <v>0</v>
      </c>
      <c r="AC27" s="1282" cm="1">
        <f t="array" ref="AC27">1/SUMPRODUCT(IFERROR(1/V27:AA27,0),'Mkt Pen Veh-Mi'!H27:M27)</f>
        <v>11.01664280967314</v>
      </c>
      <c r="AD27" s="1283">
        <f t="shared" si="22"/>
        <v>1</v>
      </c>
    </row>
    <row r="28" spans="1:30" ht="15" x14ac:dyDescent="0.25">
      <c r="A28" s="1195">
        <v>2026</v>
      </c>
      <c r="B28" s="1205">
        <f>IF('Mkt Pen Veh-Mi'!B28=0,1,1/((1-Fuel2ShrbyTech!B29)/'Inputs 4-6 Gas'!$N41+Fuel2ShrbyTech!B29/'Inputs 4-6 Gas'!$T41))</f>
        <v>6.0815715080519679</v>
      </c>
      <c r="C28" s="1206">
        <f>IF('Mkt Pen Veh-Mi'!C28=0,1,1/((1-Fuel2ShrbyTech!C29)/'Inputs 4-6 Gas'!$O41+Fuel2ShrbyTech!C29/'Inputs 4-6 Gas'!$U41))</f>
        <v>1</v>
      </c>
      <c r="D28" s="1206">
        <f>IF('Mkt Pen Veh-Mi'!D28=0,1,1/((1-Fuel2ShrbyTech!D29)/'Inputs 4-6 Gas'!$P41+Fuel2ShrbyTech!D29/'Inputs 4-6 Gas'!$V41))</f>
        <v>1</v>
      </c>
      <c r="E28" s="1206">
        <f>IF('Mkt Pen Veh-Mi'!E28=0,1,1/((1-Fuel2ShrbyTech!E29)/'Inputs 4-6 Gas'!$Q41+Fuel2ShrbyTech!E29/'Inputs 4-6 Gas'!$W41))</f>
        <v>1</v>
      </c>
      <c r="F28" s="1206">
        <f>IF('Mkt Pen Veh-Mi'!F28=0,1,1/((1-Fuel2ShrbyTech!F29)/'Inputs 4-6 Gas'!$R41+Fuel2ShrbyTech!F29/'Inputs 4-6 Gas'!$X41))</f>
        <v>1</v>
      </c>
      <c r="G28" s="1207">
        <f>IF('Mkt Pen Veh-Mi'!G28=0,1,1/((1-Fuel2ShrbyTech!G29)/'Inputs 4-6 Gas'!$S41+Fuel2ShrbyTech!G29/'Inputs 4-6 Gas'!$Y41))</f>
        <v>1</v>
      </c>
      <c r="H28" s="1205">
        <f>IF('Mkt Pen Veh-Mi'!H28=0,1,1/((1-Fuel2ShrbyTech!H29)/'Inputs 4-6 Diesel'!$N41+Fuel2ShrbyTech!H29/'Inputs 4-6 Diesel'!$T41))</f>
        <v>11.333252089569644</v>
      </c>
      <c r="I28" s="1206">
        <f>IF('Mkt Pen Veh-Mi'!I28=0,1,1/((1-Fuel2ShrbyTech!I29)/'Inputs 4-6 Diesel'!$O41+Fuel2ShrbyTech!I29/'Inputs 4-6 Diesel'!$U41))</f>
        <v>11.701185081941304</v>
      </c>
      <c r="J28" s="1206">
        <f>IF('Mkt Pen Veh-Mi'!J28=0,1,1/((1-Fuel2ShrbyTech!J29)/'Inputs 4-6 Diesel'!$P41+Fuel2ShrbyTech!J29/'Inputs 4-6 Diesel'!$V41))</f>
        <v>15.532160041820068</v>
      </c>
      <c r="K28" s="1206">
        <f>IF('Mkt Pen Veh-Mi'!K28=0,1,1/((1-Fuel2ShrbyTech!K29)/'Inputs 4-6 Diesel'!$Q41+Fuel2ShrbyTech!K29/'Inputs 4-6 Diesel'!$W41))</f>
        <v>1</v>
      </c>
      <c r="L28" s="1206">
        <f>IF('Mkt Pen Veh-Mi'!L28=0,1,1/((1-Fuel2ShrbyTech!L29)/'Inputs 4-6 Diesel'!$R41+Fuel2ShrbyTech!L29/'Inputs 4-6 Diesel'!$X41))</f>
        <v>1</v>
      </c>
      <c r="M28" s="1207">
        <f>IF('Mkt Pen Veh-Mi'!M28=0,1,1/((1-Fuel2ShrbyTech!M29)/'Inputs 4-6 Diesel'!$S41+Fuel2ShrbyTech!M29/'Inputs 4-6 Diesel'!$Y41))</f>
        <v>21.229989520719638</v>
      </c>
      <c r="O28" s="1195">
        <f t="shared" si="9"/>
        <v>2026</v>
      </c>
      <c r="P28" s="1205">
        <f t="shared" si="10"/>
        <v>6.0815715080519679</v>
      </c>
      <c r="Q28" s="1206">
        <f t="shared" si="11"/>
        <v>0</v>
      </c>
      <c r="R28" s="1206">
        <f t="shared" si="12"/>
        <v>0</v>
      </c>
      <c r="S28" s="1206">
        <f t="shared" si="13"/>
        <v>0</v>
      </c>
      <c r="T28" s="1206">
        <f t="shared" si="14"/>
        <v>0</v>
      </c>
      <c r="U28" s="1207">
        <f t="shared" si="15"/>
        <v>0</v>
      </c>
      <c r="V28" s="1205">
        <f t="shared" si="16"/>
        <v>11.333252089569644</v>
      </c>
      <c r="W28" s="1206">
        <f t="shared" si="17"/>
        <v>11.701185081941304</v>
      </c>
      <c r="X28" s="1206">
        <f t="shared" si="18"/>
        <v>15.532160041820068</v>
      </c>
      <c r="Y28" s="1206">
        <f t="shared" si="19"/>
        <v>0</v>
      </c>
      <c r="Z28" s="1206">
        <f t="shared" si="20"/>
        <v>0</v>
      </c>
      <c r="AA28" s="1207">
        <f t="shared" si="21"/>
        <v>21.229989520719638</v>
      </c>
      <c r="AC28" s="1282" cm="1">
        <f t="array" ref="AC28">1/SUMPRODUCT(IFERROR(1/V28:AA28,0),'Mkt Pen Veh-Mi'!H28:M28)</f>
        <v>11.365043697712123</v>
      </c>
      <c r="AD28" s="1283">
        <f t="shared" si="22"/>
        <v>1.0028051620039173</v>
      </c>
    </row>
    <row r="29" spans="1:30" ht="15" x14ac:dyDescent="0.25">
      <c r="A29" s="1195">
        <v>2027</v>
      </c>
      <c r="B29" s="1196">
        <f>IF('Mkt Pen Veh-Mi'!B29=0,1,1/((1-Fuel2ShrbyTech!B30)/'Inputs 4-6 Gas'!$N42+Fuel2ShrbyTech!B30/'Inputs 4-6 Gas'!$T42))</f>
        <v>6.0829201178873022</v>
      </c>
      <c r="C29" s="1199">
        <f>IF('Mkt Pen Veh-Mi'!C29=0,1,1/((1-Fuel2ShrbyTech!C30)/'Inputs 4-6 Gas'!$O42+Fuel2ShrbyTech!C30/'Inputs 4-6 Gas'!$U42))</f>
        <v>1</v>
      </c>
      <c r="D29" s="1199">
        <f>IF('Mkt Pen Veh-Mi'!D29=0,1,1/((1-Fuel2ShrbyTech!D30)/'Inputs 4-6 Gas'!$P42+Fuel2ShrbyTech!D30/'Inputs 4-6 Gas'!$V42))</f>
        <v>1</v>
      </c>
      <c r="E29" s="1199">
        <f>IF('Mkt Pen Veh-Mi'!E29=0,1,1/((1-Fuel2ShrbyTech!E30)/'Inputs 4-6 Gas'!$Q42+Fuel2ShrbyTech!E30/'Inputs 4-6 Gas'!$W42))</f>
        <v>1</v>
      </c>
      <c r="F29" s="1199">
        <f>IF('Mkt Pen Veh-Mi'!F29=0,1,1/((1-Fuel2ShrbyTech!F30)/'Inputs 4-6 Gas'!$R42+Fuel2ShrbyTech!F30/'Inputs 4-6 Gas'!$X42))</f>
        <v>1</v>
      </c>
      <c r="G29" s="1200">
        <f>IF('Mkt Pen Veh-Mi'!G29=0,1,1/((1-Fuel2ShrbyTech!G30)/'Inputs 4-6 Gas'!$S42+Fuel2ShrbyTech!G30/'Inputs 4-6 Gas'!$Y42))</f>
        <v>1</v>
      </c>
      <c r="H29" s="1196">
        <f>IF('Mkt Pen Veh-Mi'!H29=0,1,1/((1-Fuel2ShrbyTech!H30)/'Inputs 4-6 Diesel'!$N42+Fuel2ShrbyTech!H30/'Inputs 4-6 Diesel'!$T42))</f>
        <v>11.675432564462835</v>
      </c>
      <c r="I29" s="1199">
        <f>IF('Mkt Pen Veh-Mi'!I29=0,1,1/((1-Fuel2ShrbyTech!I30)/'Inputs 4-6 Diesel'!$O42+Fuel2ShrbyTech!I30/'Inputs 4-6 Diesel'!$U42))</f>
        <v>12.094858187911125</v>
      </c>
      <c r="J29" s="1199">
        <f>IF('Mkt Pen Veh-Mi'!J29=0,1,1/((1-Fuel2ShrbyTech!J30)/'Inputs 4-6 Diesel'!$P42+Fuel2ShrbyTech!J30/'Inputs 4-6 Diesel'!$V42))</f>
        <v>16.055244312735187</v>
      </c>
      <c r="K29" s="1199">
        <f>IF('Mkt Pen Veh-Mi'!K29=0,1,1/((1-Fuel2ShrbyTech!K30)/'Inputs 4-6 Diesel'!$Q42+Fuel2ShrbyTech!K30/'Inputs 4-6 Diesel'!$W42))</f>
        <v>1</v>
      </c>
      <c r="L29" s="1199">
        <f>IF('Mkt Pen Veh-Mi'!L29=0,1,1/((1-Fuel2ShrbyTech!L30)/'Inputs 4-6 Diesel'!$R42+Fuel2ShrbyTech!L30/'Inputs 4-6 Diesel'!$X42))</f>
        <v>1</v>
      </c>
      <c r="M29" s="1200">
        <f>IF('Mkt Pen Veh-Mi'!M29=0,1,1/((1-Fuel2ShrbyTech!M30)/'Inputs 4-6 Diesel'!$S42+Fuel2ShrbyTech!M30/'Inputs 4-6 Diesel'!$Y42))</f>
        <v>22.204203367194783</v>
      </c>
      <c r="O29" s="1195">
        <f t="shared" si="9"/>
        <v>2027</v>
      </c>
      <c r="P29" s="1196">
        <f t="shared" si="10"/>
        <v>6.0829201178873022</v>
      </c>
      <c r="Q29" s="1199">
        <f t="shared" si="11"/>
        <v>0</v>
      </c>
      <c r="R29" s="1199">
        <f t="shared" si="12"/>
        <v>0</v>
      </c>
      <c r="S29" s="1199">
        <f t="shared" si="13"/>
        <v>0</v>
      </c>
      <c r="T29" s="1199">
        <f t="shared" si="14"/>
        <v>0</v>
      </c>
      <c r="U29" s="1200">
        <f t="shared" si="15"/>
        <v>0</v>
      </c>
      <c r="V29" s="1196">
        <f t="shared" si="16"/>
        <v>11.675432564462835</v>
      </c>
      <c r="W29" s="1199">
        <f t="shared" si="17"/>
        <v>12.094858187911125</v>
      </c>
      <c r="X29" s="1199">
        <f t="shared" si="18"/>
        <v>16.055244312735187</v>
      </c>
      <c r="Y29" s="1199">
        <f t="shared" si="19"/>
        <v>0</v>
      </c>
      <c r="Z29" s="1199">
        <f t="shared" si="20"/>
        <v>0</v>
      </c>
      <c r="AA29" s="1200">
        <f t="shared" si="21"/>
        <v>22.204203367194783</v>
      </c>
      <c r="AC29" s="1282" cm="1">
        <f t="array" ref="AC29">1/SUMPRODUCT(IFERROR(1/V29:AA29,0),'Mkt Pen Veh-Mi'!H29:M29)</f>
        <v>11.759300316263076</v>
      </c>
      <c r="AD29" s="1283">
        <f t="shared" si="22"/>
        <v>1.0071832672012098</v>
      </c>
    </row>
    <row r="30" spans="1:30" ht="15" x14ac:dyDescent="0.25">
      <c r="A30" s="1195">
        <v>2028</v>
      </c>
      <c r="B30" s="1196">
        <f>IF('Mkt Pen Veh-Mi'!B30=0,1,1/((1-Fuel2ShrbyTech!B31)/'Inputs 4-6 Gas'!$N43+Fuel2ShrbyTech!B31/'Inputs 4-6 Gas'!$T43))</f>
        <v>6.0836966602724649</v>
      </c>
      <c r="C30" s="1199">
        <f>IF('Mkt Pen Veh-Mi'!C30=0,1,1/((1-Fuel2ShrbyTech!C31)/'Inputs 4-6 Gas'!$O43+Fuel2ShrbyTech!C31/'Inputs 4-6 Gas'!$U43))</f>
        <v>1</v>
      </c>
      <c r="D30" s="1199">
        <f>IF('Mkt Pen Veh-Mi'!D30=0,1,1/((1-Fuel2ShrbyTech!D31)/'Inputs 4-6 Gas'!$P43+Fuel2ShrbyTech!D31/'Inputs 4-6 Gas'!$V43))</f>
        <v>1</v>
      </c>
      <c r="E30" s="1199">
        <f>IF('Mkt Pen Veh-Mi'!E30=0,1,1/((1-Fuel2ShrbyTech!E31)/'Inputs 4-6 Gas'!$Q43+Fuel2ShrbyTech!E31/'Inputs 4-6 Gas'!$W43))</f>
        <v>1</v>
      </c>
      <c r="F30" s="1199">
        <f>IF('Mkt Pen Veh-Mi'!F30=0,1,1/((1-Fuel2ShrbyTech!F31)/'Inputs 4-6 Gas'!$R43+Fuel2ShrbyTech!F31/'Inputs 4-6 Gas'!$X43))</f>
        <v>1</v>
      </c>
      <c r="G30" s="1200">
        <f>IF('Mkt Pen Veh-Mi'!G30=0,1,1/((1-Fuel2ShrbyTech!G31)/'Inputs 4-6 Gas'!$S43+Fuel2ShrbyTech!G31/'Inputs 4-6 Gas'!$Y43))</f>
        <v>1</v>
      </c>
      <c r="H30" s="1196">
        <f>IF('Mkt Pen Veh-Mi'!H30=0,1,1/((1-Fuel2ShrbyTech!H31)/'Inputs 4-6 Diesel'!$N43+Fuel2ShrbyTech!H31/'Inputs 4-6 Diesel'!$T43))</f>
        <v>11.84954821073023</v>
      </c>
      <c r="I30" s="1199">
        <f>IF('Mkt Pen Veh-Mi'!I30=0,1,1/((1-Fuel2ShrbyTech!I31)/'Inputs 4-6 Diesel'!$O43+Fuel2ShrbyTech!I31/'Inputs 4-6 Diesel'!$U43))</f>
        <v>12.475570520767198</v>
      </c>
      <c r="J30" s="1199">
        <f>IF('Mkt Pen Veh-Mi'!J30=0,1,1/((1-Fuel2ShrbyTech!J31)/'Inputs 4-6 Diesel'!$P43+Fuel2ShrbyTech!J31/'Inputs 4-6 Diesel'!$V43))</f>
        <v>16.558861731746493</v>
      </c>
      <c r="K30" s="1199">
        <f>IF('Mkt Pen Veh-Mi'!K30=0,1,1/((1-Fuel2ShrbyTech!K31)/'Inputs 4-6 Diesel'!$Q43+Fuel2ShrbyTech!K31/'Inputs 4-6 Diesel'!$W43))</f>
        <v>1</v>
      </c>
      <c r="L30" s="1199">
        <f>IF('Mkt Pen Veh-Mi'!L30=0,1,1/((1-Fuel2ShrbyTech!L31)/'Inputs 4-6 Diesel'!$R43+Fuel2ShrbyTech!L31/'Inputs 4-6 Diesel'!$X43))</f>
        <v>31.18971658494371</v>
      </c>
      <c r="M30" s="1200">
        <f>IF('Mkt Pen Veh-Mi'!M30=0,1,1/((1-Fuel2ShrbyTech!M31)/'Inputs 4-6 Diesel'!$S43+Fuel2ShrbyTech!M31/'Inputs 4-6 Diesel'!$Y43))</f>
        <v>22.681643920815514</v>
      </c>
      <c r="O30" s="1195">
        <f t="shared" si="9"/>
        <v>2028</v>
      </c>
      <c r="P30" s="1196">
        <f t="shared" si="10"/>
        <v>6.0836966602724649</v>
      </c>
      <c r="Q30" s="1199">
        <f t="shared" si="11"/>
        <v>0</v>
      </c>
      <c r="R30" s="1199">
        <f t="shared" si="12"/>
        <v>0</v>
      </c>
      <c r="S30" s="1199">
        <f t="shared" si="13"/>
        <v>0</v>
      </c>
      <c r="T30" s="1199">
        <f t="shared" si="14"/>
        <v>0</v>
      </c>
      <c r="U30" s="1200">
        <f t="shared" si="15"/>
        <v>0</v>
      </c>
      <c r="V30" s="1196">
        <f t="shared" si="16"/>
        <v>11.84954821073023</v>
      </c>
      <c r="W30" s="1199">
        <f t="shared" si="17"/>
        <v>12.475570520767198</v>
      </c>
      <c r="X30" s="1199">
        <f t="shared" si="18"/>
        <v>16.558861731746493</v>
      </c>
      <c r="Y30" s="1199">
        <f t="shared" si="19"/>
        <v>0</v>
      </c>
      <c r="Z30" s="1199">
        <f t="shared" si="20"/>
        <v>31.18971658494371</v>
      </c>
      <c r="AA30" s="1200">
        <f t="shared" si="21"/>
        <v>22.681643920815514</v>
      </c>
      <c r="AC30" s="1282" cm="1">
        <f t="array" ref="AC30">1/SUMPRODUCT(IFERROR(1/V30:AA30,0),'Mkt Pen Veh-Mi'!H30:M30)</f>
        <v>12.118695991361459</v>
      </c>
      <c r="AD30" s="1283">
        <f t="shared" si="22"/>
        <v>1.0227137588577011</v>
      </c>
    </row>
    <row r="31" spans="1:30" ht="15" x14ac:dyDescent="0.25">
      <c r="A31" s="1195">
        <v>2029</v>
      </c>
      <c r="B31" s="1196">
        <f>IF('Mkt Pen Veh-Mi'!B31=0,1,1/((1-Fuel2ShrbyTech!B32)/'Inputs 4-6 Gas'!$N44+Fuel2ShrbyTech!B32/'Inputs 4-6 Gas'!$T44))</f>
        <v>6.0824317938893762</v>
      </c>
      <c r="C31" s="1199">
        <f>IF('Mkt Pen Veh-Mi'!C31=0,1,1/((1-Fuel2ShrbyTech!C32)/'Inputs 4-6 Gas'!$O44+Fuel2ShrbyTech!C32/'Inputs 4-6 Gas'!$U44))</f>
        <v>1</v>
      </c>
      <c r="D31" s="1199">
        <f>IF('Mkt Pen Veh-Mi'!D31=0,1,1/((1-Fuel2ShrbyTech!D32)/'Inputs 4-6 Gas'!$P44+Fuel2ShrbyTech!D32/'Inputs 4-6 Gas'!$V44))</f>
        <v>1</v>
      </c>
      <c r="E31" s="1199">
        <f>IF('Mkt Pen Veh-Mi'!E31=0,1,1/((1-Fuel2ShrbyTech!E32)/'Inputs 4-6 Gas'!$Q44+Fuel2ShrbyTech!E32/'Inputs 4-6 Gas'!$W44))</f>
        <v>1</v>
      </c>
      <c r="F31" s="1199">
        <f>IF('Mkt Pen Veh-Mi'!F31=0,1,1/((1-Fuel2ShrbyTech!F32)/'Inputs 4-6 Gas'!$R44+Fuel2ShrbyTech!F32/'Inputs 4-6 Gas'!$X44))</f>
        <v>1</v>
      </c>
      <c r="G31" s="1200">
        <f>IF('Mkt Pen Veh-Mi'!G31=0,1,1/((1-Fuel2ShrbyTech!G32)/'Inputs 4-6 Gas'!$S44+Fuel2ShrbyTech!G32/'Inputs 4-6 Gas'!$Y44))</f>
        <v>1</v>
      </c>
      <c r="H31" s="1196">
        <f>IF('Mkt Pen Veh-Mi'!H31=0,1,1/((1-Fuel2ShrbyTech!H32)/'Inputs 4-6 Diesel'!$N44+Fuel2ShrbyTech!H32/'Inputs 4-6 Diesel'!$T44))</f>
        <v>12.15167333088414</v>
      </c>
      <c r="I31" s="1199">
        <f>IF('Mkt Pen Veh-Mi'!I31=0,1,1/((1-Fuel2ShrbyTech!I32)/'Inputs 4-6 Diesel'!$O44+Fuel2ShrbyTech!I32/'Inputs 4-6 Diesel'!$U44))</f>
        <v>12.708592142218249</v>
      </c>
      <c r="J31" s="1199">
        <f>IF('Mkt Pen Veh-Mi'!J31=0,1,1/((1-Fuel2ShrbyTech!J32)/'Inputs 4-6 Diesel'!$P44+Fuel2ShrbyTech!J32/'Inputs 4-6 Diesel'!$V44))</f>
        <v>16.867109554160407</v>
      </c>
      <c r="K31" s="1199">
        <f>IF('Mkt Pen Veh-Mi'!K31=0,1,1/((1-Fuel2ShrbyTech!K32)/'Inputs 4-6 Diesel'!$Q44+Fuel2ShrbyTech!K32/'Inputs 4-6 Diesel'!$W44))</f>
        <v>1</v>
      </c>
      <c r="L31" s="1199">
        <f>IF('Mkt Pen Veh-Mi'!L31=0,1,1/((1-Fuel2ShrbyTech!L32)/'Inputs 4-6 Diesel'!$R44+Fuel2ShrbyTech!L32/'Inputs 4-6 Diesel'!$X44))</f>
        <v>31.490677051371318</v>
      </c>
      <c r="M31" s="1200">
        <f>IF('Mkt Pen Veh-Mi'!M31=0,1,1/((1-Fuel2ShrbyTech!M32)/'Inputs 4-6 Diesel'!$S44+Fuel2ShrbyTech!M32/'Inputs 4-6 Diesel'!$Y44))</f>
        <v>22.960465902012032</v>
      </c>
      <c r="O31" s="1195">
        <f t="shared" si="9"/>
        <v>2029</v>
      </c>
      <c r="P31" s="1196">
        <f t="shared" si="10"/>
        <v>6.0824317938893762</v>
      </c>
      <c r="Q31" s="1199">
        <f t="shared" si="11"/>
        <v>0</v>
      </c>
      <c r="R31" s="1199">
        <f t="shared" si="12"/>
        <v>0</v>
      </c>
      <c r="S31" s="1199">
        <f t="shared" si="13"/>
        <v>0</v>
      </c>
      <c r="T31" s="1199">
        <f t="shared" si="14"/>
        <v>0</v>
      </c>
      <c r="U31" s="1200">
        <f t="shared" si="15"/>
        <v>0</v>
      </c>
      <c r="V31" s="1196">
        <f t="shared" si="16"/>
        <v>12.15167333088414</v>
      </c>
      <c r="W31" s="1199">
        <f t="shared" si="17"/>
        <v>12.708592142218249</v>
      </c>
      <c r="X31" s="1199">
        <f t="shared" si="18"/>
        <v>16.867109554160407</v>
      </c>
      <c r="Y31" s="1199">
        <f t="shared" si="19"/>
        <v>0</v>
      </c>
      <c r="Z31" s="1199">
        <f t="shared" si="20"/>
        <v>31.490677051371318</v>
      </c>
      <c r="AA31" s="1200">
        <f t="shared" si="21"/>
        <v>22.960465902012032</v>
      </c>
      <c r="AC31" s="1282" cm="1">
        <f t="array" ref="AC31">1/SUMPRODUCT(IFERROR(1/V31:AA31,0),'Mkt Pen Veh-Mi'!H31:M31)</f>
        <v>12.62369259949126</v>
      </c>
      <c r="AD31" s="1283">
        <f t="shared" si="22"/>
        <v>1.0388439728220358</v>
      </c>
    </row>
    <row r="32" spans="1:30" ht="15" x14ac:dyDescent="0.25">
      <c r="A32" s="1201">
        <v>2030</v>
      </c>
      <c r="B32" s="1202">
        <f>IF('Mkt Pen Veh-Mi'!B32=0,1,1/((1-Fuel2ShrbyTech!B33)/'Inputs 4-6 Gas'!$N45+Fuel2ShrbyTech!B33/'Inputs 4-6 Gas'!$T45))</f>
        <v>6.0822611531457227</v>
      </c>
      <c r="C32" s="1203">
        <f>IF('Mkt Pen Veh-Mi'!C32=0,1,1/((1-Fuel2ShrbyTech!C33)/'Inputs 4-6 Gas'!$O45+Fuel2ShrbyTech!C33/'Inputs 4-6 Gas'!$U45))</f>
        <v>1</v>
      </c>
      <c r="D32" s="1203">
        <f>IF('Mkt Pen Veh-Mi'!D32=0,1,1/((1-Fuel2ShrbyTech!D33)/'Inputs 4-6 Gas'!$P45+Fuel2ShrbyTech!D33/'Inputs 4-6 Gas'!$V45))</f>
        <v>1</v>
      </c>
      <c r="E32" s="1203">
        <f>IF('Mkt Pen Veh-Mi'!E32=0,1,1/((1-Fuel2ShrbyTech!E33)/'Inputs 4-6 Gas'!$Q45+Fuel2ShrbyTech!E33/'Inputs 4-6 Gas'!$W45))</f>
        <v>1</v>
      </c>
      <c r="F32" s="1203">
        <f>IF('Mkt Pen Veh-Mi'!F32=0,1,1/((1-Fuel2ShrbyTech!F33)/'Inputs 4-6 Gas'!$R45+Fuel2ShrbyTech!F33/'Inputs 4-6 Gas'!$X45))</f>
        <v>1</v>
      </c>
      <c r="G32" s="1204">
        <f>IF('Mkt Pen Veh-Mi'!G32=0,1,1/((1-Fuel2ShrbyTech!G33)/'Inputs 4-6 Gas'!$S45+Fuel2ShrbyTech!G33/'Inputs 4-6 Gas'!$Y45))</f>
        <v>1</v>
      </c>
      <c r="H32" s="1202">
        <f>IF('Mkt Pen Veh-Mi'!H32=0,1,1/((1-Fuel2ShrbyTech!H33)/'Inputs 4-6 Diesel'!$N45+Fuel2ShrbyTech!H33/'Inputs 4-6 Diesel'!$T45))</f>
        <v>12.424676418909172</v>
      </c>
      <c r="I32" s="1203">
        <f>IF('Mkt Pen Veh-Mi'!I32=0,1,1/((1-Fuel2ShrbyTech!I33)/'Inputs 4-6 Diesel'!$O45+Fuel2ShrbyTech!I33/'Inputs 4-6 Diesel'!$U45))</f>
        <v>13.024596045587284</v>
      </c>
      <c r="J32" s="1203">
        <f>IF('Mkt Pen Veh-Mi'!J32=0,1,1/((1-Fuel2ShrbyTech!J33)/'Inputs 4-6 Diesel'!$P45+Fuel2ShrbyTech!J33/'Inputs 4-6 Diesel'!$V45))</f>
        <v>17.28512876834851</v>
      </c>
      <c r="K32" s="1203">
        <f>IF('Mkt Pen Veh-Mi'!K32=0,1,1/((1-Fuel2ShrbyTech!K33)/'Inputs 4-6 Diesel'!$Q45+Fuel2ShrbyTech!K33/'Inputs 4-6 Diesel'!$W45))</f>
        <v>1</v>
      </c>
      <c r="L32" s="1203">
        <f>IF('Mkt Pen Veh-Mi'!L32=0,1,1/((1-Fuel2ShrbyTech!L33)/'Inputs 4-6 Diesel'!$R45+Fuel2ShrbyTech!L33/'Inputs 4-6 Diesel'!$X45))</f>
        <v>31.898813779451149</v>
      </c>
      <c r="M32" s="1204">
        <f>IF('Mkt Pen Veh-Mi'!M32=0,1,1/((1-Fuel2ShrbyTech!M33)/'Inputs 4-6 Diesel'!$S45+Fuel2ShrbyTech!M33/'Inputs 4-6 Diesel'!$Y45))</f>
        <v>23.355473657478509</v>
      </c>
      <c r="O32" s="1201">
        <f t="shared" si="9"/>
        <v>2030</v>
      </c>
      <c r="P32" s="1202">
        <f t="shared" si="10"/>
        <v>6.0822611531457227</v>
      </c>
      <c r="Q32" s="1203">
        <f t="shared" si="11"/>
        <v>0</v>
      </c>
      <c r="R32" s="1203">
        <f t="shared" si="12"/>
        <v>0</v>
      </c>
      <c r="S32" s="1203">
        <f t="shared" si="13"/>
        <v>0</v>
      </c>
      <c r="T32" s="1203">
        <f t="shared" si="14"/>
        <v>0</v>
      </c>
      <c r="U32" s="1204">
        <f t="shared" si="15"/>
        <v>0</v>
      </c>
      <c r="V32" s="1202">
        <f t="shared" si="16"/>
        <v>12.424676418909172</v>
      </c>
      <c r="W32" s="1203">
        <f t="shared" si="17"/>
        <v>13.024596045587284</v>
      </c>
      <c r="X32" s="1203">
        <f t="shared" si="18"/>
        <v>17.28512876834851</v>
      </c>
      <c r="Y32" s="1203">
        <f t="shared" si="19"/>
        <v>0</v>
      </c>
      <c r="Z32" s="1203">
        <f t="shared" si="20"/>
        <v>31.898813779451149</v>
      </c>
      <c r="AA32" s="1204">
        <f t="shared" si="21"/>
        <v>23.355473657478509</v>
      </c>
      <c r="AC32" s="1282" cm="1">
        <f t="array" ref="AC32">1/SUMPRODUCT(IFERROR(1/V32:AA32,0),'Mkt Pen Veh-Mi'!H32:M32)</f>
        <v>13.194341581965519</v>
      </c>
      <c r="AD32" s="1283">
        <f t="shared" si="22"/>
        <v>1.0619464955952487</v>
      </c>
    </row>
    <row r="33" spans="1:30" ht="15" x14ac:dyDescent="0.25">
      <c r="A33" s="1195">
        <v>2031</v>
      </c>
      <c r="B33" s="1205">
        <f>IF('Mkt Pen Veh-Mi'!B33=0,1,1/((1-Fuel2ShrbyTech!B34)/'Inputs 4-6 Gas'!$N46+Fuel2ShrbyTech!B34/'Inputs 4-6 Gas'!$T46))</f>
        <v>6.0822354262533063</v>
      </c>
      <c r="C33" s="1206">
        <f>IF('Mkt Pen Veh-Mi'!C33=0,1,1/((1-Fuel2ShrbyTech!C34)/'Inputs 4-6 Gas'!$O46+Fuel2ShrbyTech!C34/'Inputs 4-6 Gas'!$U46))</f>
        <v>1</v>
      </c>
      <c r="D33" s="1206">
        <f>IF('Mkt Pen Veh-Mi'!D33=0,1,1/((1-Fuel2ShrbyTech!D34)/'Inputs 4-6 Gas'!$P46+Fuel2ShrbyTech!D34/'Inputs 4-6 Gas'!$V46))</f>
        <v>1</v>
      </c>
      <c r="E33" s="1206">
        <f>IF('Mkt Pen Veh-Mi'!E33=0,1,1/((1-Fuel2ShrbyTech!E34)/'Inputs 4-6 Gas'!$Q46+Fuel2ShrbyTech!E34/'Inputs 4-6 Gas'!$W46))</f>
        <v>1</v>
      </c>
      <c r="F33" s="1206">
        <f>IF('Mkt Pen Veh-Mi'!F33=0,1,1/((1-Fuel2ShrbyTech!F34)/'Inputs 4-6 Gas'!$R46+Fuel2ShrbyTech!F34/'Inputs 4-6 Gas'!$X46))</f>
        <v>1</v>
      </c>
      <c r="G33" s="1207">
        <f>IF('Mkt Pen Veh-Mi'!G33=0,1,1/((1-Fuel2ShrbyTech!G34)/'Inputs 4-6 Gas'!$S46+Fuel2ShrbyTech!G34/'Inputs 4-6 Gas'!$Y46))</f>
        <v>1</v>
      </c>
      <c r="H33" s="1205">
        <f>IF('Mkt Pen Veh-Mi'!H33=0,1,1/((1-Fuel2ShrbyTech!H34)/'Inputs 4-6 Diesel'!$N46+Fuel2ShrbyTech!H34/'Inputs 4-6 Diesel'!$T46))</f>
        <v>12.675246951592575</v>
      </c>
      <c r="I33" s="1206">
        <f>IF('Mkt Pen Veh-Mi'!I33=0,1,1/((1-Fuel2ShrbyTech!I34)/'Inputs 4-6 Diesel'!$O46+Fuel2ShrbyTech!I34/'Inputs 4-6 Diesel'!$U46))</f>
        <v>13.396866669686494</v>
      </c>
      <c r="J33" s="1206">
        <f>IF('Mkt Pen Veh-Mi'!J33=0,1,1/((1-Fuel2ShrbyTech!J34)/'Inputs 4-6 Diesel'!$P46+Fuel2ShrbyTech!J34/'Inputs 4-6 Diesel'!$V46))</f>
        <v>17.777579247890628</v>
      </c>
      <c r="K33" s="1206">
        <f>IF('Mkt Pen Veh-Mi'!K33=0,1,1/((1-Fuel2ShrbyTech!K34)/'Inputs 4-6 Diesel'!$Q46+Fuel2ShrbyTech!K34/'Inputs 4-6 Diesel'!$W46))</f>
        <v>1</v>
      </c>
      <c r="L33" s="1206">
        <f>IF('Mkt Pen Veh-Mi'!L33=0,1,1/((1-Fuel2ShrbyTech!L34)/'Inputs 4-6 Diesel'!$R46+Fuel2ShrbyTech!L34/'Inputs 4-6 Diesel'!$X46))</f>
        <v>32.379622126627339</v>
      </c>
      <c r="M33" s="1207">
        <f>IF('Mkt Pen Veh-Mi'!M33=0,1,1/((1-Fuel2ShrbyTech!M34)/'Inputs 4-6 Diesel'!$S46+Fuel2ShrbyTech!M34/'Inputs 4-6 Diesel'!$Y46))</f>
        <v>23.834968706520218</v>
      </c>
      <c r="O33" s="1195">
        <f t="shared" si="9"/>
        <v>2031</v>
      </c>
      <c r="P33" s="1205">
        <f t="shared" si="10"/>
        <v>6.0822354262533063</v>
      </c>
      <c r="Q33" s="1206">
        <f t="shared" si="11"/>
        <v>0</v>
      </c>
      <c r="R33" s="1206">
        <f t="shared" si="12"/>
        <v>0</v>
      </c>
      <c r="S33" s="1206">
        <f t="shared" si="13"/>
        <v>0</v>
      </c>
      <c r="T33" s="1206">
        <f t="shared" si="14"/>
        <v>0</v>
      </c>
      <c r="U33" s="1207">
        <f t="shared" si="15"/>
        <v>0</v>
      </c>
      <c r="V33" s="1205">
        <f t="shared" si="16"/>
        <v>12.675246951592575</v>
      </c>
      <c r="W33" s="1206">
        <f t="shared" si="17"/>
        <v>13.396866669686494</v>
      </c>
      <c r="X33" s="1206">
        <f t="shared" si="18"/>
        <v>17.777579247890628</v>
      </c>
      <c r="Y33" s="1206">
        <f t="shared" si="19"/>
        <v>0</v>
      </c>
      <c r="Z33" s="1206">
        <f t="shared" si="20"/>
        <v>32.379622126627339</v>
      </c>
      <c r="AA33" s="1207">
        <f t="shared" si="21"/>
        <v>23.834968706520218</v>
      </c>
      <c r="AC33" s="1282" cm="1">
        <f t="array" ref="AC33">1/SUMPRODUCT(IFERROR(1/V33:AA33,0),'Mkt Pen Veh-Mi'!H33:M33)</f>
        <v>13.796311286573957</v>
      </c>
      <c r="AD33" s="1283">
        <f t="shared" si="22"/>
        <v>1.0884451671247735</v>
      </c>
    </row>
    <row r="34" spans="1:30" ht="15" x14ac:dyDescent="0.25">
      <c r="A34" s="1195">
        <v>2032</v>
      </c>
      <c r="B34" s="1196">
        <f>IF('Mkt Pen Veh-Mi'!B34=0,1,1/((1-Fuel2ShrbyTech!B35)/'Inputs 4-6 Gas'!$N47+Fuel2ShrbyTech!B35/'Inputs 4-6 Gas'!$T47))</f>
        <v>6.0828354404062344</v>
      </c>
      <c r="C34" s="1199">
        <f>IF('Mkt Pen Veh-Mi'!C34=0,1,1/((1-Fuel2ShrbyTech!C35)/'Inputs 4-6 Gas'!$O47+Fuel2ShrbyTech!C35/'Inputs 4-6 Gas'!$U47))</f>
        <v>1</v>
      </c>
      <c r="D34" s="1199">
        <f>IF('Mkt Pen Veh-Mi'!D34=0,1,1/((1-Fuel2ShrbyTech!D35)/'Inputs 4-6 Gas'!$P47+Fuel2ShrbyTech!D35/'Inputs 4-6 Gas'!$V47))</f>
        <v>1</v>
      </c>
      <c r="E34" s="1199">
        <f>IF('Mkt Pen Veh-Mi'!E34=0,1,1/((1-Fuel2ShrbyTech!E35)/'Inputs 4-6 Gas'!$Q47+Fuel2ShrbyTech!E35/'Inputs 4-6 Gas'!$W47))</f>
        <v>1</v>
      </c>
      <c r="F34" s="1199">
        <f>IF('Mkt Pen Veh-Mi'!F34=0,1,1/((1-Fuel2ShrbyTech!F35)/'Inputs 4-6 Gas'!$R47+Fuel2ShrbyTech!F35/'Inputs 4-6 Gas'!$X47))</f>
        <v>1</v>
      </c>
      <c r="G34" s="1200">
        <f>IF('Mkt Pen Veh-Mi'!G34=0,1,1/((1-Fuel2ShrbyTech!G35)/'Inputs 4-6 Gas'!$S47+Fuel2ShrbyTech!G35/'Inputs 4-6 Gas'!$Y47))</f>
        <v>1</v>
      </c>
      <c r="H34" s="1196">
        <f>IF('Mkt Pen Veh-Mi'!H34=0,1,1/((1-Fuel2ShrbyTech!H35)/'Inputs 4-6 Diesel'!$N47+Fuel2ShrbyTech!H35/'Inputs 4-6 Diesel'!$T47))</f>
        <v>12.701713781288014</v>
      </c>
      <c r="I34" s="1199">
        <f>IF('Mkt Pen Veh-Mi'!I34=0,1,1/((1-Fuel2ShrbyTech!I35)/'Inputs 4-6 Diesel'!$O47+Fuel2ShrbyTech!I35/'Inputs 4-6 Diesel'!$U47))</f>
        <v>13.769137293785706</v>
      </c>
      <c r="J34" s="1199">
        <f>IF('Mkt Pen Veh-Mi'!J34=0,1,1/((1-Fuel2ShrbyTech!J35)/'Inputs 4-6 Diesel'!$P47+Fuel2ShrbyTech!J35/'Inputs 4-6 Diesel'!$V47))</f>
        <v>18.270029727432746</v>
      </c>
      <c r="K34" s="1199">
        <f>IF('Mkt Pen Veh-Mi'!K34=0,1,1/((1-Fuel2ShrbyTech!K35)/'Inputs 4-6 Diesel'!$Q47+Fuel2ShrbyTech!K35/'Inputs 4-6 Diesel'!$W47))</f>
        <v>1</v>
      </c>
      <c r="L34" s="1199">
        <f>IF('Mkt Pen Veh-Mi'!L34=0,1,1/((1-Fuel2ShrbyTech!L35)/'Inputs 4-6 Diesel'!$R47+Fuel2ShrbyTech!L35/'Inputs 4-6 Diesel'!$X47))</f>
        <v>32.860430473803525</v>
      </c>
      <c r="M34" s="1200">
        <f>IF('Mkt Pen Veh-Mi'!M34=0,1,1/((1-Fuel2ShrbyTech!M35)/'Inputs 4-6 Diesel'!$S47+Fuel2ShrbyTech!M35/'Inputs 4-6 Diesel'!$Y47))</f>
        <v>24.352254332246989</v>
      </c>
      <c r="O34" s="1195">
        <f t="shared" si="9"/>
        <v>2032</v>
      </c>
      <c r="P34" s="1196">
        <f t="shared" si="10"/>
        <v>6.0828354404062344</v>
      </c>
      <c r="Q34" s="1199">
        <f t="shared" si="11"/>
        <v>0</v>
      </c>
      <c r="R34" s="1199">
        <f t="shared" si="12"/>
        <v>0</v>
      </c>
      <c r="S34" s="1199">
        <f t="shared" si="13"/>
        <v>0</v>
      </c>
      <c r="T34" s="1199">
        <f t="shared" si="14"/>
        <v>0</v>
      </c>
      <c r="U34" s="1200">
        <f t="shared" si="15"/>
        <v>0</v>
      </c>
      <c r="V34" s="1196">
        <f t="shared" si="16"/>
        <v>12.701713781288014</v>
      </c>
      <c r="W34" s="1199">
        <f t="shared" si="17"/>
        <v>13.769137293785706</v>
      </c>
      <c r="X34" s="1199">
        <f t="shared" si="18"/>
        <v>18.270029727432746</v>
      </c>
      <c r="Y34" s="1199">
        <f t="shared" si="19"/>
        <v>0</v>
      </c>
      <c r="Z34" s="1199">
        <f t="shared" si="20"/>
        <v>32.860430473803525</v>
      </c>
      <c r="AA34" s="1200">
        <f t="shared" si="21"/>
        <v>24.352254332246989</v>
      </c>
      <c r="AC34" s="1282" cm="1">
        <f t="array" ref="AC34">1/SUMPRODUCT(IFERROR(1/V34:AA34,0),'Mkt Pen Veh-Mi'!H34:M34)</f>
        <v>14.42644328400427</v>
      </c>
      <c r="AD34" s="1283">
        <f t="shared" si="22"/>
        <v>1.1357871490740961</v>
      </c>
    </row>
    <row r="35" spans="1:30" ht="15" x14ac:dyDescent="0.25">
      <c r="A35" s="1195">
        <v>2033</v>
      </c>
      <c r="B35" s="1196">
        <f>IF('Mkt Pen Veh-Mi'!B35=0,1,1/((1-Fuel2ShrbyTech!B36)/'Inputs 4-6 Gas'!$N48+Fuel2ShrbyTech!B36/'Inputs 4-6 Gas'!$T48))</f>
        <v>6.0824029465464289</v>
      </c>
      <c r="C35" s="1199">
        <f>IF('Mkt Pen Veh-Mi'!C35=0,1,1/((1-Fuel2ShrbyTech!C36)/'Inputs 4-6 Gas'!$O48+Fuel2ShrbyTech!C36/'Inputs 4-6 Gas'!$U48))</f>
        <v>1</v>
      </c>
      <c r="D35" s="1199">
        <f>IF('Mkt Pen Veh-Mi'!D35=0,1,1/((1-Fuel2ShrbyTech!D36)/'Inputs 4-6 Gas'!$P48+Fuel2ShrbyTech!D36/'Inputs 4-6 Gas'!$V48))</f>
        <v>1</v>
      </c>
      <c r="E35" s="1199">
        <f>IF('Mkt Pen Veh-Mi'!E35=0,1,1/((1-Fuel2ShrbyTech!E36)/'Inputs 4-6 Gas'!$Q48+Fuel2ShrbyTech!E36/'Inputs 4-6 Gas'!$W48))</f>
        <v>1</v>
      </c>
      <c r="F35" s="1199">
        <f>IF('Mkt Pen Veh-Mi'!F35=0,1,1/((1-Fuel2ShrbyTech!F36)/'Inputs 4-6 Gas'!$R48+Fuel2ShrbyTech!F36/'Inputs 4-6 Gas'!$X48))</f>
        <v>1</v>
      </c>
      <c r="G35" s="1200">
        <f>IF('Mkt Pen Veh-Mi'!G35=0,1,1/((1-Fuel2ShrbyTech!G36)/'Inputs 4-6 Gas'!$S48+Fuel2ShrbyTech!G36/'Inputs 4-6 Gas'!$Y48))</f>
        <v>1</v>
      </c>
      <c r="H35" s="1196">
        <f>IF('Mkt Pen Veh-Mi'!H35=0,1,1/((1-Fuel2ShrbyTech!H36)/'Inputs 4-6 Diesel'!$N48+Fuel2ShrbyTech!H36/'Inputs 4-6 Diesel'!$T48))</f>
        <v>12.728180610983452</v>
      </c>
      <c r="I35" s="1199">
        <f>IF('Mkt Pen Veh-Mi'!I35=0,1,1/((1-Fuel2ShrbyTech!I36)/'Inputs 4-6 Diesel'!$O48+Fuel2ShrbyTech!I36/'Inputs 4-6 Diesel'!$U48))</f>
        <v>14.085141197154746</v>
      </c>
      <c r="J35" s="1199">
        <f>IF('Mkt Pen Veh-Mi'!J35=0,1,1/((1-Fuel2ShrbyTech!J36)/'Inputs 4-6 Diesel'!$P48+Fuel2ShrbyTech!J36/'Inputs 4-6 Diesel'!$V48))</f>
        <v>18.688048941620846</v>
      </c>
      <c r="K35" s="1199">
        <f>IF('Mkt Pen Veh-Mi'!K35=0,1,1/((1-Fuel2ShrbyTech!K36)/'Inputs 4-6 Diesel'!$Q48+Fuel2ShrbyTech!K36/'Inputs 4-6 Diesel'!$W48))</f>
        <v>1</v>
      </c>
      <c r="L35" s="1199">
        <f>IF('Mkt Pen Veh-Mi'!L35=0,1,1/((1-Fuel2ShrbyTech!L36)/'Inputs 4-6 Diesel'!$R48+Fuel2ShrbyTech!L36/'Inputs 4-6 Diesel'!$X48))</f>
        <v>33.268567201883371</v>
      </c>
      <c r="M35" s="1200">
        <f>IF('Mkt Pen Veh-Mi'!M35=0,1,1/((1-Fuel2ShrbyTech!M36)/'Inputs 4-6 Diesel'!$S48+Fuel2ShrbyTech!M36/'Inputs 4-6 Diesel'!$Y48))</f>
        <v>24.831638411645343</v>
      </c>
      <c r="O35" s="1195">
        <f t="shared" si="9"/>
        <v>2033</v>
      </c>
      <c r="P35" s="1196">
        <f t="shared" si="10"/>
        <v>6.0824029465464289</v>
      </c>
      <c r="Q35" s="1199">
        <f t="shared" si="11"/>
        <v>0</v>
      </c>
      <c r="R35" s="1199">
        <f t="shared" si="12"/>
        <v>0</v>
      </c>
      <c r="S35" s="1199">
        <f t="shared" si="13"/>
        <v>0</v>
      </c>
      <c r="T35" s="1199">
        <f t="shared" si="14"/>
        <v>0</v>
      </c>
      <c r="U35" s="1200">
        <f t="shared" si="15"/>
        <v>0</v>
      </c>
      <c r="V35" s="1196">
        <f t="shared" si="16"/>
        <v>12.728180610983452</v>
      </c>
      <c r="W35" s="1199">
        <f t="shared" si="17"/>
        <v>14.085141197154746</v>
      </c>
      <c r="X35" s="1199">
        <f t="shared" si="18"/>
        <v>18.688048941620846</v>
      </c>
      <c r="Y35" s="1199">
        <f t="shared" si="19"/>
        <v>0</v>
      </c>
      <c r="Z35" s="1199">
        <f t="shared" si="20"/>
        <v>33.268567201883371</v>
      </c>
      <c r="AA35" s="1200">
        <f t="shared" si="21"/>
        <v>24.831638411645343</v>
      </c>
      <c r="AC35" s="1282" cm="1">
        <f t="array" ref="AC35">1/SUMPRODUCT(IFERROR(1/V35:AA35,0),'Mkt Pen Veh-Mi'!H35:M35)</f>
        <v>14.96606772588755</v>
      </c>
      <c r="AD35" s="1283">
        <f t="shared" si="22"/>
        <v>1.1758214456018146</v>
      </c>
    </row>
    <row r="36" spans="1:30" ht="15" x14ac:dyDescent="0.25">
      <c r="A36" s="1195">
        <v>2034</v>
      </c>
      <c r="B36" s="1196">
        <f>IF('Mkt Pen Veh-Mi'!B36=0,1,1/((1-Fuel2ShrbyTech!B37)/'Inputs 4-6 Gas'!$N49+Fuel2ShrbyTech!B37/'Inputs 4-6 Gas'!$T49))</f>
        <v>6.083979680505311</v>
      </c>
      <c r="C36" s="1199">
        <f>IF('Mkt Pen Veh-Mi'!C36=0,1,1/((1-Fuel2ShrbyTech!C37)/'Inputs 4-6 Gas'!$O49+Fuel2ShrbyTech!C37/'Inputs 4-6 Gas'!$U49))</f>
        <v>1</v>
      </c>
      <c r="D36" s="1199">
        <f>IF('Mkt Pen Veh-Mi'!D36=0,1,1/((1-Fuel2ShrbyTech!D37)/'Inputs 4-6 Gas'!$P49+Fuel2ShrbyTech!D37/'Inputs 4-6 Gas'!$V49))</f>
        <v>1</v>
      </c>
      <c r="E36" s="1199">
        <f>IF('Mkt Pen Veh-Mi'!E36=0,1,1/((1-Fuel2ShrbyTech!E37)/'Inputs 4-6 Gas'!$Q49+Fuel2ShrbyTech!E37/'Inputs 4-6 Gas'!$W49))</f>
        <v>1</v>
      </c>
      <c r="F36" s="1199">
        <f>IF('Mkt Pen Veh-Mi'!F36=0,1,1/((1-Fuel2ShrbyTech!F37)/'Inputs 4-6 Gas'!$R49+Fuel2ShrbyTech!F37/'Inputs 4-6 Gas'!$X49))</f>
        <v>1</v>
      </c>
      <c r="G36" s="1200">
        <f>IF('Mkt Pen Veh-Mi'!G36=0,1,1/((1-Fuel2ShrbyTech!G37)/'Inputs 4-6 Gas'!$S49+Fuel2ShrbyTech!G37/'Inputs 4-6 Gas'!$Y49))</f>
        <v>1</v>
      </c>
      <c r="H36" s="1196">
        <f>IF('Mkt Pen Veh-Mi'!H36=0,1,1/((1-Fuel2ShrbyTech!H37)/'Inputs 4-6 Diesel'!$N49+Fuel2ShrbyTech!H37/'Inputs 4-6 Diesel'!$T49))</f>
        <v>12.754647440678891</v>
      </c>
      <c r="I36" s="1199">
        <f>IF('Mkt Pen Veh-Mi'!I36=0,1,1/((1-Fuel2ShrbyTech!I37)/'Inputs 4-6 Diesel'!$O49+Fuel2ShrbyTech!I37/'Inputs 4-6 Diesel'!$U49))</f>
        <v>14.318162818605792</v>
      </c>
      <c r="J36" s="1199">
        <f>IF('Mkt Pen Veh-Mi'!J36=0,1,1/((1-Fuel2ShrbyTech!J37)/'Inputs 4-6 Diesel'!$P49+Fuel2ShrbyTech!J37/'Inputs 4-6 Diesel'!$V49))</f>
        <v>18.99629676403476</v>
      </c>
      <c r="K36" s="1199">
        <f>IF('Mkt Pen Veh-Mi'!K36=0,1,1/((1-Fuel2ShrbyTech!K37)/'Inputs 4-6 Diesel'!$Q49+Fuel2ShrbyTech!K37/'Inputs 4-6 Diesel'!$W49))</f>
        <v>1</v>
      </c>
      <c r="L36" s="1199">
        <f>IF('Mkt Pen Veh-Mi'!L36=0,1,1/((1-Fuel2ShrbyTech!L37)/'Inputs 4-6 Diesel'!$R49+Fuel2ShrbyTech!L37/'Inputs 4-6 Diesel'!$X49))</f>
        <v>33.569527668310968</v>
      </c>
      <c r="M36" s="1200">
        <f>IF('Mkt Pen Veh-Mi'!M36=0,1,1/((1-Fuel2ShrbyTech!M37)/'Inputs 4-6 Diesel'!$S49+Fuel2ShrbyTech!M37/'Inputs 4-6 Diesel'!$Y49))</f>
        <v>25.190401703879541</v>
      </c>
      <c r="O36" s="1195">
        <f t="shared" si="9"/>
        <v>2034</v>
      </c>
      <c r="P36" s="1196">
        <f t="shared" si="10"/>
        <v>6.083979680505311</v>
      </c>
      <c r="Q36" s="1199">
        <f t="shared" si="11"/>
        <v>0</v>
      </c>
      <c r="R36" s="1199">
        <f t="shared" si="12"/>
        <v>0</v>
      </c>
      <c r="S36" s="1199">
        <f t="shared" si="13"/>
        <v>0</v>
      </c>
      <c r="T36" s="1199">
        <f t="shared" si="14"/>
        <v>0</v>
      </c>
      <c r="U36" s="1200">
        <f t="shared" si="15"/>
        <v>0</v>
      </c>
      <c r="V36" s="1196">
        <f t="shared" si="16"/>
        <v>12.754647440678891</v>
      </c>
      <c r="W36" s="1199">
        <f t="shared" si="17"/>
        <v>14.318162818605792</v>
      </c>
      <c r="X36" s="1199">
        <f t="shared" si="18"/>
        <v>18.99629676403476</v>
      </c>
      <c r="Y36" s="1199">
        <f t="shared" si="19"/>
        <v>0</v>
      </c>
      <c r="Z36" s="1199">
        <f t="shared" si="20"/>
        <v>33.569527668310968</v>
      </c>
      <c r="AA36" s="1200">
        <f t="shared" si="21"/>
        <v>25.190401703879541</v>
      </c>
      <c r="AC36" s="1282" cm="1">
        <f t="array" ref="AC36">1/SUMPRODUCT(IFERROR(1/V36:AA36,0),'Mkt Pen Veh-Mi'!H36:M36)</f>
        <v>15.320295731606954</v>
      </c>
      <c r="AD36" s="1283">
        <f t="shared" si="22"/>
        <v>1.2011539952680574</v>
      </c>
    </row>
    <row r="37" spans="1:30" ht="15" x14ac:dyDescent="0.25">
      <c r="A37" s="1201">
        <v>2035</v>
      </c>
      <c r="B37" s="1202">
        <f>IF('Mkt Pen Veh-Mi'!B37=0,1,1/((1-Fuel2ShrbyTech!B38)/'Inputs 4-6 Gas'!$N50+Fuel2ShrbyTech!B38/'Inputs 4-6 Gas'!$T50))</f>
        <v>6.0858813141485735</v>
      </c>
      <c r="C37" s="1203">
        <f>IF('Mkt Pen Veh-Mi'!C37=0,1,1/((1-Fuel2ShrbyTech!C38)/'Inputs 4-6 Gas'!$O50+Fuel2ShrbyTech!C38/'Inputs 4-6 Gas'!$U50))</f>
        <v>1</v>
      </c>
      <c r="D37" s="1203">
        <f>IF('Mkt Pen Veh-Mi'!D37=0,1,1/((1-Fuel2ShrbyTech!D38)/'Inputs 4-6 Gas'!$P50+Fuel2ShrbyTech!D38/'Inputs 4-6 Gas'!$V50))</f>
        <v>1</v>
      </c>
      <c r="E37" s="1203">
        <f>IF('Mkt Pen Veh-Mi'!E37=0,1,1/((1-Fuel2ShrbyTech!E38)/'Inputs 4-6 Gas'!$Q50+Fuel2ShrbyTech!E38/'Inputs 4-6 Gas'!$W50))</f>
        <v>1</v>
      </c>
      <c r="F37" s="1203">
        <f>IF('Mkt Pen Veh-Mi'!F37=0,1,1/((1-Fuel2ShrbyTech!F38)/'Inputs 4-6 Gas'!$R50+Fuel2ShrbyTech!F38/'Inputs 4-6 Gas'!$X50))</f>
        <v>1</v>
      </c>
      <c r="G37" s="1204">
        <f>IF('Mkt Pen Veh-Mi'!G37=0,1,1/((1-Fuel2ShrbyTech!G38)/'Inputs 4-6 Gas'!$S50+Fuel2ShrbyTech!G38/'Inputs 4-6 Gas'!$Y50))</f>
        <v>1</v>
      </c>
      <c r="H37" s="1202">
        <f>IF('Mkt Pen Veh-Mi'!H37=0,1,1/((1-Fuel2ShrbyTech!H38)/'Inputs 4-6 Diesel'!$N50+Fuel2ShrbyTech!H38/'Inputs 4-6 Diesel'!$T50))</f>
        <v>12.781114270374328</v>
      </c>
      <c r="I37" s="1203">
        <f>IF('Mkt Pen Veh-Mi'!I37=0,1,1/((1-Fuel2ShrbyTech!I38)/'Inputs 4-6 Diesel'!$O50+Fuel2ShrbyTech!I38/'Inputs 4-6 Diesel'!$U50))</f>
        <v>14.698875151461861</v>
      </c>
      <c r="J37" s="1203">
        <f>IF('Mkt Pen Veh-Mi'!J37=0,1,1/((1-Fuel2ShrbyTech!J38)/'Inputs 4-6 Diesel'!$P50+Fuel2ShrbyTech!J38/'Inputs 4-6 Diesel'!$V50))</f>
        <v>19.499914183046066</v>
      </c>
      <c r="K37" s="1203">
        <f>IF('Mkt Pen Veh-Mi'!K37=0,1,1/((1-Fuel2ShrbyTech!K38)/'Inputs 4-6 Diesel'!$Q50+Fuel2ShrbyTech!K38/'Inputs 4-6 Diesel'!$W50))</f>
        <v>1</v>
      </c>
      <c r="L37" s="1203">
        <f>IF('Mkt Pen Veh-Mi'!L37=0,1,1/((1-Fuel2ShrbyTech!L38)/'Inputs 4-6 Diesel'!$R50+Fuel2ShrbyTech!L38/'Inputs 4-6 Diesel'!$X50))</f>
        <v>34.061238954832831</v>
      </c>
      <c r="M37" s="1204">
        <f>IF('Mkt Pen Veh-Mi'!M37=0,1,1/((1-Fuel2ShrbyTech!M38)/'Inputs 4-6 Diesel'!$S50+Fuel2ShrbyTech!M38/'Inputs 4-6 Diesel'!$Y50))</f>
        <v>25.798325645442134</v>
      </c>
      <c r="O37" s="1201">
        <f t="shared" si="9"/>
        <v>2035</v>
      </c>
      <c r="P37" s="1202">
        <f t="shared" si="10"/>
        <v>6.0858813141485735</v>
      </c>
      <c r="Q37" s="1203">
        <f t="shared" si="11"/>
        <v>0</v>
      </c>
      <c r="R37" s="1203">
        <f t="shared" si="12"/>
        <v>0</v>
      </c>
      <c r="S37" s="1203">
        <f t="shared" si="13"/>
        <v>0</v>
      </c>
      <c r="T37" s="1203">
        <f t="shared" si="14"/>
        <v>0</v>
      </c>
      <c r="U37" s="1204">
        <f t="shared" si="15"/>
        <v>0</v>
      </c>
      <c r="V37" s="1202">
        <f t="shared" si="16"/>
        <v>12.781114270374328</v>
      </c>
      <c r="W37" s="1203">
        <f t="shared" si="17"/>
        <v>14.698875151461861</v>
      </c>
      <c r="X37" s="1203">
        <f t="shared" si="18"/>
        <v>19.499914183046066</v>
      </c>
      <c r="Y37" s="1203">
        <f t="shared" si="19"/>
        <v>0</v>
      </c>
      <c r="Z37" s="1203">
        <f t="shared" si="20"/>
        <v>34.061238954832831</v>
      </c>
      <c r="AA37" s="1204">
        <f t="shared" si="21"/>
        <v>25.798325645442134</v>
      </c>
      <c r="AC37" s="1282" cm="1">
        <f t="array" ref="AC37">1/SUMPRODUCT(IFERROR(1/V37:AA37,0),'Mkt Pen Veh-Mi'!H37:M37)</f>
        <v>15.942986107787496</v>
      </c>
      <c r="AD37" s="1283">
        <f t="shared" si="22"/>
        <v>1.2473862427427123</v>
      </c>
    </row>
    <row r="38" spans="1:30" ht="15" x14ac:dyDescent="0.25">
      <c r="A38" s="1195">
        <v>2036</v>
      </c>
      <c r="B38" s="1205">
        <f>IF('Mkt Pen Veh-Mi'!B38=0,1,1/((1-Fuel2ShrbyTech!B39)/'Inputs 4-6 Gas'!$N51+Fuel2ShrbyTech!B39/'Inputs 4-6 Gas'!$T51))</f>
        <v>6.0880036550861583</v>
      </c>
      <c r="C38" s="1206">
        <f>IF('Mkt Pen Veh-Mi'!C38=0,1,1/((1-Fuel2ShrbyTech!C39)/'Inputs 4-6 Gas'!$O51+Fuel2ShrbyTech!C39/'Inputs 4-6 Gas'!$U51))</f>
        <v>1</v>
      </c>
      <c r="D38" s="1206">
        <f>IF('Mkt Pen Veh-Mi'!D38=0,1,1/((1-Fuel2ShrbyTech!D39)/'Inputs 4-6 Gas'!$P51+Fuel2ShrbyTech!D39/'Inputs 4-6 Gas'!$V51))</f>
        <v>1</v>
      </c>
      <c r="E38" s="1206">
        <f>IF('Mkt Pen Veh-Mi'!E38=0,1,1/((1-Fuel2ShrbyTech!E39)/'Inputs 4-6 Gas'!$Q51+Fuel2ShrbyTech!E39/'Inputs 4-6 Gas'!$W51))</f>
        <v>1</v>
      </c>
      <c r="F38" s="1206">
        <f>IF('Mkt Pen Veh-Mi'!F38=0,1,1/((1-Fuel2ShrbyTech!F39)/'Inputs 4-6 Gas'!$R51+Fuel2ShrbyTech!F39/'Inputs 4-6 Gas'!$X51))</f>
        <v>1</v>
      </c>
      <c r="G38" s="1207">
        <f>IF('Mkt Pen Veh-Mi'!G38=0,1,1/((1-Fuel2ShrbyTech!G39)/'Inputs 4-6 Gas'!$S51+Fuel2ShrbyTech!G39/'Inputs 4-6 Gas'!$Y51))</f>
        <v>1</v>
      </c>
      <c r="H38" s="1205">
        <f>IF('Mkt Pen Veh-Mi'!H38=0,1,1/((1-Fuel2ShrbyTech!H39)/'Inputs 4-6 Diesel'!$N51+Fuel2ShrbyTech!H39/'Inputs 4-6 Diesel'!$T51))</f>
        <v>12.781114270374328</v>
      </c>
      <c r="I38" s="1206">
        <f>IF('Mkt Pen Veh-Mi'!I38=0,1,1/((1-Fuel2ShrbyTech!I39)/'Inputs 4-6 Diesel'!$O51+Fuel2ShrbyTech!I39/'Inputs 4-6 Diesel'!$U51))</f>
        <v>15.149362867340223</v>
      </c>
      <c r="J38" s="1206">
        <f>IF('Mkt Pen Veh-Mi'!J38=0,1,1/((1-Fuel2ShrbyTech!J39)/'Inputs 4-6 Diesel'!$P51+Fuel2ShrbyTech!J39/'Inputs 4-6 Diesel'!$V51))</f>
        <v>20.098353012545516</v>
      </c>
      <c r="K38" s="1206">
        <f>IF('Mkt Pen Veh-Mi'!K38=0,1,1/((1-Fuel2ShrbyTech!K39)/'Inputs 4-6 Diesel'!$Q51+Fuel2ShrbyTech!K39/'Inputs 4-6 Diesel'!$W51))</f>
        <v>52.515942079941205</v>
      </c>
      <c r="L38" s="1206">
        <f>IF('Mkt Pen Veh-Mi'!L38=0,1,1/((1-Fuel2ShrbyTech!L39)/'Inputs 4-6 Diesel'!$R51+Fuel2ShrbyTech!L39/'Inputs 4-6 Diesel'!$X51))</f>
        <v>34.973067566268774</v>
      </c>
      <c r="M38" s="1207">
        <f>IF('Mkt Pen Veh-Mi'!M38=0,1,1/((1-Fuel2ShrbyTech!M39)/'Inputs 4-6 Diesel'!$S51+Fuel2ShrbyTech!M39/'Inputs 4-6 Diesel'!$Y51))</f>
        <v>26.784802592017911</v>
      </c>
      <c r="O38" s="1195">
        <f t="shared" si="9"/>
        <v>2036</v>
      </c>
      <c r="P38" s="1205">
        <f t="shared" si="10"/>
        <v>6.0880036550861583</v>
      </c>
      <c r="Q38" s="1206">
        <f t="shared" si="11"/>
        <v>0</v>
      </c>
      <c r="R38" s="1206">
        <f t="shared" si="12"/>
        <v>0</v>
      </c>
      <c r="S38" s="1206">
        <f t="shared" si="13"/>
        <v>0</v>
      </c>
      <c r="T38" s="1206">
        <f t="shared" si="14"/>
        <v>0</v>
      </c>
      <c r="U38" s="1207">
        <f t="shared" si="15"/>
        <v>0</v>
      </c>
      <c r="V38" s="1205">
        <f t="shared" si="16"/>
        <v>12.781114270374328</v>
      </c>
      <c r="W38" s="1206">
        <f t="shared" si="17"/>
        <v>15.149362867340223</v>
      </c>
      <c r="X38" s="1206">
        <f t="shared" si="18"/>
        <v>20.098353012545516</v>
      </c>
      <c r="Y38" s="1206">
        <f t="shared" si="19"/>
        <v>52.515942079941205</v>
      </c>
      <c r="Z38" s="1206">
        <f t="shared" si="20"/>
        <v>34.973067566268774</v>
      </c>
      <c r="AA38" s="1207">
        <f t="shared" si="21"/>
        <v>26.784802592017911</v>
      </c>
      <c r="AC38" s="1282" cm="1">
        <f t="array" ref="AC38">1/SUMPRODUCT(IFERROR(1/V38:AA38,0),'Mkt Pen Veh-Mi'!H38:M38)</f>
        <v>16.587408524788277</v>
      </c>
      <c r="AD38" s="1283">
        <f t="shared" si="22"/>
        <v>1.2978061359827331</v>
      </c>
    </row>
    <row r="39" spans="1:30" ht="15" x14ac:dyDescent="0.25">
      <c r="A39" s="1195">
        <v>2037</v>
      </c>
      <c r="B39" s="1196">
        <f>IF('Mkt Pen Veh-Mi'!B39=0,1,1/((1-Fuel2ShrbyTech!B40)/'Inputs 4-6 Gas'!$N52+Fuel2ShrbyTech!B40/'Inputs 4-6 Gas'!$T52))</f>
        <v>6.0902282775673982</v>
      </c>
      <c r="C39" s="1199">
        <f>IF('Mkt Pen Veh-Mi'!C39=0,1,1/((1-Fuel2ShrbyTech!C40)/'Inputs 4-6 Gas'!$O52+Fuel2ShrbyTech!C40/'Inputs 4-6 Gas'!$U52))</f>
        <v>1</v>
      </c>
      <c r="D39" s="1199">
        <f>IF('Mkt Pen Veh-Mi'!D39=0,1,1/((1-Fuel2ShrbyTech!D40)/'Inputs 4-6 Gas'!$P52+Fuel2ShrbyTech!D40/'Inputs 4-6 Gas'!$V52))</f>
        <v>1</v>
      </c>
      <c r="E39" s="1199">
        <f>IF('Mkt Pen Veh-Mi'!E39=0,1,1/((1-Fuel2ShrbyTech!E40)/'Inputs 4-6 Gas'!$Q52+Fuel2ShrbyTech!E40/'Inputs 4-6 Gas'!$W52))</f>
        <v>1</v>
      </c>
      <c r="F39" s="1199">
        <f>IF('Mkt Pen Veh-Mi'!F39=0,1,1/((1-Fuel2ShrbyTech!F40)/'Inputs 4-6 Gas'!$R52+Fuel2ShrbyTech!F40/'Inputs 4-6 Gas'!$X52))</f>
        <v>1</v>
      </c>
      <c r="G39" s="1200">
        <f>IF('Mkt Pen Veh-Mi'!G39=0,1,1/((1-Fuel2ShrbyTech!G40)/'Inputs 4-6 Gas'!$S52+Fuel2ShrbyTech!G40/'Inputs 4-6 Gas'!$Y52))</f>
        <v>1</v>
      </c>
      <c r="H39" s="1196">
        <f>IF('Mkt Pen Veh-Mi'!H39=0,1,1/((1-Fuel2ShrbyTech!H40)/'Inputs 4-6 Diesel'!$N52+Fuel2ShrbyTech!H40/'Inputs 4-6 Diesel'!$T52))</f>
        <v>12.781114270374328</v>
      </c>
      <c r="I39" s="1199">
        <f>IF('Mkt Pen Veh-Mi'!I39=0,1,1/((1-Fuel2ShrbyTech!I40)/'Inputs 4-6 Diesel'!$O52+Fuel2ShrbyTech!I40/'Inputs 4-6 Diesel'!$U52))</f>
        <v>15.345224954672149</v>
      </c>
      <c r="J39" s="1199">
        <f>IF('Mkt Pen Veh-Mi'!J39=0,1,1/((1-Fuel2ShrbyTech!J40)/'Inputs 4-6 Diesel'!$P52+Fuel2ShrbyTech!J40/'Inputs 4-6 Diesel'!$V52))</f>
        <v>20.358540969186457</v>
      </c>
      <c r="K39" s="1199">
        <f>IF('Mkt Pen Veh-Mi'!K39=0,1,1/((1-Fuel2ShrbyTech!K40)/'Inputs 4-6 Diesel'!$Q52+Fuel2ShrbyTech!K40/'Inputs 4-6 Diesel'!$W52))</f>
        <v>52.943954227501052</v>
      </c>
      <c r="L39" s="1199">
        <f>IF('Mkt Pen Veh-Mi'!L39=0,1,1/((1-Fuel2ShrbyTech!L40)/'Inputs 4-6 Diesel'!$R52+Fuel2ShrbyTech!L40/'Inputs 4-6 Diesel'!$X52))</f>
        <v>35.369510463222348</v>
      </c>
      <c r="M39" s="1200">
        <f>IF('Mkt Pen Veh-Mi'!M39=0,1,1/((1-Fuel2ShrbyTech!M40)/'Inputs 4-6 Diesel'!$S52+Fuel2ShrbyTech!M40/'Inputs 4-6 Diesel'!$Y52))</f>
        <v>27.239202434199292</v>
      </c>
      <c r="O39" s="1195">
        <f t="shared" si="9"/>
        <v>2037</v>
      </c>
      <c r="P39" s="1196">
        <f t="shared" si="10"/>
        <v>6.0902282775673982</v>
      </c>
      <c r="Q39" s="1199">
        <f t="shared" si="11"/>
        <v>0</v>
      </c>
      <c r="R39" s="1199">
        <f t="shared" si="12"/>
        <v>0</v>
      </c>
      <c r="S39" s="1199">
        <f t="shared" si="13"/>
        <v>0</v>
      </c>
      <c r="T39" s="1199">
        <f t="shared" si="14"/>
        <v>0</v>
      </c>
      <c r="U39" s="1200">
        <f t="shared" si="15"/>
        <v>0</v>
      </c>
      <c r="V39" s="1196">
        <f t="shared" si="16"/>
        <v>12.781114270374328</v>
      </c>
      <c r="W39" s="1199">
        <f t="shared" si="17"/>
        <v>15.345224954672149</v>
      </c>
      <c r="X39" s="1199">
        <f t="shared" si="18"/>
        <v>20.358540969186457</v>
      </c>
      <c r="Y39" s="1199">
        <f t="shared" si="19"/>
        <v>52.943954227501052</v>
      </c>
      <c r="Z39" s="1199">
        <f t="shared" si="20"/>
        <v>35.369510463222348</v>
      </c>
      <c r="AA39" s="1200">
        <f t="shared" si="21"/>
        <v>27.239202434199292</v>
      </c>
      <c r="AC39" s="1282" cm="1">
        <f t="array" ref="AC39">1/SUMPRODUCT(IFERROR(1/V39:AA39,0),'Mkt Pen Veh-Mi'!H39:M39)</f>
        <v>16.889726212314748</v>
      </c>
      <c r="AD39" s="1283">
        <f t="shared" si="22"/>
        <v>1.321459604775139</v>
      </c>
    </row>
    <row r="40" spans="1:30" ht="15" x14ac:dyDescent="0.25">
      <c r="A40" s="1195">
        <v>2038</v>
      </c>
      <c r="B40" s="1196">
        <f>IF('Mkt Pen Veh-Mi'!B40=0,1,1/((1-Fuel2ShrbyTech!B41)/'Inputs 4-6 Gas'!$N53+Fuel2ShrbyTech!B41/'Inputs 4-6 Gas'!$T53))</f>
        <v>6.0929106081155107</v>
      </c>
      <c r="C40" s="1199">
        <f>IF('Mkt Pen Veh-Mi'!C40=0,1,1/((1-Fuel2ShrbyTech!C41)/'Inputs 4-6 Gas'!$O53+Fuel2ShrbyTech!C41/'Inputs 4-6 Gas'!$U53))</f>
        <v>1</v>
      </c>
      <c r="D40" s="1199">
        <f>IF('Mkt Pen Veh-Mi'!D40=0,1,1/((1-Fuel2ShrbyTech!D41)/'Inputs 4-6 Gas'!$P53+Fuel2ShrbyTech!D41/'Inputs 4-6 Gas'!$V53))</f>
        <v>1</v>
      </c>
      <c r="E40" s="1199">
        <f>IF('Mkt Pen Veh-Mi'!E40=0,1,1/((1-Fuel2ShrbyTech!E41)/'Inputs 4-6 Gas'!$Q53+Fuel2ShrbyTech!E41/'Inputs 4-6 Gas'!$W53))</f>
        <v>1</v>
      </c>
      <c r="F40" s="1199">
        <f>IF('Mkt Pen Veh-Mi'!F40=0,1,1/((1-Fuel2ShrbyTech!F41)/'Inputs 4-6 Gas'!$R53+Fuel2ShrbyTech!F41/'Inputs 4-6 Gas'!$X53))</f>
        <v>1</v>
      </c>
      <c r="G40" s="1200">
        <f>IF('Mkt Pen Veh-Mi'!G40=0,1,1/((1-Fuel2ShrbyTech!G41)/'Inputs 4-6 Gas'!$S53+Fuel2ShrbyTech!G41/'Inputs 4-6 Gas'!$Y53))</f>
        <v>1</v>
      </c>
      <c r="H40" s="1196">
        <f>IF('Mkt Pen Veh-Mi'!H40=0,1,1/((1-Fuel2ShrbyTech!H41)/'Inputs 4-6 Diesel'!$N53+Fuel2ShrbyTech!H41/'Inputs 4-6 Diesel'!$T53))</f>
        <v>12.781114270374328</v>
      </c>
      <c r="I40" s="1199">
        <f>IF('Mkt Pen Veh-Mi'!I40=0,1,1/((1-Fuel2ShrbyTech!I41)/'Inputs 4-6 Diesel'!$O53+Fuel2ShrbyTech!I41/'Inputs 4-6 Diesel'!$U53))</f>
        <v>15.604917839953988</v>
      </c>
      <c r="J40" s="1199">
        <f>IF('Mkt Pen Veh-Mi'!J40=0,1,1/((1-Fuel2ShrbyTech!J41)/'Inputs 4-6 Diesel'!$P53+Fuel2ShrbyTech!J41/'Inputs 4-6 Diesel'!$V53))</f>
        <v>20.703523309036459</v>
      </c>
      <c r="K40" s="1199">
        <f>IF('Mkt Pen Veh-Mi'!K40=0,1,1/((1-Fuel2ShrbyTech!K41)/'Inputs 4-6 Diesel'!$Q53+Fuel2ShrbyTech!K41/'Inputs 4-6 Diesel'!$W53))</f>
        <v>53.511454099730663</v>
      </c>
      <c r="L40" s="1199">
        <f>IF('Mkt Pen Veh-Mi'!L40=0,1,1/((1-Fuel2ShrbyTech!L41)/'Inputs 4-6 Diesel'!$R53+Fuel2ShrbyTech!L41/'Inputs 4-6 Diesel'!$X53))</f>
        <v>35.895152771858065</v>
      </c>
      <c r="M40" s="1200">
        <f>IF('Mkt Pen Veh-Mi'!M40=0,1,1/((1-Fuel2ShrbyTech!M41)/'Inputs 4-6 Diesel'!$S53+Fuel2ShrbyTech!M41/'Inputs 4-6 Diesel'!$Y53))</f>
        <v>27.86420148208688</v>
      </c>
      <c r="O40" s="1195">
        <f t="shared" si="9"/>
        <v>2038</v>
      </c>
      <c r="P40" s="1196">
        <f t="shared" si="10"/>
        <v>6.0929106081155107</v>
      </c>
      <c r="Q40" s="1199">
        <f t="shared" si="11"/>
        <v>0</v>
      </c>
      <c r="R40" s="1199">
        <f t="shared" si="12"/>
        <v>0</v>
      </c>
      <c r="S40" s="1199">
        <f t="shared" si="13"/>
        <v>0</v>
      </c>
      <c r="T40" s="1199">
        <f t="shared" si="14"/>
        <v>0</v>
      </c>
      <c r="U40" s="1200">
        <f t="shared" si="15"/>
        <v>0</v>
      </c>
      <c r="V40" s="1196">
        <f t="shared" si="16"/>
        <v>12.781114270374328</v>
      </c>
      <c r="W40" s="1199">
        <f t="shared" si="17"/>
        <v>15.604917839953988</v>
      </c>
      <c r="X40" s="1199">
        <f t="shared" si="18"/>
        <v>20.703523309036459</v>
      </c>
      <c r="Y40" s="1199">
        <f t="shared" si="19"/>
        <v>53.511454099730663</v>
      </c>
      <c r="Z40" s="1199">
        <f t="shared" si="20"/>
        <v>35.895152771858065</v>
      </c>
      <c r="AA40" s="1200">
        <f t="shared" si="21"/>
        <v>27.86420148208688</v>
      </c>
      <c r="AC40" s="1282" cm="1">
        <f t="array" ref="AC40">1/SUMPRODUCT(IFERROR(1/V40:AA40,0),'Mkt Pen Veh-Mi'!H40:M40)</f>
        <v>17.270560057819331</v>
      </c>
      <c r="AD40" s="1283">
        <f t="shared" si="22"/>
        <v>1.3512562122890337</v>
      </c>
    </row>
    <row r="41" spans="1:30" ht="15" x14ac:dyDescent="0.25">
      <c r="A41" s="1195">
        <v>2039</v>
      </c>
      <c r="B41" s="1196">
        <f>IF('Mkt Pen Veh-Mi'!B41=0,1,1/((1-Fuel2ShrbyTech!B42)/'Inputs 4-6 Gas'!$N54+Fuel2ShrbyTech!B42/'Inputs 4-6 Gas'!$T54))</f>
        <v>6.095564304312485</v>
      </c>
      <c r="C41" s="1199">
        <f>IF('Mkt Pen Veh-Mi'!C41=0,1,1/((1-Fuel2ShrbyTech!C42)/'Inputs 4-6 Gas'!$O54+Fuel2ShrbyTech!C42/'Inputs 4-6 Gas'!$U54))</f>
        <v>1</v>
      </c>
      <c r="D41" s="1199">
        <f>IF('Mkt Pen Veh-Mi'!D41=0,1,1/((1-Fuel2ShrbyTech!D42)/'Inputs 4-6 Gas'!$P54+Fuel2ShrbyTech!D42/'Inputs 4-6 Gas'!$V54))</f>
        <v>1</v>
      </c>
      <c r="E41" s="1199">
        <f>IF('Mkt Pen Veh-Mi'!E41=0,1,1/((1-Fuel2ShrbyTech!E42)/'Inputs 4-6 Gas'!$Q54+Fuel2ShrbyTech!E42/'Inputs 4-6 Gas'!$W54))</f>
        <v>1</v>
      </c>
      <c r="F41" s="1199">
        <f>IF('Mkt Pen Veh-Mi'!F41=0,1,1/((1-Fuel2ShrbyTech!F42)/'Inputs 4-6 Gas'!$R54+Fuel2ShrbyTech!F42/'Inputs 4-6 Gas'!$X54))</f>
        <v>1</v>
      </c>
      <c r="G41" s="1200">
        <f>IF('Mkt Pen Veh-Mi'!G41=0,1,1/((1-Fuel2ShrbyTech!G42)/'Inputs 4-6 Gas'!$S54+Fuel2ShrbyTech!G42/'Inputs 4-6 Gas'!$Y54))</f>
        <v>1</v>
      </c>
      <c r="H41" s="1196">
        <f>IF('Mkt Pen Veh-Mi'!H41=0,1,1/((1-Fuel2ShrbyTech!H42)/'Inputs 4-6 Diesel'!$N54+Fuel2ShrbyTech!H42/'Inputs 4-6 Diesel'!$T54))</f>
        <v>12.781114270374328</v>
      </c>
      <c r="I41" s="1199">
        <f>IF('Mkt Pen Veh-Mi'!I41=0,1,1/((1-Fuel2ShrbyTech!I42)/'Inputs 4-6 Diesel'!$O54+Fuel2ShrbyTech!I42/'Inputs 4-6 Diesel'!$U54))</f>
        <v>15.93137200690845</v>
      </c>
      <c r="J41" s="1199">
        <f>IF('Mkt Pen Veh-Mi'!J41=0,1,1/((1-Fuel2ShrbyTech!J42)/'Inputs 4-6 Diesel'!$P54+Fuel2ShrbyTech!J42/'Inputs 4-6 Diesel'!$V54))</f>
        <v>21.137192957889209</v>
      </c>
      <c r="K41" s="1199">
        <f>IF('Mkt Pen Veh-Mi'!K41=0,1,1/((1-Fuel2ShrbyTech!K42)/'Inputs 4-6 Diesel'!$Q54+Fuel2ShrbyTech!K42/'Inputs 4-6 Diesel'!$W54))</f>
        <v>54.224845603831433</v>
      </c>
      <c r="L41" s="1199">
        <f>IF('Mkt Pen Veh-Mi'!L41=0,1,1/((1-Fuel2ShrbyTech!L42)/'Inputs 4-6 Diesel'!$R54+Fuel2ShrbyTech!L42/'Inputs 4-6 Diesel'!$X54))</f>
        <v>36.555926061027932</v>
      </c>
      <c r="M41" s="1200">
        <f>IF('Mkt Pen Veh-Mi'!M41=0,1,1/((1-Fuel2ShrbyTech!M42)/'Inputs 4-6 Diesel'!$S54+Fuel2ShrbyTech!M42/'Inputs 4-6 Diesel'!$Y54))</f>
        <v>28.655021568619023</v>
      </c>
      <c r="O41" s="1195">
        <f t="shared" si="9"/>
        <v>2039</v>
      </c>
      <c r="P41" s="1196">
        <f t="shared" si="10"/>
        <v>6.095564304312485</v>
      </c>
      <c r="Q41" s="1199">
        <f t="shared" si="11"/>
        <v>0</v>
      </c>
      <c r="R41" s="1199">
        <f t="shared" si="12"/>
        <v>0</v>
      </c>
      <c r="S41" s="1199">
        <f t="shared" si="13"/>
        <v>0</v>
      </c>
      <c r="T41" s="1199">
        <f t="shared" si="14"/>
        <v>0</v>
      </c>
      <c r="U41" s="1200">
        <f t="shared" si="15"/>
        <v>0</v>
      </c>
      <c r="V41" s="1196">
        <f t="shared" si="16"/>
        <v>12.781114270374328</v>
      </c>
      <c r="W41" s="1199">
        <f t="shared" si="17"/>
        <v>15.93137200690845</v>
      </c>
      <c r="X41" s="1199">
        <f t="shared" si="18"/>
        <v>21.137192957889209</v>
      </c>
      <c r="Y41" s="1199">
        <f t="shared" si="19"/>
        <v>54.224845603831433</v>
      </c>
      <c r="Z41" s="1199">
        <f t="shared" si="20"/>
        <v>36.555926061027932</v>
      </c>
      <c r="AA41" s="1200">
        <f t="shared" si="21"/>
        <v>28.655021568619023</v>
      </c>
      <c r="AC41" s="1282" cm="1">
        <f t="array" ref="AC41">1/SUMPRODUCT(IFERROR(1/V41:AA41,0),'Mkt Pen Veh-Mi'!H41:M41)</f>
        <v>17.74637996950797</v>
      </c>
      <c r="AD41" s="1283">
        <f t="shared" si="22"/>
        <v>1.3884845713837923</v>
      </c>
    </row>
    <row r="42" spans="1:30" ht="15" x14ac:dyDescent="0.25">
      <c r="A42" s="1201">
        <v>2040</v>
      </c>
      <c r="B42" s="1202">
        <f>IF('Mkt Pen Veh-Mi'!B42=0,1,1/((1-Fuel2ShrbyTech!B43)/'Inputs 4-6 Gas'!$N55+Fuel2ShrbyTech!B43/'Inputs 4-6 Gas'!$T55))</f>
        <v>6.0981283623288869</v>
      </c>
      <c r="C42" s="1203">
        <f>IF('Mkt Pen Veh-Mi'!C42=0,1,1/((1-Fuel2ShrbyTech!C43)/'Inputs 4-6 Gas'!$O55+Fuel2ShrbyTech!C43/'Inputs 4-6 Gas'!$U55))</f>
        <v>1</v>
      </c>
      <c r="D42" s="1203">
        <f>IF('Mkt Pen Veh-Mi'!D42=0,1,1/((1-Fuel2ShrbyTech!D43)/'Inputs 4-6 Gas'!$P55+Fuel2ShrbyTech!D43/'Inputs 4-6 Gas'!$V55))</f>
        <v>1</v>
      </c>
      <c r="E42" s="1203">
        <f>IF('Mkt Pen Veh-Mi'!E42=0,1,1/((1-Fuel2ShrbyTech!E43)/'Inputs 4-6 Gas'!$Q55+Fuel2ShrbyTech!E43/'Inputs 4-6 Gas'!$W55))</f>
        <v>1</v>
      </c>
      <c r="F42" s="1203">
        <f>IF('Mkt Pen Veh-Mi'!F42=0,1,1/((1-Fuel2ShrbyTech!F43)/'Inputs 4-6 Gas'!$R55+Fuel2ShrbyTech!F43/'Inputs 4-6 Gas'!$X55))</f>
        <v>1</v>
      </c>
      <c r="G42" s="1204">
        <f>IF('Mkt Pen Veh-Mi'!G42=0,1,1/((1-Fuel2ShrbyTech!G43)/'Inputs 4-6 Gas'!$S55+Fuel2ShrbyTech!G43/'Inputs 4-6 Gas'!$Y55))</f>
        <v>1</v>
      </c>
      <c r="H42" s="1208">
        <f>IF('Mkt Pen Veh-Mi'!H42=0,1,1/((1-Fuel2ShrbyTech!H43)/'Inputs 4-6 Diesel'!$N55+Fuel2ShrbyTech!H43/'Inputs 4-6 Diesel'!$T55))</f>
        <v>12.781114270374328</v>
      </c>
      <c r="I42" s="1209">
        <f>IF('Mkt Pen Veh-Mi'!I42=0,1,1/((1-Fuel2ShrbyTech!I43)/'Inputs 4-6 Diesel'!$O55+Fuel2ShrbyTech!I43/'Inputs 4-6 Diesel'!$U55))</f>
        <v>16.315326970729416</v>
      </c>
      <c r="J42" s="1209">
        <f>IF('Mkt Pen Veh-Mi'!J42=0,1,1/((1-Fuel2ShrbyTech!J43)/'Inputs 4-6 Diesel'!$P55+Fuel2ShrbyTech!J43/'Inputs 4-6 Diesel'!$V55))</f>
        <v>21.64724806268049</v>
      </c>
      <c r="K42" s="1209">
        <f>IF('Mkt Pen Veh-Mi'!K42=0,1,1/((1-Fuel2ShrbyTech!K43)/'Inputs 4-6 Diesel'!$Q55+Fuel2ShrbyTech!K43/'Inputs 4-6 Diesel'!$W55))</f>
        <v>55.063892051614744</v>
      </c>
      <c r="L42" s="1209">
        <f>IF('Mkt Pen Veh-Mi'!L42=0,1,1/((1-Fuel2ShrbyTech!L43)/'Inputs 4-6 Diesel'!$R55+Fuel2ShrbyTech!L43/'Inputs 4-6 Diesel'!$X55))</f>
        <v>37.333086256910704</v>
      </c>
      <c r="M42" s="1210">
        <f>IF('Mkt Pen Veh-Mi'!M42=0,1,1/((1-Fuel2ShrbyTech!M43)/'Inputs 4-6 Diesel'!$S55+Fuel2ShrbyTech!M43/'Inputs 4-6 Diesel'!$Y55))</f>
        <v>29.631489454891362</v>
      </c>
      <c r="O42" s="1201">
        <f t="shared" si="9"/>
        <v>2040</v>
      </c>
      <c r="P42" s="1202">
        <f t="shared" si="10"/>
        <v>6.0981283623288869</v>
      </c>
      <c r="Q42" s="1203">
        <f t="shared" si="11"/>
        <v>0</v>
      </c>
      <c r="R42" s="1203">
        <f t="shared" si="12"/>
        <v>0</v>
      </c>
      <c r="S42" s="1203">
        <f t="shared" si="13"/>
        <v>0</v>
      </c>
      <c r="T42" s="1203">
        <f t="shared" si="14"/>
        <v>0</v>
      </c>
      <c r="U42" s="1204">
        <f t="shared" si="15"/>
        <v>0</v>
      </c>
      <c r="V42" s="1208">
        <f t="shared" si="16"/>
        <v>12.781114270374328</v>
      </c>
      <c r="W42" s="1209">
        <f t="shared" si="17"/>
        <v>16.315326970729416</v>
      </c>
      <c r="X42" s="1209">
        <f t="shared" si="18"/>
        <v>21.64724806268049</v>
      </c>
      <c r="Y42" s="1209">
        <f t="shared" si="19"/>
        <v>55.063892051614744</v>
      </c>
      <c r="Z42" s="1209">
        <f t="shared" si="20"/>
        <v>37.333086256910704</v>
      </c>
      <c r="AA42" s="1210">
        <f t="shared" si="21"/>
        <v>29.631489454891362</v>
      </c>
      <c r="AC42" s="1282" cm="1">
        <f t="array" ref="AC42">1/SUMPRODUCT(IFERROR(1/V42:AA42,0),'Mkt Pen Veh-Mi'!H42:M42)</f>
        <v>18.333810259107096</v>
      </c>
      <c r="AD42" s="1283">
        <f t="shared" si="22"/>
        <v>1.4344453755181192</v>
      </c>
    </row>
    <row r="43" spans="1:30" ht="15" x14ac:dyDescent="0.25">
      <c r="A43" s="1195">
        <v>2041</v>
      </c>
      <c r="B43" s="1205">
        <f>IF('Mkt Pen Veh-Mi'!B43=0,1,1/((1-Fuel2ShrbyTech!B44)/'Inputs 4-6 Gas'!$N56+Fuel2ShrbyTech!B44/'Inputs 4-6 Gas'!$T56))</f>
        <v>6.1004588451711399</v>
      </c>
      <c r="C43" s="1206">
        <f>IF('Mkt Pen Veh-Mi'!C43=0,1,1/((1-Fuel2ShrbyTech!C44)/'Inputs 4-6 Gas'!$O56+Fuel2ShrbyTech!C44/'Inputs 4-6 Gas'!$U56))</f>
        <v>1</v>
      </c>
      <c r="D43" s="1206">
        <f>IF('Mkt Pen Veh-Mi'!D43=0,1,1/((1-Fuel2ShrbyTech!D44)/'Inputs 4-6 Gas'!$P56+Fuel2ShrbyTech!D44/'Inputs 4-6 Gas'!$V56))</f>
        <v>1</v>
      </c>
      <c r="E43" s="1206">
        <f>IF('Mkt Pen Veh-Mi'!E43=0,1,1/((1-Fuel2ShrbyTech!E44)/'Inputs 4-6 Gas'!$Q56+Fuel2ShrbyTech!E44/'Inputs 4-6 Gas'!$W56))</f>
        <v>1</v>
      </c>
      <c r="F43" s="1206">
        <f>IF('Mkt Pen Veh-Mi'!F43=0,1,1/((1-Fuel2ShrbyTech!F44)/'Inputs 4-6 Gas'!$R56+Fuel2ShrbyTech!F44/'Inputs 4-6 Gas'!$X56))</f>
        <v>1</v>
      </c>
      <c r="G43" s="1207">
        <f>IF('Mkt Pen Veh-Mi'!G43=0,1,1/((1-Fuel2ShrbyTech!G44)/'Inputs 4-6 Gas'!$S56+Fuel2ShrbyTech!G44/'Inputs 4-6 Gas'!$Y56))</f>
        <v>1</v>
      </c>
      <c r="H43" s="1205">
        <f>IF('Mkt Pen Veh-Mi'!H43=0,1,1/((1-Fuel2ShrbyTech!H44)/'Inputs 4-6 Diesel'!$N56+Fuel2ShrbyTech!H44/'Inputs 4-6 Diesel'!$T56))</f>
        <v>12.781114270374328</v>
      </c>
      <c r="I43" s="1206">
        <f>IF('Mkt Pen Veh-Mi'!I43=0,1,1/((1-Fuel2ShrbyTech!I44)/'Inputs 4-6 Diesel'!$O56+Fuel2ShrbyTech!I44/'Inputs 4-6 Diesel'!$U56))</f>
        <v>16.733096354177064</v>
      </c>
      <c r="J43" s="1206">
        <f>IF('Mkt Pen Veh-Mi'!J43=0,1,1/((1-Fuel2ShrbyTech!J44)/'Inputs 4-6 Diesel'!$P56+Fuel2ShrbyTech!J44/'Inputs 4-6 Diesel'!$V56))</f>
        <v>22.202223064259943</v>
      </c>
      <c r="K43" s="1206">
        <f>IF('Mkt Pen Veh-Mi'!K43=0,1,1/((1-Fuel2ShrbyTech!K44)/'Inputs 4-6 Diesel'!$Q56+Fuel2ShrbyTech!K44/'Inputs 4-6 Diesel'!$W56))</f>
        <v>55.976832240448509</v>
      </c>
      <c r="L43" s="1206">
        <f>IF('Mkt Pen Veh-Mi'!L43=0,1,1/((1-Fuel2ShrbyTech!L44)/'Inputs 4-6 Diesel'!$R56+Fuel2ShrbyTech!L44/'Inputs 4-6 Diesel'!$X56))</f>
        <v>38.178689951268439</v>
      </c>
      <c r="M43" s="1207">
        <f>IF('Mkt Pen Veh-Mi'!M43=0,1,1/((1-Fuel2ShrbyTech!M44)/'Inputs 4-6 Diesel'!$S56+Fuel2ShrbyTech!M44/'Inputs 4-6 Diesel'!$Y56))</f>
        <v>30.842595286922553</v>
      </c>
      <c r="O43" s="1195">
        <f t="shared" si="9"/>
        <v>2041</v>
      </c>
      <c r="P43" s="1205">
        <f t="shared" si="10"/>
        <v>6.1004588451711399</v>
      </c>
      <c r="Q43" s="1206">
        <f t="shared" si="11"/>
        <v>0</v>
      </c>
      <c r="R43" s="1206">
        <f t="shared" si="12"/>
        <v>0</v>
      </c>
      <c r="S43" s="1206">
        <f t="shared" si="13"/>
        <v>0</v>
      </c>
      <c r="T43" s="1206">
        <f t="shared" si="14"/>
        <v>0</v>
      </c>
      <c r="U43" s="1207">
        <f t="shared" si="15"/>
        <v>0</v>
      </c>
      <c r="V43" s="1205">
        <f t="shared" si="16"/>
        <v>12.781114270374328</v>
      </c>
      <c r="W43" s="1206">
        <f t="shared" si="17"/>
        <v>16.733096354177064</v>
      </c>
      <c r="X43" s="1206">
        <f t="shared" si="18"/>
        <v>22.202223064259943</v>
      </c>
      <c r="Y43" s="1206">
        <f t="shared" si="19"/>
        <v>55.976832240448509</v>
      </c>
      <c r="Z43" s="1206">
        <f t="shared" si="20"/>
        <v>38.178689951268439</v>
      </c>
      <c r="AA43" s="1207">
        <f t="shared" si="21"/>
        <v>30.842595286922553</v>
      </c>
      <c r="AC43" s="1282" cm="1">
        <f t="array" ref="AC43">1/SUMPRODUCT(IFERROR(1/V43:AA43,0),'Mkt Pen Veh-Mi'!H43:M43)</f>
        <v>19.064075486635684</v>
      </c>
      <c r="AD43" s="1283">
        <f t="shared" si="22"/>
        <v>1.4915816479964343</v>
      </c>
    </row>
    <row r="44" spans="1:30" ht="15" x14ac:dyDescent="0.25">
      <c r="A44" s="1195">
        <v>2042</v>
      </c>
      <c r="B44" s="1196">
        <f>IF('Mkt Pen Veh-Mi'!B44=0,1,1/((1-Fuel2ShrbyTech!B45)/'Inputs 4-6 Gas'!$N57+Fuel2ShrbyTech!B45/'Inputs 4-6 Gas'!$T57))</f>
        <v>6.1028523111973865</v>
      </c>
      <c r="C44" s="1199">
        <f>IF('Mkt Pen Veh-Mi'!C44=0,1,1/((1-Fuel2ShrbyTech!C45)/'Inputs 4-6 Gas'!$O57+Fuel2ShrbyTech!C45/'Inputs 4-6 Gas'!$U57))</f>
        <v>1</v>
      </c>
      <c r="D44" s="1199">
        <f>IF('Mkt Pen Veh-Mi'!D44=0,1,1/((1-Fuel2ShrbyTech!D45)/'Inputs 4-6 Gas'!$P57+Fuel2ShrbyTech!D45/'Inputs 4-6 Gas'!$V57))</f>
        <v>1</v>
      </c>
      <c r="E44" s="1199">
        <f>IF('Mkt Pen Veh-Mi'!E44=0,1,1/((1-Fuel2ShrbyTech!E45)/'Inputs 4-6 Gas'!$Q57+Fuel2ShrbyTech!E45/'Inputs 4-6 Gas'!$W57))</f>
        <v>1</v>
      </c>
      <c r="F44" s="1199">
        <f>IF('Mkt Pen Veh-Mi'!F44=0,1,1/((1-Fuel2ShrbyTech!F45)/'Inputs 4-6 Gas'!$R57+Fuel2ShrbyTech!F45/'Inputs 4-6 Gas'!$X57))</f>
        <v>1</v>
      </c>
      <c r="G44" s="1200">
        <f>IF('Mkt Pen Veh-Mi'!G44=0,1,1/((1-Fuel2ShrbyTech!G45)/'Inputs 4-6 Gas'!$S57+Fuel2ShrbyTech!G45/'Inputs 4-6 Gas'!$Y57))</f>
        <v>1</v>
      </c>
      <c r="H44" s="1196">
        <f>IF('Mkt Pen Veh-Mi'!H44=0,1,1/((1-Fuel2ShrbyTech!H45)/'Inputs 4-6 Diesel'!$N57+Fuel2ShrbyTech!H45/'Inputs 4-6 Diesel'!$T57))</f>
        <v>12.781114270374328</v>
      </c>
      <c r="I44" s="1199">
        <f>IF('Mkt Pen Veh-Mi'!I44=0,1,1/((1-Fuel2ShrbyTech!I45)/'Inputs 4-6 Diesel'!$O57+Fuel2ShrbyTech!I45/'Inputs 4-6 Diesel'!$U57))</f>
        <v>17.150865737624709</v>
      </c>
      <c r="J44" s="1199">
        <f>IF('Mkt Pen Veh-Mi'!J44=0,1,1/((1-Fuel2ShrbyTech!J45)/'Inputs 4-6 Diesel'!$P57+Fuel2ShrbyTech!J45/'Inputs 4-6 Diesel'!$V57))</f>
        <v>22.757198065839393</v>
      </c>
      <c r="K44" s="1199">
        <f>IF('Mkt Pen Veh-Mi'!K44=0,1,1/((1-Fuel2ShrbyTech!K45)/'Inputs 4-6 Diesel'!$Q57+Fuel2ShrbyTech!K45/'Inputs 4-6 Diesel'!$W57))</f>
        <v>56.88977242928226</v>
      </c>
      <c r="L44" s="1199">
        <f>IF('Mkt Pen Veh-Mi'!L44=0,1,1/((1-Fuel2ShrbyTech!L45)/'Inputs 4-6 Diesel'!$R57+Fuel2ShrbyTech!L45/'Inputs 4-6 Diesel'!$X57))</f>
        <v>39.024293645626173</v>
      </c>
      <c r="M44" s="1200">
        <f>IF('Mkt Pen Veh-Mi'!M44=0,1,1/((1-Fuel2ShrbyTech!M45)/'Inputs 4-6 Diesel'!$S57+Fuel2ShrbyTech!M45/'Inputs 4-6 Diesel'!$Y57))</f>
        <v>32.257227135032856</v>
      </c>
      <c r="O44" s="1195">
        <f t="shared" si="9"/>
        <v>2042</v>
      </c>
      <c r="P44" s="1196">
        <f t="shared" si="10"/>
        <v>6.1028523111973865</v>
      </c>
      <c r="Q44" s="1199">
        <f t="shared" si="11"/>
        <v>0</v>
      </c>
      <c r="R44" s="1199">
        <f t="shared" si="12"/>
        <v>0</v>
      </c>
      <c r="S44" s="1199">
        <f t="shared" si="13"/>
        <v>0</v>
      </c>
      <c r="T44" s="1199">
        <f t="shared" si="14"/>
        <v>0</v>
      </c>
      <c r="U44" s="1200">
        <f t="shared" si="15"/>
        <v>0</v>
      </c>
      <c r="V44" s="1196">
        <f t="shared" si="16"/>
        <v>12.781114270374328</v>
      </c>
      <c r="W44" s="1199">
        <f t="shared" si="17"/>
        <v>17.150865737624709</v>
      </c>
      <c r="X44" s="1199">
        <f t="shared" si="18"/>
        <v>22.757198065839393</v>
      </c>
      <c r="Y44" s="1199">
        <f t="shared" si="19"/>
        <v>56.88977242928226</v>
      </c>
      <c r="Z44" s="1199">
        <f t="shared" si="20"/>
        <v>39.024293645626173</v>
      </c>
      <c r="AA44" s="1200">
        <f t="shared" si="21"/>
        <v>32.257227135032856</v>
      </c>
      <c r="AC44" s="1282" cm="1">
        <f t="array" ref="AC44">1/SUMPRODUCT(IFERROR(1/V44:AA44,0),'Mkt Pen Veh-Mi'!H44:M44)</f>
        <v>20.030053421056749</v>
      </c>
      <c r="AD44" s="1283">
        <f t="shared" si="22"/>
        <v>1.5671601862980697</v>
      </c>
    </row>
    <row r="45" spans="1:30" ht="15" x14ac:dyDescent="0.25">
      <c r="A45" s="1195">
        <v>2043</v>
      </c>
      <c r="B45" s="1196">
        <f>IF('Mkt Pen Veh-Mi'!B45=0,1,1/((1-Fuel2ShrbyTech!B46)/'Inputs 4-6 Gas'!$N58+Fuel2ShrbyTech!B46/'Inputs 4-6 Gas'!$T58))</f>
        <v>6.1053033111085142</v>
      </c>
      <c r="C45" s="1199">
        <f>IF('Mkt Pen Veh-Mi'!C45=0,1,1/((1-Fuel2ShrbyTech!C46)/'Inputs 4-6 Gas'!$O58+Fuel2ShrbyTech!C46/'Inputs 4-6 Gas'!$U58))</f>
        <v>1</v>
      </c>
      <c r="D45" s="1199">
        <f>IF('Mkt Pen Veh-Mi'!D45=0,1,1/((1-Fuel2ShrbyTech!D46)/'Inputs 4-6 Gas'!$P58+Fuel2ShrbyTech!D46/'Inputs 4-6 Gas'!$V58))</f>
        <v>1</v>
      </c>
      <c r="E45" s="1199">
        <f>IF('Mkt Pen Veh-Mi'!E45=0,1,1/((1-Fuel2ShrbyTech!E46)/'Inputs 4-6 Gas'!$Q58+Fuel2ShrbyTech!E46/'Inputs 4-6 Gas'!$W58))</f>
        <v>1</v>
      </c>
      <c r="F45" s="1199">
        <f>IF('Mkt Pen Veh-Mi'!F45=0,1,1/((1-Fuel2ShrbyTech!F46)/'Inputs 4-6 Gas'!$R58+Fuel2ShrbyTech!F46/'Inputs 4-6 Gas'!$X58))</f>
        <v>1</v>
      </c>
      <c r="G45" s="1200">
        <f>IF('Mkt Pen Veh-Mi'!G45=0,1,1/((1-Fuel2ShrbyTech!G46)/'Inputs 4-6 Gas'!$S58+Fuel2ShrbyTech!G46/'Inputs 4-6 Gas'!$Y58))</f>
        <v>1</v>
      </c>
      <c r="H45" s="1196">
        <f>IF('Mkt Pen Veh-Mi'!H45=0,1,1/((1-Fuel2ShrbyTech!H46)/'Inputs 4-6 Diesel'!$N58+Fuel2ShrbyTech!H46/'Inputs 4-6 Diesel'!$T58))</f>
        <v>12.781114270374328</v>
      </c>
      <c r="I45" s="1199">
        <f>IF('Mkt Pen Veh-Mi'!I45=0,1,1/((1-Fuel2ShrbyTech!I46)/'Inputs 4-6 Diesel'!$O58+Fuel2ShrbyTech!I46/'Inputs 4-6 Diesel'!$U58))</f>
        <v>17.534820701445678</v>
      </c>
      <c r="J45" s="1199">
        <f>IF('Mkt Pen Veh-Mi'!J45=0,1,1/((1-Fuel2ShrbyTech!J46)/'Inputs 4-6 Diesel'!$P58+Fuel2ShrbyTech!J46/'Inputs 4-6 Diesel'!$V58))</f>
        <v>23.267253170630678</v>
      </c>
      <c r="K45" s="1199">
        <f>IF('Mkt Pen Veh-Mi'!K45=0,1,1/((1-Fuel2ShrbyTech!K46)/'Inputs 4-6 Diesel'!$Q58+Fuel2ShrbyTech!K46/'Inputs 4-6 Diesel'!$W58))</f>
        <v>57.728818877065564</v>
      </c>
      <c r="L45" s="1199">
        <f>IF('Mkt Pen Veh-Mi'!L45=0,1,1/((1-Fuel2ShrbyTech!L46)/'Inputs 4-6 Diesel'!$R58+Fuel2ShrbyTech!L46/'Inputs 4-6 Diesel'!$X58))</f>
        <v>39.801453841508945</v>
      </c>
      <c r="M45" s="1200">
        <f>IF('Mkt Pen Veh-Mi'!M45=0,1,1/((1-Fuel2ShrbyTech!M46)/'Inputs 4-6 Diesel'!$S58+Fuel2ShrbyTech!M46/'Inputs 4-6 Diesel'!$Y58))</f>
        <v>33.86425619460519</v>
      </c>
      <c r="O45" s="1195">
        <f t="shared" si="9"/>
        <v>2043</v>
      </c>
      <c r="P45" s="1196">
        <f t="shared" si="10"/>
        <v>6.1053033111085142</v>
      </c>
      <c r="Q45" s="1199">
        <f t="shared" si="11"/>
        <v>0</v>
      </c>
      <c r="R45" s="1199">
        <f t="shared" si="12"/>
        <v>0</v>
      </c>
      <c r="S45" s="1199">
        <f t="shared" si="13"/>
        <v>0</v>
      </c>
      <c r="T45" s="1199">
        <f t="shared" si="14"/>
        <v>0</v>
      </c>
      <c r="U45" s="1200">
        <f t="shared" si="15"/>
        <v>0</v>
      </c>
      <c r="V45" s="1196">
        <f t="shared" si="16"/>
        <v>12.781114270374328</v>
      </c>
      <c r="W45" s="1199">
        <f t="shared" si="17"/>
        <v>17.534820701445678</v>
      </c>
      <c r="X45" s="1199">
        <f t="shared" si="18"/>
        <v>23.267253170630678</v>
      </c>
      <c r="Y45" s="1199">
        <f t="shared" si="19"/>
        <v>57.728818877065564</v>
      </c>
      <c r="Z45" s="1199">
        <f t="shared" si="20"/>
        <v>39.801453841508945</v>
      </c>
      <c r="AA45" s="1200">
        <f t="shared" si="21"/>
        <v>33.86425619460519</v>
      </c>
      <c r="AC45" s="1282" cm="1">
        <f t="array" ref="AC45">1/SUMPRODUCT(IFERROR(1/V45:AA45,0),'Mkt Pen Veh-Mi'!H45:M45)</f>
        <v>21.278785410224003</v>
      </c>
      <c r="AD45" s="1283">
        <f t="shared" si="22"/>
        <v>1.6648615261618187</v>
      </c>
    </row>
    <row r="46" spans="1:30" ht="15" x14ac:dyDescent="0.25">
      <c r="A46" s="1195">
        <v>2044</v>
      </c>
      <c r="B46" s="1196">
        <f>IF('Mkt Pen Veh-Mi'!B46=0,1,1/((1-Fuel2ShrbyTech!B47)/'Inputs 4-6 Gas'!$N59+Fuel2ShrbyTech!B47/'Inputs 4-6 Gas'!$T59))</f>
        <v>6.1077339843080347</v>
      </c>
      <c r="C46" s="1199">
        <f>IF('Mkt Pen Veh-Mi'!C46=0,1,1/((1-Fuel2ShrbyTech!C47)/'Inputs 4-6 Gas'!$O59+Fuel2ShrbyTech!C47/'Inputs 4-6 Gas'!$U59))</f>
        <v>1</v>
      </c>
      <c r="D46" s="1199">
        <f>IF('Mkt Pen Veh-Mi'!D46=0,1,1/((1-Fuel2ShrbyTech!D47)/'Inputs 4-6 Gas'!$P59+Fuel2ShrbyTech!D47/'Inputs 4-6 Gas'!$V59))</f>
        <v>1</v>
      </c>
      <c r="E46" s="1199">
        <f>IF('Mkt Pen Veh-Mi'!E46=0,1,1/((1-Fuel2ShrbyTech!E47)/'Inputs 4-6 Gas'!$Q59+Fuel2ShrbyTech!E47/'Inputs 4-6 Gas'!$W59))</f>
        <v>1</v>
      </c>
      <c r="F46" s="1199">
        <f>IF('Mkt Pen Veh-Mi'!F46=0,1,1/((1-Fuel2ShrbyTech!F47)/'Inputs 4-6 Gas'!$R59+Fuel2ShrbyTech!F47/'Inputs 4-6 Gas'!$X59))</f>
        <v>1</v>
      </c>
      <c r="G46" s="1200">
        <f>IF('Mkt Pen Veh-Mi'!G46=0,1,1/((1-Fuel2ShrbyTech!G47)/'Inputs 4-6 Gas'!$S59+Fuel2ShrbyTech!G47/'Inputs 4-6 Gas'!$Y59))</f>
        <v>1</v>
      </c>
      <c r="H46" s="1196">
        <f>IF('Mkt Pen Veh-Mi'!H46=0,1,1/((1-Fuel2ShrbyTech!H47)/'Inputs 4-6 Diesel'!$N59+Fuel2ShrbyTech!H47/'Inputs 4-6 Diesel'!$T59))</f>
        <v>12.781114270374328</v>
      </c>
      <c r="I46" s="1199">
        <f>IF('Mkt Pen Veh-Mi'!I46=0,1,1/((1-Fuel2ShrbyTech!I47)/'Inputs 4-6 Diesel'!$O59+Fuel2ShrbyTech!I47/'Inputs 4-6 Diesel'!$U59))</f>
        <v>17.861274868400145</v>
      </c>
      <c r="J46" s="1199">
        <f>IF('Mkt Pen Veh-Mi'!J46=0,1,1/((1-Fuel2ShrbyTech!J47)/'Inputs 4-6 Diesel'!$P59+Fuel2ShrbyTech!J47/'Inputs 4-6 Diesel'!$V59))</f>
        <v>23.700922819483434</v>
      </c>
      <c r="K46" s="1199">
        <f>IF('Mkt Pen Veh-Mi'!K46=0,1,1/((1-Fuel2ShrbyTech!K47)/'Inputs 4-6 Diesel'!$Q59+Fuel2ShrbyTech!K47/'Inputs 4-6 Diesel'!$W59))</f>
        <v>58.442210381166362</v>
      </c>
      <c r="L46" s="1199">
        <f>IF('Mkt Pen Veh-Mi'!L46=0,1,1/((1-Fuel2ShrbyTech!L47)/'Inputs 4-6 Diesel'!$R59+Fuel2ShrbyTech!L47/'Inputs 4-6 Diesel'!$X59))</f>
        <v>40.462227130678819</v>
      </c>
      <c r="M46" s="1200">
        <f>IF('Mkt Pen Veh-Mi'!M46=0,1,1/((1-Fuel2ShrbyTech!M47)/'Inputs 4-6 Diesel'!$S59+Fuel2ShrbyTech!M47/'Inputs 4-6 Diesel'!$Y59))</f>
        <v>36.041587481607429</v>
      </c>
      <c r="O46" s="1195">
        <f t="shared" si="9"/>
        <v>2044</v>
      </c>
      <c r="P46" s="1196">
        <f t="shared" si="10"/>
        <v>6.1077339843080347</v>
      </c>
      <c r="Q46" s="1199">
        <f t="shared" si="11"/>
        <v>0</v>
      </c>
      <c r="R46" s="1199">
        <f t="shared" si="12"/>
        <v>0</v>
      </c>
      <c r="S46" s="1199">
        <f t="shared" si="13"/>
        <v>0</v>
      </c>
      <c r="T46" s="1199">
        <f t="shared" si="14"/>
        <v>0</v>
      </c>
      <c r="U46" s="1200">
        <f t="shared" si="15"/>
        <v>0</v>
      </c>
      <c r="V46" s="1196">
        <f t="shared" si="16"/>
        <v>12.781114270374328</v>
      </c>
      <c r="W46" s="1199">
        <f t="shared" si="17"/>
        <v>17.861274868400145</v>
      </c>
      <c r="X46" s="1199">
        <f t="shared" si="18"/>
        <v>23.700922819483434</v>
      </c>
      <c r="Y46" s="1199">
        <f t="shared" si="19"/>
        <v>58.442210381166362</v>
      </c>
      <c r="Z46" s="1199">
        <f t="shared" si="20"/>
        <v>40.462227130678819</v>
      </c>
      <c r="AA46" s="1200">
        <f t="shared" si="21"/>
        <v>36.041587481607429</v>
      </c>
      <c r="AC46" s="1282" cm="1">
        <f t="array" ref="AC46">1/SUMPRODUCT(IFERROR(1/V46:AA46,0),'Mkt Pen Veh-Mi'!H46:M46)</f>
        <v>22.451547897658468</v>
      </c>
      <c r="AD46" s="1283">
        <f t="shared" si="22"/>
        <v>1.7566189788084037</v>
      </c>
    </row>
    <row r="47" spans="1:30" ht="15" x14ac:dyDescent="0.25">
      <c r="A47" s="1201">
        <v>2045</v>
      </c>
      <c r="B47" s="1202">
        <f>IF('Mkt Pen Veh-Mi'!B47=0,1,1/((1-Fuel2ShrbyTech!B48)/'Inputs 4-6 Gas'!$N60+Fuel2ShrbyTech!B48/'Inputs 4-6 Gas'!$T60))</f>
        <v>6.1101491476387144</v>
      </c>
      <c r="C47" s="1203">
        <f>IF('Mkt Pen Veh-Mi'!C47=0,1,1/((1-Fuel2ShrbyTech!C48)/'Inputs 4-6 Gas'!$O60+Fuel2ShrbyTech!C48/'Inputs 4-6 Gas'!$U60))</f>
        <v>1</v>
      </c>
      <c r="D47" s="1203">
        <f>IF('Mkt Pen Veh-Mi'!D47=0,1,1/((1-Fuel2ShrbyTech!D48)/'Inputs 4-6 Gas'!$P60+Fuel2ShrbyTech!D48/'Inputs 4-6 Gas'!$V60))</f>
        <v>1</v>
      </c>
      <c r="E47" s="1203">
        <f>IF('Mkt Pen Veh-Mi'!E47=0,1,1/((1-Fuel2ShrbyTech!E48)/'Inputs 4-6 Gas'!$Q60+Fuel2ShrbyTech!E48/'Inputs 4-6 Gas'!$W60))</f>
        <v>1</v>
      </c>
      <c r="F47" s="1203">
        <f>IF('Mkt Pen Veh-Mi'!F47=0,1,1/((1-Fuel2ShrbyTech!F48)/'Inputs 4-6 Gas'!$R60+Fuel2ShrbyTech!F48/'Inputs 4-6 Gas'!$X60))</f>
        <v>1</v>
      </c>
      <c r="G47" s="1204">
        <f>IF('Mkt Pen Veh-Mi'!G47=0,1,1/((1-Fuel2ShrbyTech!G48)/'Inputs 4-6 Gas'!$S60+Fuel2ShrbyTech!G48/'Inputs 4-6 Gas'!$Y60))</f>
        <v>1</v>
      </c>
      <c r="H47" s="1202">
        <f>IF('Mkt Pen Veh-Mi'!H47=0,1,1/((1-Fuel2ShrbyTech!H48)/'Inputs 4-6 Diesel'!$N60+Fuel2ShrbyTech!H48/'Inputs 4-6 Diesel'!$T60))</f>
        <v>12.781114270374328</v>
      </c>
      <c r="I47" s="1203">
        <f>IF('Mkt Pen Veh-Mi'!I47=0,1,1/((1-Fuel2ShrbyTech!I48)/'Inputs 4-6 Diesel'!$O60+Fuel2ShrbyTech!I48/'Inputs 4-6 Diesel'!$U60))</f>
        <v>18.120967753681985</v>
      </c>
      <c r="J47" s="1203">
        <f>IF('Mkt Pen Veh-Mi'!J47=0,1,1/((1-Fuel2ShrbyTech!J48)/'Inputs 4-6 Diesel'!$P60+Fuel2ShrbyTech!J48/'Inputs 4-6 Diesel'!$V60))</f>
        <v>24.045905159333433</v>
      </c>
      <c r="K47" s="1203">
        <f>IF('Mkt Pen Veh-Mi'!K47=0,1,1/((1-Fuel2ShrbyTech!K48)/'Inputs 4-6 Diesel'!$Q60+Fuel2ShrbyTech!K48/'Inputs 4-6 Diesel'!$W60))</f>
        <v>59.009710253395966</v>
      </c>
      <c r="L47" s="1203">
        <f>IF('Mkt Pen Veh-Mi'!L47=0,1,1/((1-Fuel2ShrbyTech!L48)/'Inputs 4-6 Diesel'!$R60+Fuel2ShrbyTech!L48/'Inputs 4-6 Diesel'!$X60))</f>
        <v>40.987869439314551</v>
      </c>
      <c r="M47" s="1204">
        <f>IF('Mkt Pen Veh-Mi'!M47=0,1,1/((1-Fuel2ShrbyTech!M48)/'Inputs 4-6 Diesel'!$S60+Fuel2ShrbyTech!M48/'Inputs 4-6 Diesel'!$Y60))</f>
        <v>38.166538004414797</v>
      </c>
      <c r="O47" s="1201">
        <f t="shared" si="9"/>
        <v>2045</v>
      </c>
      <c r="P47" s="1202">
        <f t="shared" si="10"/>
        <v>6.1101491476387144</v>
      </c>
      <c r="Q47" s="1203">
        <f t="shared" si="11"/>
        <v>0</v>
      </c>
      <c r="R47" s="1203">
        <f t="shared" si="12"/>
        <v>0</v>
      </c>
      <c r="S47" s="1203">
        <f t="shared" si="13"/>
        <v>0</v>
      </c>
      <c r="T47" s="1203">
        <f t="shared" si="14"/>
        <v>0</v>
      </c>
      <c r="U47" s="1204">
        <f t="shared" si="15"/>
        <v>0</v>
      </c>
      <c r="V47" s="1202">
        <f t="shared" si="16"/>
        <v>12.781114270374328</v>
      </c>
      <c r="W47" s="1203">
        <f t="shared" si="17"/>
        <v>18.120967753681985</v>
      </c>
      <c r="X47" s="1203">
        <f t="shared" si="18"/>
        <v>24.045905159333433</v>
      </c>
      <c r="Y47" s="1203">
        <f t="shared" si="19"/>
        <v>59.009710253395966</v>
      </c>
      <c r="Z47" s="1203">
        <f t="shared" si="20"/>
        <v>40.987869439314551</v>
      </c>
      <c r="AA47" s="1204">
        <f t="shared" si="21"/>
        <v>38.166538004414797</v>
      </c>
      <c r="AC47" s="1282" cm="1">
        <f t="array" ref="AC47">1/SUMPRODUCT(IFERROR(1/V47:AA47,0),'Mkt Pen Veh-Mi'!H47:M47)</f>
        <v>23.641386818014553</v>
      </c>
      <c r="AD47" s="1283">
        <f t="shared" si="22"/>
        <v>1.8497124990747895</v>
      </c>
    </row>
    <row r="48" spans="1:30" ht="15" x14ac:dyDescent="0.25">
      <c r="A48" s="1195">
        <v>2046</v>
      </c>
      <c r="B48" s="1205">
        <f>IF('Mkt Pen Veh-Mi'!B48=0,1,1/((1-Fuel2ShrbyTech!B49)/'Inputs 4-6 Gas'!$N61+Fuel2ShrbyTech!B49/'Inputs 4-6 Gas'!$T61))</f>
        <v>6.1125666962883116</v>
      </c>
      <c r="C48" s="1206">
        <f>IF('Mkt Pen Veh-Mi'!C48=0,1,1/((1-Fuel2ShrbyTech!C49)/'Inputs 4-6 Gas'!$O61+Fuel2ShrbyTech!C49/'Inputs 4-6 Gas'!$U61))</f>
        <v>1</v>
      </c>
      <c r="D48" s="1206">
        <f>IF('Mkt Pen Veh-Mi'!D48=0,1,1/((1-Fuel2ShrbyTech!D49)/'Inputs 4-6 Gas'!$P61+Fuel2ShrbyTech!D49/'Inputs 4-6 Gas'!$V61))</f>
        <v>1</v>
      </c>
      <c r="E48" s="1206">
        <f>IF('Mkt Pen Veh-Mi'!E48=0,1,1/((1-Fuel2ShrbyTech!E49)/'Inputs 4-6 Gas'!$Q61+Fuel2ShrbyTech!E49/'Inputs 4-6 Gas'!$W61))</f>
        <v>1</v>
      </c>
      <c r="F48" s="1206">
        <f>IF('Mkt Pen Veh-Mi'!F48=0,1,1/((1-Fuel2ShrbyTech!F49)/'Inputs 4-6 Gas'!$R61+Fuel2ShrbyTech!F49/'Inputs 4-6 Gas'!$X61))</f>
        <v>1</v>
      </c>
      <c r="G48" s="1207">
        <f>IF('Mkt Pen Veh-Mi'!G48=0,1,1/((1-Fuel2ShrbyTech!G49)/'Inputs 4-6 Gas'!$S61+Fuel2ShrbyTech!G49/'Inputs 4-6 Gas'!$Y61))</f>
        <v>1</v>
      </c>
      <c r="H48" s="1205">
        <f>IF('Mkt Pen Veh-Mi'!H48=0,1,1/((1-Fuel2ShrbyTech!H49)/'Inputs 4-6 Diesel'!$N61+Fuel2ShrbyTech!H49/'Inputs 4-6 Diesel'!$T61))</f>
        <v>12.781114270374328</v>
      </c>
      <c r="I48" s="1206">
        <f>IF('Mkt Pen Veh-Mi'!I48=0,1,1/((1-Fuel2ShrbyTech!I49)/'Inputs 4-6 Diesel'!$O61+Fuel2ShrbyTech!I49/'Inputs 4-6 Diesel'!$U61))</f>
        <v>18.316829841013909</v>
      </c>
      <c r="J48" s="1206">
        <f>IF('Mkt Pen Veh-Mi'!J48=0,1,1/((1-Fuel2ShrbyTech!J49)/'Inputs 4-6 Diesel'!$P61+Fuel2ShrbyTech!J49/'Inputs 4-6 Diesel'!$V61))</f>
        <v>24.306093115974374</v>
      </c>
      <c r="K48" s="1206">
        <f>IF('Mkt Pen Veh-Mi'!K48=0,1,1/((1-Fuel2ShrbyTech!K49)/'Inputs 4-6 Diesel'!$Q61+Fuel2ShrbyTech!K49/'Inputs 4-6 Diesel'!$W61))</f>
        <v>59.437722400955835</v>
      </c>
      <c r="L48" s="1206">
        <f>IF('Mkt Pen Veh-Mi'!L48=0,1,1/((1-Fuel2ShrbyTech!L49)/'Inputs 4-6 Diesel'!$R61+Fuel2ShrbyTech!L49/'Inputs 4-6 Diesel'!$X61))</f>
        <v>41.384312336268117</v>
      </c>
      <c r="M48" s="1207">
        <f>IF('Mkt Pen Veh-Mi'!M48=0,1,1/((1-Fuel2ShrbyTech!M49)/'Inputs 4-6 Diesel'!$S61+Fuel2ShrbyTech!M49/'Inputs 4-6 Diesel'!$Y61))</f>
        <v>39.84650680180934</v>
      </c>
      <c r="O48" s="1195">
        <f t="shared" si="9"/>
        <v>2046</v>
      </c>
      <c r="P48" s="1205">
        <f t="shared" si="10"/>
        <v>6.1125666962883116</v>
      </c>
      <c r="Q48" s="1206">
        <f t="shared" si="11"/>
        <v>0</v>
      </c>
      <c r="R48" s="1206">
        <f t="shared" si="12"/>
        <v>0</v>
      </c>
      <c r="S48" s="1206">
        <f t="shared" si="13"/>
        <v>0</v>
      </c>
      <c r="T48" s="1206">
        <f t="shared" si="14"/>
        <v>0</v>
      </c>
      <c r="U48" s="1207">
        <f t="shared" si="15"/>
        <v>0</v>
      </c>
      <c r="V48" s="1205">
        <f t="shared" si="16"/>
        <v>12.781114270374328</v>
      </c>
      <c r="W48" s="1206">
        <f t="shared" si="17"/>
        <v>18.316829841013909</v>
      </c>
      <c r="X48" s="1206">
        <f t="shared" si="18"/>
        <v>24.306093115974374</v>
      </c>
      <c r="Y48" s="1206">
        <f t="shared" si="19"/>
        <v>59.437722400955835</v>
      </c>
      <c r="Z48" s="1206">
        <f t="shared" si="20"/>
        <v>41.384312336268117</v>
      </c>
      <c r="AA48" s="1207">
        <f t="shared" si="21"/>
        <v>39.84650680180934</v>
      </c>
      <c r="AC48" s="1282" cm="1">
        <f t="array" ref="AC48">1/SUMPRODUCT(IFERROR(1/V48:AA48,0),'Mkt Pen Veh-Mi'!H48:M48)</f>
        <v>24.532038480939178</v>
      </c>
      <c r="AD48" s="1283">
        <f t="shared" si="22"/>
        <v>1.9193974767757627</v>
      </c>
    </row>
    <row r="49" spans="1:30" ht="15" x14ac:dyDescent="0.25">
      <c r="A49" s="1195">
        <v>2047</v>
      </c>
      <c r="B49" s="1196">
        <f>IF('Mkt Pen Veh-Mi'!B49=0,1,1/((1-Fuel2ShrbyTech!B50)/'Inputs 4-6 Gas'!$N62+Fuel2ShrbyTech!B50/'Inputs 4-6 Gas'!$T62))</f>
        <v>6.1150013445115627</v>
      </c>
      <c r="C49" s="1199">
        <f>IF('Mkt Pen Veh-Mi'!C49=0,1,1/((1-Fuel2ShrbyTech!C50)/'Inputs 4-6 Gas'!$O62+Fuel2ShrbyTech!C50/'Inputs 4-6 Gas'!$U62))</f>
        <v>1</v>
      </c>
      <c r="D49" s="1199">
        <f>IF('Mkt Pen Veh-Mi'!D49=0,1,1/((1-Fuel2ShrbyTech!D50)/'Inputs 4-6 Gas'!$P62+Fuel2ShrbyTech!D50/'Inputs 4-6 Gas'!$V62))</f>
        <v>1</v>
      </c>
      <c r="E49" s="1199">
        <f>IF('Mkt Pen Veh-Mi'!E49=0,1,1/((1-Fuel2ShrbyTech!E50)/'Inputs 4-6 Gas'!$Q62+Fuel2ShrbyTech!E50/'Inputs 4-6 Gas'!$W62))</f>
        <v>1</v>
      </c>
      <c r="F49" s="1199">
        <f>IF('Mkt Pen Veh-Mi'!F49=0,1,1/((1-Fuel2ShrbyTech!F50)/'Inputs 4-6 Gas'!$R62+Fuel2ShrbyTech!F50/'Inputs 4-6 Gas'!$X62))</f>
        <v>1</v>
      </c>
      <c r="G49" s="1200">
        <f>IF('Mkt Pen Veh-Mi'!G49=0,1,1/((1-Fuel2ShrbyTech!G50)/'Inputs 4-6 Gas'!$S62+Fuel2ShrbyTech!G50/'Inputs 4-6 Gas'!$Y62))</f>
        <v>1</v>
      </c>
      <c r="H49" s="1196">
        <f>IF('Mkt Pen Veh-Mi'!H49=0,1,1/((1-Fuel2ShrbyTech!H50)/'Inputs 4-6 Diesel'!$N62+Fuel2ShrbyTech!H50/'Inputs 4-6 Diesel'!$T62))</f>
        <v>12.781114270374328</v>
      </c>
      <c r="I49" s="1199">
        <f>IF('Mkt Pen Veh-Mi'!I49=0,1,1/((1-Fuel2ShrbyTech!I50)/'Inputs 4-6 Diesel'!$O62+Fuel2ShrbyTech!I50/'Inputs 4-6 Diesel'!$U62))</f>
        <v>18.458692920495068</v>
      </c>
      <c r="J49" s="1199">
        <f>IF('Mkt Pen Veh-Mi'!J49=0,1,1/((1-Fuel2ShrbyTech!J50)/'Inputs 4-6 Diesel'!$P62+Fuel2ShrbyTech!J50/'Inputs 4-6 Diesel'!$V62))</f>
        <v>24.49454747830557</v>
      </c>
      <c r="K49" s="1199">
        <f>IF('Mkt Pen Veh-Mi'!K49=0,1,1/((1-Fuel2ShrbyTech!K50)/'Inputs 4-6 Diesel'!$Q62+Fuel2ShrbyTech!K50/'Inputs 4-6 Diesel'!$W62))</f>
        <v>59.747731970113961</v>
      </c>
      <c r="L49" s="1199">
        <f>IF('Mkt Pen Veh-Mi'!L49=0,1,1/((1-Fuel2ShrbyTech!L50)/'Inputs 4-6 Diesel'!$R62+Fuel2ShrbyTech!L50/'Inputs 4-6 Diesel'!$X62))</f>
        <v>41.671456269871541</v>
      </c>
      <c r="M49" s="1200">
        <f>IF('Mkt Pen Veh-Mi'!M49=0,1,1/((1-Fuel2ShrbyTech!M50)/'Inputs 4-6 Diesel'!$S62+Fuel2ShrbyTech!M50/'Inputs 4-6 Diesel'!$Y62))</f>
        <v>40.822235612305377</v>
      </c>
      <c r="O49" s="1195">
        <f t="shared" si="9"/>
        <v>2047</v>
      </c>
      <c r="P49" s="1196">
        <f t="shared" si="10"/>
        <v>6.1150013445115627</v>
      </c>
      <c r="Q49" s="1199">
        <f t="shared" si="11"/>
        <v>0</v>
      </c>
      <c r="R49" s="1199">
        <f t="shared" si="12"/>
        <v>0</v>
      </c>
      <c r="S49" s="1199">
        <f t="shared" si="13"/>
        <v>0</v>
      </c>
      <c r="T49" s="1199">
        <f t="shared" si="14"/>
        <v>0</v>
      </c>
      <c r="U49" s="1200">
        <f t="shared" si="15"/>
        <v>0</v>
      </c>
      <c r="V49" s="1196">
        <f t="shared" si="16"/>
        <v>12.781114270374328</v>
      </c>
      <c r="W49" s="1199">
        <f t="shared" si="17"/>
        <v>18.458692920495068</v>
      </c>
      <c r="X49" s="1199">
        <f t="shared" si="18"/>
        <v>24.49454747830557</v>
      </c>
      <c r="Y49" s="1199">
        <f t="shared" si="19"/>
        <v>59.747731970113961</v>
      </c>
      <c r="Z49" s="1199">
        <f t="shared" si="20"/>
        <v>41.671456269871541</v>
      </c>
      <c r="AA49" s="1200">
        <f t="shared" si="21"/>
        <v>40.822235612305377</v>
      </c>
      <c r="AC49" s="1282" cm="1">
        <f t="array" ref="AC49">1/SUMPRODUCT(IFERROR(1/V49:AA49,0),'Mkt Pen Veh-Mi'!H49:M49)</f>
        <v>25.322564355047341</v>
      </c>
      <c r="AD49" s="1283">
        <f t="shared" si="22"/>
        <v>1.9812485687373254</v>
      </c>
    </row>
    <row r="50" spans="1:30" ht="15" x14ac:dyDescent="0.25">
      <c r="A50" s="1195">
        <v>2048</v>
      </c>
      <c r="B50" s="1196">
        <f>IF('Mkt Pen Veh-Mi'!B50=0,1,1/((1-Fuel2ShrbyTech!B51)/'Inputs 4-6 Gas'!$N63+Fuel2ShrbyTech!B51/'Inputs 4-6 Gas'!$T63))</f>
        <v>6.1174439270299894</v>
      </c>
      <c r="C50" s="1199">
        <f>IF('Mkt Pen Veh-Mi'!C50=0,1,1/((1-Fuel2ShrbyTech!C51)/'Inputs 4-6 Gas'!$O63+Fuel2ShrbyTech!C51/'Inputs 4-6 Gas'!$U63))</f>
        <v>1</v>
      </c>
      <c r="D50" s="1199">
        <f>IF('Mkt Pen Veh-Mi'!D50=0,1,1/((1-Fuel2ShrbyTech!D51)/'Inputs 4-6 Gas'!$P63+Fuel2ShrbyTech!D51/'Inputs 4-6 Gas'!$V63))</f>
        <v>1</v>
      </c>
      <c r="E50" s="1199">
        <f>IF('Mkt Pen Veh-Mi'!E50=0,1,1/((1-Fuel2ShrbyTech!E51)/'Inputs 4-6 Gas'!$Q63+Fuel2ShrbyTech!E51/'Inputs 4-6 Gas'!$W63))</f>
        <v>1</v>
      </c>
      <c r="F50" s="1199">
        <f>IF('Mkt Pen Veh-Mi'!F50=0,1,1/((1-Fuel2ShrbyTech!F51)/'Inputs 4-6 Gas'!$R63+Fuel2ShrbyTech!F51/'Inputs 4-6 Gas'!$X63))</f>
        <v>1</v>
      </c>
      <c r="G50" s="1200">
        <f>IF('Mkt Pen Veh-Mi'!G50=0,1,1/((1-Fuel2ShrbyTech!G51)/'Inputs 4-6 Gas'!$S63+Fuel2ShrbyTech!G51/'Inputs 4-6 Gas'!$Y63))</f>
        <v>1</v>
      </c>
      <c r="H50" s="1196">
        <f>IF('Mkt Pen Veh-Mi'!H50=0,1,1/((1-Fuel2ShrbyTech!H51)/'Inputs 4-6 Diesel'!$N63+Fuel2ShrbyTech!H51/'Inputs 4-6 Diesel'!$T63))</f>
        <v>12.781114270374328</v>
      </c>
      <c r="I50" s="1199">
        <f>IF('Mkt Pen Veh-Mi'!I50=0,1,1/((1-Fuel2ShrbyTech!I51)/'Inputs 4-6 Diesel'!$O63+Fuel2ShrbyTech!I51/'Inputs 4-6 Diesel'!$U63))</f>
        <v>18.558460839265514</v>
      </c>
      <c r="J50" s="1199">
        <f>IF('Mkt Pen Veh-Mi'!J50=0,1,1/((1-Fuel2ShrbyTech!J51)/'Inputs 4-6 Diesel'!$P63+Fuel2ShrbyTech!J51/'Inputs 4-6 Diesel'!$V63))</f>
        <v>24.627081606154473</v>
      </c>
      <c r="K50" s="1199">
        <f>IF('Mkt Pen Veh-Mi'!K50=0,1,1/((1-Fuel2ShrbyTech!K51)/'Inputs 4-6 Diesel'!$Q63+Fuel2ShrbyTech!K51/'Inputs 4-6 Diesel'!$W63))</f>
        <v>59.965752117617797</v>
      </c>
      <c r="L50" s="1199">
        <f>IF('Mkt Pen Veh-Mi'!L50=0,1,1/((1-Fuel2ShrbyTech!L51)/'Inputs 4-6 Diesel'!$R63+Fuel2ShrbyTech!L51/'Inputs 4-6 Diesel'!$X63))</f>
        <v>41.873395722673123</v>
      </c>
      <c r="M50" s="1200">
        <f>IF('Mkt Pen Veh-Mi'!M50=0,1,1/((1-Fuel2ShrbyTech!M51)/'Inputs 4-6 Diesel'!$S63+Fuel2ShrbyTech!M51/'Inputs 4-6 Diesel'!$Y63))</f>
        <v>41.519185687837428</v>
      </c>
      <c r="O50" s="1195">
        <f t="shared" si="9"/>
        <v>2048</v>
      </c>
      <c r="P50" s="1196">
        <f t="shared" si="10"/>
        <v>6.1174439270299894</v>
      </c>
      <c r="Q50" s="1199">
        <f t="shared" si="11"/>
        <v>0</v>
      </c>
      <c r="R50" s="1199">
        <f t="shared" si="12"/>
        <v>0</v>
      </c>
      <c r="S50" s="1199">
        <f t="shared" si="13"/>
        <v>0</v>
      </c>
      <c r="T50" s="1199">
        <f t="shared" si="14"/>
        <v>0</v>
      </c>
      <c r="U50" s="1200">
        <f t="shared" si="15"/>
        <v>0</v>
      </c>
      <c r="V50" s="1196">
        <f t="shared" si="16"/>
        <v>12.781114270374328</v>
      </c>
      <c r="W50" s="1199">
        <f t="shared" si="17"/>
        <v>18.558460839265514</v>
      </c>
      <c r="X50" s="1199">
        <f t="shared" si="18"/>
        <v>24.627081606154473</v>
      </c>
      <c r="Y50" s="1199">
        <f t="shared" si="19"/>
        <v>59.965752117617797</v>
      </c>
      <c r="Z50" s="1199">
        <f t="shared" si="20"/>
        <v>41.873395722673123</v>
      </c>
      <c r="AA50" s="1200">
        <f t="shared" si="21"/>
        <v>41.519185687837428</v>
      </c>
      <c r="AC50" s="1282" cm="1">
        <f t="array" ref="AC50">1/SUMPRODUCT(IFERROR(1/V50:AA50,0),'Mkt Pen Veh-Mi'!H50:M50)</f>
        <v>25.851082878143981</v>
      </c>
      <c r="AD50" s="1283">
        <f t="shared" si="22"/>
        <v>2.0226000903586998</v>
      </c>
    </row>
    <row r="51" spans="1:30" ht="15" x14ac:dyDescent="0.25">
      <c r="A51" s="1195">
        <v>2049</v>
      </c>
      <c r="B51" s="1196">
        <f>IF('Mkt Pen Veh-Mi'!B51=0,1,1/((1-Fuel2ShrbyTech!B52)/'Inputs 4-6 Gas'!$N64+Fuel2ShrbyTech!B52/'Inputs 4-6 Gas'!$T64))</f>
        <v>6.1198845350582189</v>
      </c>
      <c r="C51" s="1199">
        <f>IF('Mkt Pen Veh-Mi'!C51=0,1,1/((1-Fuel2ShrbyTech!C52)/'Inputs 4-6 Gas'!$O64+Fuel2ShrbyTech!C52/'Inputs 4-6 Gas'!$U64))</f>
        <v>1</v>
      </c>
      <c r="D51" s="1199">
        <f>IF('Mkt Pen Veh-Mi'!D51=0,1,1/((1-Fuel2ShrbyTech!D52)/'Inputs 4-6 Gas'!$P64+Fuel2ShrbyTech!D52/'Inputs 4-6 Gas'!$V64))</f>
        <v>1</v>
      </c>
      <c r="E51" s="1199">
        <f>IF('Mkt Pen Veh-Mi'!E51=0,1,1/((1-Fuel2ShrbyTech!E52)/'Inputs 4-6 Gas'!$Q64+Fuel2ShrbyTech!E52/'Inputs 4-6 Gas'!$W64))</f>
        <v>1</v>
      </c>
      <c r="F51" s="1199">
        <f>IF('Mkt Pen Veh-Mi'!F51=0,1,1/((1-Fuel2ShrbyTech!F52)/'Inputs 4-6 Gas'!$R64+Fuel2ShrbyTech!F52/'Inputs 4-6 Gas'!$X64))</f>
        <v>1</v>
      </c>
      <c r="G51" s="1200">
        <f>IF('Mkt Pen Veh-Mi'!G51=0,1,1/((1-Fuel2ShrbyTech!G52)/'Inputs 4-6 Gas'!$S64+Fuel2ShrbyTech!G52/'Inputs 4-6 Gas'!$Y64))</f>
        <v>1</v>
      </c>
      <c r="H51" s="1196">
        <f>IF('Mkt Pen Veh-Mi'!H51=0,1,1/((1-Fuel2ShrbyTech!H52)/'Inputs 4-6 Diesel'!$N64+Fuel2ShrbyTech!H52/'Inputs 4-6 Diesel'!$T64))</f>
        <v>12.781114270374328</v>
      </c>
      <c r="I51" s="1199">
        <f>IF('Mkt Pen Veh-Mi'!I51=0,1,1/((1-Fuel2ShrbyTech!I52)/'Inputs 4-6 Diesel'!$O64+Fuel2ShrbyTech!I52/'Inputs 4-6 Diesel'!$U64))</f>
        <v>18.627179262180508</v>
      </c>
      <c r="J51" s="1199">
        <f>IF('Mkt Pen Veh-Mi'!J51=0,1,1/((1-Fuel2ShrbyTech!J52)/'Inputs 4-6 Diesel'!$P64+Fuel2ShrbyTech!J52/'Inputs 4-6 Diesel'!$V64))</f>
        <v>24.71836882914592</v>
      </c>
      <c r="K51" s="1199">
        <f>IF('Mkt Pen Veh-Mi'!K51=0,1,1/((1-Fuel2ShrbyTech!K52)/'Inputs 4-6 Diesel'!$Q64+Fuel2ShrbyTech!K52/'Inputs 4-6 Diesel'!$W64))</f>
        <v>60.115920637566866</v>
      </c>
      <c r="L51" s="1199">
        <f>IF('Mkt Pen Veh-Mi'!L51=0,1,1/((1-Fuel2ShrbyTech!L52)/'Inputs 4-6 Diesel'!$R64+Fuel2ShrbyTech!L52/'Inputs 4-6 Diesel'!$X64))</f>
        <v>42.012488137267539</v>
      </c>
      <c r="M51" s="1200">
        <f>IF('Mkt Pen Veh-Mi'!M51=0,1,1/((1-Fuel2ShrbyTech!M52)/'Inputs 4-6 Diesel'!$S64+Fuel2ShrbyTech!M52/'Inputs 4-6 Diesel'!$Y64))</f>
        <v>42.135131334555844</v>
      </c>
      <c r="O51" s="1195">
        <f t="shared" si="9"/>
        <v>2049</v>
      </c>
      <c r="P51" s="1196">
        <f t="shared" si="10"/>
        <v>6.1198845350582189</v>
      </c>
      <c r="Q51" s="1199">
        <f t="shared" si="11"/>
        <v>0</v>
      </c>
      <c r="R51" s="1199">
        <f t="shared" si="12"/>
        <v>0</v>
      </c>
      <c r="S51" s="1199">
        <f t="shared" si="13"/>
        <v>0</v>
      </c>
      <c r="T51" s="1199">
        <f t="shared" si="14"/>
        <v>0</v>
      </c>
      <c r="U51" s="1200">
        <f t="shared" si="15"/>
        <v>0</v>
      </c>
      <c r="V51" s="1196">
        <f t="shared" si="16"/>
        <v>12.781114270374328</v>
      </c>
      <c r="W51" s="1199">
        <f t="shared" si="17"/>
        <v>18.627179262180508</v>
      </c>
      <c r="X51" s="1199">
        <f t="shared" si="18"/>
        <v>24.71836882914592</v>
      </c>
      <c r="Y51" s="1199">
        <f t="shared" si="19"/>
        <v>60.115920637566866</v>
      </c>
      <c r="Z51" s="1199">
        <f t="shared" si="20"/>
        <v>42.012488137267539</v>
      </c>
      <c r="AA51" s="1200">
        <f t="shared" si="21"/>
        <v>42.135131334555844</v>
      </c>
      <c r="AC51" s="1282" cm="1">
        <f t="array" ref="AC51">1/SUMPRODUCT(IFERROR(1/V51:AA51,0),'Mkt Pen Veh-Mi'!H51:M51)</f>
        <v>26.335127590236048</v>
      </c>
      <c r="AD51" s="1283">
        <f t="shared" si="22"/>
        <v>2.0604719614532292</v>
      </c>
    </row>
    <row r="52" spans="1:30" ht="15.75" thickBot="1" x14ac:dyDescent="0.3">
      <c r="A52" s="1211">
        <v>2050</v>
      </c>
      <c r="B52" s="1212">
        <f>IF('Mkt Pen Veh-Mi'!B52=0,1,1/((1-Fuel2ShrbyTech!B53)/'Inputs 4-6 Gas'!$N65+Fuel2ShrbyTech!B53/'Inputs 4-6 Gas'!$T65))</f>
        <v>6.1223268466441887</v>
      </c>
      <c r="C52" s="1213">
        <f>IF('Mkt Pen Veh-Mi'!C52=0,1,1/((1-Fuel2ShrbyTech!C53)/'Inputs 4-6 Gas'!$O65+Fuel2ShrbyTech!C53/'Inputs 4-6 Gas'!$U65))</f>
        <v>1</v>
      </c>
      <c r="D52" s="1213">
        <f>IF('Mkt Pen Veh-Mi'!D52=0,1,1/((1-Fuel2ShrbyTech!D53)/'Inputs 4-6 Gas'!$P65+Fuel2ShrbyTech!D53/'Inputs 4-6 Gas'!$V65))</f>
        <v>1</v>
      </c>
      <c r="E52" s="1213">
        <f>IF('Mkt Pen Veh-Mi'!E52=0,1,1/((1-Fuel2ShrbyTech!E53)/'Inputs 4-6 Gas'!$Q65+Fuel2ShrbyTech!E53/'Inputs 4-6 Gas'!$W65))</f>
        <v>1</v>
      </c>
      <c r="F52" s="1213">
        <f>IF('Mkt Pen Veh-Mi'!F52=0,1,1/((1-Fuel2ShrbyTech!F53)/'Inputs 4-6 Gas'!$R65+Fuel2ShrbyTech!F53/'Inputs 4-6 Gas'!$X65))</f>
        <v>1</v>
      </c>
      <c r="G52" s="1214">
        <f>IF('Mkt Pen Veh-Mi'!G52=0,1,1/((1-Fuel2ShrbyTech!G53)/'Inputs 4-6 Gas'!$S65+Fuel2ShrbyTech!G53/'Inputs 4-6 Gas'!$Y65))</f>
        <v>1</v>
      </c>
      <c r="H52" s="1212">
        <f>IF('Mkt Pen Veh-Mi'!H52=0,1,1/((1-Fuel2ShrbyTech!H53)/'Inputs 4-6 Diesel'!$N65+Fuel2ShrbyTech!H53/'Inputs 4-6 Diesel'!$T65))</f>
        <v>12.781114270374328</v>
      </c>
      <c r="I52" s="1213">
        <f>IF('Mkt Pen Veh-Mi'!I52=0,1,1/((1-Fuel2ShrbyTech!I53)/'Inputs 4-6 Diesel'!$O65+Fuel2ShrbyTech!I53/'Inputs 4-6 Diesel'!$U65))</f>
        <v>18.767317556892269</v>
      </c>
      <c r="J52" s="1213">
        <f>IF('Mkt Pen Veh-Mi'!J52=0,1,1/((1-Fuel2ShrbyTech!J53)/'Inputs 4-6 Diesel'!$P65+Fuel2ShrbyTech!J53/'Inputs 4-6 Diesel'!$V65))</f>
        <v>24.904531945473821</v>
      </c>
      <c r="K52" s="1213">
        <f>IF('Mkt Pen Veh-Mi'!K52=0,1,1/((1-Fuel2ShrbyTech!K53)/'Inputs 4-6 Diesel'!$Q65+Fuel2ShrbyTech!K53/'Inputs 4-6 Diesel'!$W65))</f>
        <v>60.422161080993313</v>
      </c>
      <c r="L52" s="1213">
        <f>IF('Mkt Pen Veh-Mi'!L52=0,1,1/((1-Fuel2ShrbyTech!L53)/'Inputs 4-6 Diesel'!$R65+Fuel2ShrbyTech!L53/'Inputs 4-6 Diesel'!$X65))</f>
        <v>42.296140947704053</v>
      </c>
      <c r="M52" s="1214">
        <f>IF('Mkt Pen Veh-Mi'!M52=0,1,1/((1-Fuel2ShrbyTech!M53)/'Inputs 4-6 Diesel'!$S65+Fuel2ShrbyTech!M53/'Inputs 4-6 Diesel'!$Y65))</f>
        <v>42.881038561750465</v>
      </c>
      <c r="O52" s="1211">
        <f t="shared" si="9"/>
        <v>2050</v>
      </c>
      <c r="P52" s="1212">
        <f t="shared" si="10"/>
        <v>6.1223268466441887</v>
      </c>
      <c r="Q52" s="1213">
        <f t="shared" si="11"/>
        <v>0</v>
      </c>
      <c r="R52" s="1213">
        <f t="shared" si="12"/>
        <v>0</v>
      </c>
      <c r="S52" s="1213">
        <f t="shared" si="13"/>
        <v>0</v>
      </c>
      <c r="T52" s="1213">
        <f t="shared" si="14"/>
        <v>0</v>
      </c>
      <c r="U52" s="1214">
        <f t="shared" si="15"/>
        <v>0</v>
      </c>
      <c r="V52" s="1212">
        <f t="shared" si="16"/>
        <v>12.781114270374328</v>
      </c>
      <c r="W52" s="1213">
        <f t="shared" si="17"/>
        <v>18.767317556892269</v>
      </c>
      <c r="X52" s="1213">
        <f t="shared" si="18"/>
        <v>24.904531945473821</v>
      </c>
      <c r="Y52" s="1213">
        <f t="shared" si="19"/>
        <v>60.422161080993313</v>
      </c>
      <c r="Z52" s="1213">
        <f t="shared" si="20"/>
        <v>42.296140947704053</v>
      </c>
      <c r="AA52" s="1214">
        <f t="shared" si="21"/>
        <v>42.881038561750465</v>
      </c>
      <c r="AC52" s="1282" cm="1">
        <f t="array" ref="AC52">1/SUMPRODUCT(IFERROR(1/V52:AA52,0),'Mkt Pen Veh-Mi'!H52:M52)</f>
        <v>27.119587391613461</v>
      </c>
      <c r="AD52" s="1283">
        <f t="shared" si="22"/>
        <v>2.1218484412172613</v>
      </c>
    </row>
  </sheetData>
  <mergeCells count="8">
    <mergeCell ref="V4:AA4"/>
    <mergeCell ref="P5:U5"/>
    <mergeCell ref="V5:AA5"/>
    <mergeCell ref="B4:G4"/>
    <mergeCell ref="H4:M4"/>
    <mergeCell ref="B5:G5"/>
    <mergeCell ref="H5:M5"/>
    <mergeCell ref="P4:U4"/>
  </mergeCells>
  <conditionalFormatting sqref="B6:M52">
    <cfRule type="expression" dxfId="3" priority="4">
      <formula>B$7="not used"</formula>
    </cfRule>
  </conditionalFormatting>
  <conditionalFormatting sqref="P6:AA8">
    <cfRule type="expression" dxfId="2" priority="3">
      <formula>P$7="not used"</formula>
    </cfRule>
  </conditionalFormatting>
  <conditionalFormatting sqref="P9:AA52 AC9:AC52">
    <cfRule type="expression" dxfId="1" priority="1">
      <formula>P$7="not used"</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1:BH109"/>
  <sheetViews>
    <sheetView topLeftCell="A4" zoomScaleNormal="100" workbookViewId="0">
      <selection activeCell="Q5" sqref="Q5"/>
    </sheetView>
  </sheetViews>
  <sheetFormatPr defaultColWidth="9.140625" defaultRowHeight="12.75" x14ac:dyDescent="0.2"/>
  <cols>
    <col min="1" max="1" width="9.140625" style="477"/>
    <col min="2" max="7" width="9.28515625" style="477" bestFit="1" customWidth="1"/>
    <col min="8" max="8" width="11.42578125" style="477" customWidth="1"/>
    <col min="9" max="10" width="9.28515625" style="477" bestFit="1" customWidth="1"/>
    <col min="11" max="11" width="10.7109375" style="477" bestFit="1" customWidth="1"/>
    <col min="12" max="12" width="9.140625" style="477"/>
    <col min="13" max="13" width="9.28515625" style="477" bestFit="1" customWidth="1"/>
    <col min="14" max="14" width="11.85546875" style="477" bestFit="1" customWidth="1"/>
    <col min="15" max="15" width="9.140625" style="477"/>
    <col min="16" max="16" width="9.28515625" style="1073" bestFit="1" customWidth="1"/>
    <col min="17" max="17" width="11.7109375" style="477" customWidth="1"/>
    <col min="18" max="18" width="12" style="477" customWidth="1"/>
    <col min="19" max="19" width="18" style="477" customWidth="1"/>
    <col min="20" max="20" width="9.28515625" style="477" bestFit="1" customWidth="1"/>
    <col min="21" max="21" width="13" style="477" customWidth="1"/>
    <col min="22" max="22" width="14.140625" style="477" customWidth="1"/>
    <col min="23" max="24" width="9.28515625" style="477" bestFit="1" customWidth="1"/>
    <col min="25" max="25" width="13.7109375" style="477" customWidth="1"/>
    <col min="26" max="26" width="9.140625" style="477"/>
    <col min="27" max="27" width="9.140625" style="477" customWidth="1"/>
    <col min="28" max="28" width="9.140625" style="477"/>
    <col min="29" max="30" width="9.28515625" style="477" bestFit="1" customWidth="1"/>
    <col min="31" max="31" width="11" style="477" bestFit="1" customWidth="1"/>
    <col min="32" max="32" width="9.28515625" style="477" bestFit="1" customWidth="1"/>
    <col min="33" max="34" width="9.140625" style="477"/>
    <col min="35" max="35" width="9.28515625" style="477" bestFit="1" customWidth="1"/>
    <col min="36" max="37" width="9.42578125" style="477" bestFit="1" customWidth="1"/>
    <col min="38" max="38" width="11.85546875" style="477" bestFit="1" customWidth="1"/>
    <col min="39" max="40" width="11.7109375" style="477" bestFit="1" customWidth="1"/>
    <col min="41" max="42" width="9.42578125" style="477" bestFit="1" customWidth="1"/>
    <col min="43" max="43" width="9.28515625" style="477" bestFit="1" customWidth="1"/>
    <col min="44" max="16384" width="9.140625" style="477"/>
  </cols>
  <sheetData>
    <row r="1" spans="1:60" ht="15.75" thickBot="1" x14ac:dyDescent="0.3">
      <c r="A1" s="1281" t="s">
        <v>235</v>
      </c>
    </row>
    <row r="2" spans="1:60" x14ac:dyDescent="0.2">
      <c r="M2" s="1700" t="s">
        <v>241</v>
      </c>
      <c r="N2" s="1701"/>
      <c r="P2" s="1280" t="s">
        <v>348</v>
      </c>
      <c r="AI2" s="477" t="s">
        <v>406</v>
      </c>
    </row>
    <row r="3" spans="1:60" x14ac:dyDescent="0.2">
      <c r="M3" s="1702"/>
      <c r="N3" s="1703"/>
      <c r="P3" s="1239" t="s">
        <v>335</v>
      </c>
      <c r="AI3" s="477" t="s">
        <v>407</v>
      </c>
      <c r="AJ3" s="477">
        <v>0.98768507235635317</v>
      </c>
    </row>
    <row r="4" spans="1:60" x14ac:dyDescent="0.2">
      <c r="M4" s="1069" t="s">
        <v>238</v>
      </c>
      <c r="N4" s="1070">
        <v>4</v>
      </c>
      <c r="AI4" s="477" t="s">
        <v>408</v>
      </c>
      <c r="AJ4" s="477">
        <v>0.97552180215557449</v>
      </c>
    </row>
    <row r="5" spans="1:60" x14ac:dyDescent="0.2">
      <c r="M5" s="1069" t="s">
        <v>239</v>
      </c>
      <c r="N5" s="1070">
        <v>0.5</v>
      </c>
      <c r="P5" s="1074" t="s">
        <v>231</v>
      </c>
      <c r="Q5" s="1466" t="s">
        <v>232</v>
      </c>
      <c r="W5" s="1068" t="s">
        <v>233</v>
      </c>
      <c r="X5" s="477" t="s">
        <v>234</v>
      </c>
      <c r="AI5" s="477" t="s">
        <v>409</v>
      </c>
      <c r="AJ5" s="477">
        <v>0.97388992229927951</v>
      </c>
    </row>
    <row r="6" spans="1:60" ht="13.5" thickBot="1" x14ac:dyDescent="0.25">
      <c r="J6" s="477" t="s">
        <v>380</v>
      </c>
      <c r="M6" s="1071" t="s">
        <v>240</v>
      </c>
      <c r="N6" s="1072">
        <v>1</v>
      </c>
      <c r="P6" s="1073" t="s">
        <v>333</v>
      </c>
      <c r="Q6" s="477">
        <v>2</v>
      </c>
      <c r="W6" s="477" t="s">
        <v>373</v>
      </c>
      <c r="X6" s="477" t="s">
        <v>433</v>
      </c>
      <c r="AI6" s="477" t="s">
        <v>410</v>
      </c>
      <c r="AJ6" s="477">
        <v>9.6747593121857753E-3</v>
      </c>
    </row>
    <row r="7" spans="1:60" ht="13.5" thickBot="1" x14ac:dyDescent="0.25">
      <c r="J7" s="1295" t="b">
        <v>1</v>
      </c>
      <c r="K7" s="1295" t="b">
        <v>1</v>
      </c>
      <c r="P7" s="1467" t="s">
        <v>3</v>
      </c>
      <c r="Q7" s="1468" t="s">
        <v>226</v>
      </c>
      <c r="R7" s="1468" t="s">
        <v>227</v>
      </c>
      <c r="S7" s="1468" t="s">
        <v>228</v>
      </c>
      <c r="T7" s="1468" t="s">
        <v>229</v>
      </c>
      <c r="U7" s="1468" t="s">
        <v>181</v>
      </c>
      <c r="V7" s="1468" t="s">
        <v>230</v>
      </c>
      <c r="W7" s="1468" t="s">
        <v>1</v>
      </c>
      <c r="X7" s="1468" t="s">
        <v>52</v>
      </c>
      <c r="Y7" s="1464" t="s">
        <v>0</v>
      </c>
      <c r="AI7" s="477" t="s">
        <v>411</v>
      </c>
      <c r="AJ7" s="477">
        <v>17</v>
      </c>
    </row>
    <row r="8" spans="1:60" ht="13.5" thickBot="1" x14ac:dyDescent="0.25">
      <c r="B8" s="1109"/>
      <c r="C8" s="1103" t="str">
        <f t="array" ref="C8:K8">Fuels</f>
        <v>LPG</v>
      </c>
      <c r="D8" s="1103" t="str">
        <v>E85</v>
      </c>
      <c r="E8" s="1103" t="str">
        <v>Gasoline</v>
      </c>
      <c r="F8" s="1103" t="str">
        <v>Jet Fuel</v>
      </c>
      <c r="G8" s="1103" t="str">
        <v>Diesel</v>
      </c>
      <c r="H8" s="1103" t="str">
        <v>Residual Fuel Oil</v>
      </c>
      <c r="I8" s="1103" t="str">
        <v>CNG</v>
      </c>
      <c r="J8" s="1103" t="str">
        <v>Electricity</v>
      </c>
      <c r="K8" s="1104" t="str">
        <v>Hydrogen</v>
      </c>
      <c r="M8" s="477" t="s">
        <v>236</v>
      </c>
      <c r="N8" s="477" t="s">
        <v>237</v>
      </c>
      <c r="P8" s="1469">
        <v>1992</v>
      </c>
      <c r="Q8" s="1509"/>
      <c r="R8" s="1509">
        <f>'Alt Fueling Stations by Fuel'!D9</f>
        <v>3297</v>
      </c>
      <c r="S8" s="1509">
        <f>'Alt Fueling Stations by Fuel'!E9</f>
        <v>43</v>
      </c>
      <c r="T8" s="1509"/>
      <c r="U8" s="1509"/>
      <c r="V8" s="1509"/>
      <c r="W8" s="1509">
        <f>'Alt Fueling Stations by Fuel'!I9</f>
        <v>349</v>
      </c>
      <c r="X8" s="1509">
        <f>'Alt Fueling Stations by Fuel'!J9</f>
        <v>2</v>
      </c>
      <c r="Y8" s="1509"/>
      <c r="Z8" s="1465"/>
    </row>
    <row r="9" spans="1:60" x14ac:dyDescent="0.2">
      <c r="B9" s="1100">
        <v>2007</v>
      </c>
      <c r="C9" s="1105">
        <v>1</v>
      </c>
      <c r="D9" s="1106">
        <v>1</v>
      </c>
      <c r="E9" s="1106">
        <v>1</v>
      </c>
      <c r="F9" s="1106">
        <v>1</v>
      </c>
      <c r="G9" s="1106">
        <v>1</v>
      </c>
      <c r="H9" s="1106">
        <v>1</v>
      </c>
      <c r="I9" s="1106">
        <v>1</v>
      </c>
      <c r="J9" s="1274">
        <f t="shared" ref="J9:J52" si="0">IF(J$7,VLOOKUP(Q23/Y23,$M$9:$N$109,2),1)</f>
        <v>0</v>
      </c>
      <c r="K9" s="1275">
        <f t="shared" ref="K9:K52" si="1">IF(K$7,VLOOKUP(U23/Y23,$M$9:$N$109,2),1)</f>
        <v>0</v>
      </c>
      <c r="M9" s="477">
        <v>0</v>
      </c>
      <c r="N9" s="477">
        <f t="shared" ref="N9:N40" si="2">WEIBULL(M9,$N$4,$N$5,$N$6)</f>
        <v>0</v>
      </c>
      <c r="P9" s="1470">
        <v>1993</v>
      </c>
      <c r="Q9" s="1510"/>
      <c r="R9" s="1510">
        <f>'Alt Fueling Stations by Fuel'!D10</f>
        <v>3297</v>
      </c>
      <c r="S9" s="1510">
        <f>'Alt Fueling Stations by Fuel'!E10</f>
        <v>50</v>
      </c>
      <c r="T9" s="1510"/>
      <c r="U9" s="1510"/>
      <c r="V9" s="1510"/>
      <c r="W9" s="1510">
        <f>'Alt Fueling Stations by Fuel'!I10</f>
        <v>497</v>
      </c>
      <c r="X9" s="1510">
        <f>'Alt Fueling Stations by Fuel'!J10</f>
        <v>7</v>
      </c>
      <c r="Y9" s="1510"/>
      <c r="Z9" s="1465"/>
      <c r="AB9" s="477" t="s">
        <v>431</v>
      </c>
    </row>
    <row r="10" spans="1:60" x14ac:dyDescent="0.2">
      <c r="B10" s="1100">
        <v>2008</v>
      </c>
      <c r="C10" s="1107">
        <v>1</v>
      </c>
      <c r="D10" s="1098">
        <v>1</v>
      </c>
      <c r="E10" s="1098">
        <v>1</v>
      </c>
      <c r="F10" s="1098">
        <v>1</v>
      </c>
      <c r="G10" s="1098">
        <v>1</v>
      </c>
      <c r="H10" s="1098">
        <v>1</v>
      </c>
      <c r="I10" s="1098">
        <v>1</v>
      </c>
      <c r="J10" s="1276">
        <f t="shared" si="0"/>
        <v>0</v>
      </c>
      <c r="K10" s="1277">
        <f t="shared" si="1"/>
        <v>0</v>
      </c>
      <c r="M10" s="477">
        <v>0.01</v>
      </c>
      <c r="N10" s="477">
        <f t="shared" si="2"/>
        <v>1.5999998720000074E-7</v>
      </c>
      <c r="P10" s="1471">
        <v>1994</v>
      </c>
      <c r="Q10" s="1511"/>
      <c r="R10" s="1511">
        <f>'Alt Fueling Stations by Fuel'!D11</f>
        <v>3299</v>
      </c>
      <c r="S10" s="1511">
        <f>'Alt Fueling Stations by Fuel'!E11</f>
        <v>82</v>
      </c>
      <c r="T10" s="1511"/>
      <c r="U10" s="1511"/>
      <c r="V10" s="1511"/>
      <c r="W10" s="1511">
        <f>'Alt Fueling Stations by Fuel'!I11</f>
        <v>1042</v>
      </c>
      <c r="X10" s="1511">
        <f>'Alt Fueling Stations by Fuel'!J11</f>
        <v>32</v>
      </c>
      <c r="Y10" s="1511"/>
      <c r="Z10" s="1465"/>
      <c r="AB10" s="477">
        <v>1991</v>
      </c>
      <c r="AC10" s="477" t="s">
        <v>434</v>
      </c>
      <c r="AU10" s="477">
        <v>1992</v>
      </c>
    </row>
    <row r="11" spans="1:60" x14ac:dyDescent="0.2">
      <c r="B11" s="1100">
        <v>2009</v>
      </c>
      <c r="C11" s="1107">
        <v>1</v>
      </c>
      <c r="D11" s="1098">
        <v>1</v>
      </c>
      <c r="E11" s="1098">
        <v>1</v>
      </c>
      <c r="F11" s="1098">
        <v>1</v>
      </c>
      <c r="G11" s="1098">
        <v>1</v>
      </c>
      <c r="H11" s="1098">
        <v>1</v>
      </c>
      <c r="I11" s="1098">
        <v>1</v>
      </c>
      <c r="J11" s="1276">
        <f t="shared" si="0"/>
        <v>0</v>
      </c>
      <c r="K11" s="1277">
        <f t="shared" si="1"/>
        <v>0</v>
      </c>
      <c r="M11" s="477">
        <f>M10+0.01</f>
        <v>0.02</v>
      </c>
      <c r="N11" s="477">
        <f t="shared" si="2"/>
        <v>2.559996723202798E-6</v>
      </c>
      <c r="P11" s="1470">
        <v>1995</v>
      </c>
      <c r="Q11" s="1510">
        <f>'Alt Fueling Stations by Fuel'!C12</f>
        <v>188</v>
      </c>
      <c r="R11" s="1510">
        <f>'Alt Fueling Stations by Fuel'!D12</f>
        <v>3299</v>
      </c>
      <c r="S11" s="1510">
        <f>'Alt Fueling Stations by Fuel'!E12</f>
        <v>88</v>
      </c>
      <c r="T11" s="1510"/>
      <c r="U11" s="1510"/>
      <c r="V11" s="1510"/>
      <c r="W11" s="1510">
        <f>'Alt Fueling Stations by Fuel'!I12</f>
        <v>1065</v>
      </c>
      <c r="X11" s="1510">
        <f>'Alt Fueling Stations by Fuel'!J12</f>
        <v>37</v>
      </c>
      <c r="Y11" s="1510"/>
      <c r="Z11" s="1465"/>
      <c r="AC11" s="477" t="s">
        <v>430</v>
      </c>
      <c r="AD11" s="477" t="s">
        <v>404</v>
      </c>
      <c r="AE11" s="477" t="s">
        <v>428</v>
      </c>
      <c r="AF11" s="477" t="s">
        <v>429</v>
      </c>
      <c r="AI11" s="477" t="s">
        <v>405</v>
      </c>
      <c r="AT11" s="477" t="s">
        <v>432</v>
      </c>
      <c r="AU11" s="477" t="s">
        <v>403</v>
      </c>
      <c r="AV11" s="477" t="s">
        <v>430</v>
      </c>
      <c r="AW11" s="477" t="s">
        <v>428</v>
      </c>
      <c r="AX11" s="477" t="s">
        <v>429</v>
      </c>
      <c r="AZ11" t="s">
        <v>405</v>
      </c>
      <c r="BA11"/>
      <c r="BB11"/>
      <c r="BC11"/>
      <c r="BD11"/>
      <c r="BE11"/>
      <c r="BF11"/>
      <c r="BG11"/>
      <c r="BH11"/>
    </row>
    <row r="12" spans="1:60" ht="13.5" thickBot="1" x14ac:dyDescent="0.25">
      <c r="B12" s="1101">
        <v>2010</v>
      </c>
      <c r="C12" s="1107">
        <v>1</v>
      </c>
      <c r="D12" s="1098">
        <v>1</v>
      </c>
      <c r="E12" s="1098">
        <v>1</v>
      </c>
      <c r="F12" s="1098">
        <v>1</v>
      </c>
      <c r="G12" s="1098">
        <v>1</v>
      </c>
      <c r="H12" s="1098">
        <v>1</v>
      </c>
      <c r="I12" s="1098">
        <v>1</v>
      </c>
      <c r="J12" s="1276">
        <f t="shared" si="0"/>
        <v>0</v>
      </c>
      <c r="K12" s="1277">
        <f t="shared" si="1"/>
        <v>0</v>
      </c>
      <c r="M12" s="477">
        <f t="shared" ref="M12:M75" si="3">M11+0.01</f>
        <v>0.03</v>
      </c>
      <c r="N12" s="477">
        <f t="shared" si="2"/>
        <v>1.2959916019562793E-5</v>
      </c>
      <c r="P12" s="1471">
        <v>1996</v>
      </c>
      <c r="Q12" s="1511">
        <f>'Alt Fueling Stations by Fuel'!C13</f>
        <v>194</v>
      </c>
      <c r="R12" s="1511">
        <f>'Alt Fueling Stations by Fuel'!D13</f>
        <v>4252</v>
      </c>
      <c r="S12" s="1511">
        <f>'Alt Fueling Stations by Fuel'!E13</f>
        <v>95</v>
      </c>
      <c r="T12" s="1511">
        <f>'Alt Fueling Stations by Fuel'!F13</f>
        <v>72</v>
      </c>
      <c r="U12" s="1511"/>
      <c r="V12" s="1511"/>
      <c r="W12" s="1511">
        <f>'Alt Fueling Stations by Fuel'!I13</f>
        <v>1419</v>
      </c>
      <c r="X12" s="1511">
        <f>'Alt Fueling Stations by Fuel'!J13</f>
        <v>68</v>
      </c>
      <c r="Y12" s="1511">
        <v>190246</v>
      </c>
      <c r="Z12" s="1465"/>
      <c r="AB12" s="1465">
        <f t="shared" ref="AB12:AB43" si="4">$P12-$AB$10</f>
        <v>5</v>
      </c>
      <c r="AC12" s="1482">
        <f>LN(AB12)</f>
        <v>1.6094379124341003</v>
      </c>
      <c r="AD12" s="477">
        <f>LN(Y12)</f>
        <v>12.156073250535757</v>
      </c>
      <c r="AE12" s="477">
        <f t="shared" ref="AE12:AE43" si="5">$AH$27*($P12-$AB$10)^$AJ$28</f>
        <v>191052.65611470124</v>
      </c>
      <c r="AF12" s="1481">
        <f>AE12-Y12</f>
        <v>806.65611470123986</v>
      </c>
      <c r="AT12" s="1481">
        <f t="shared" ref="AT12:AT28" si="6">Y12</f>
        <v>190246</v>
      </c>
      <c r="AU12" s="1465">
        <f>$P12-$AU$10</f>
        <v>4</v>
      </c>
      <c r="AV12" s="477">
        <f>LN(AU12)</f>
        <v>1.3862943611198906</v>
      </c>
      <c r="AW12" s="477">
        <f>$BA$27+$BA$28*LN(AU12)</f>
        <v>191019.30153774357</v>
      </c>
      <c r="AX12" s="1481">
        <f>AW12-AT12</f>
        <v>773.30153774356586</v>
      </c>
      <c r="AZ12"/>
      <c r="BA12"/>
      <c r="BB12"/>
      <c r="BC12"/>
      <c r="BD12"/>
      <c r="BE12"/>
      <c r="BF12"/>
      <c r="BG12"/>
      <c r="BH12"/>
    </row>
    <row r="13" spans="1:60" x14ac:dyDescent="0.2">
      <c r="B13" s="1101">
        <v>2011</v>
      </c>
      <c r="C13" s="1107">
        <v>1</v>
      </c>
      <c r="D13" s="1098">
        <v>1</v>
      </c>
      <c r="E13" s="1098">
        <v>1</v>
      </c>
      <c r="F13" s="1098">
        <v>1</v>
      </c>
      <c r="G13" s="1098">
        <v>1</v>
      </c>
      <c r="H13" s="1098">
        <v>1</v>
      </c>
      <c r="I13" s="1098">
        <v>1</v>
      </c>
      <c r="J13" s="1276">
        <f t="shared" si="0"/>
        <v>1.5999998720000074E-7</v>
      </c>
      <c r="K13" s="1277">
        <f t="shared" si="1"/>
        <v>0</v>
      </c>
      <c r="M13" s="477">
        <f t="shared" si="3"/>
        <v>0.04</v>
      </c>
      <c r="N13" s="477">
        <f t="shared" si="2"/>
        <v>4.0959161150653103E-5</v>
      </c>
      <c r="P13" s="1470">
        <v>1997</v>
      </c>
      <c r="Q13" s="1510">
        <f>'Alt Fueling Stations by Fuel'!C14</f>
        <v>310</v>
      </c>
      <c r="R13" s="1510">
        <f>'Alt Fueling Stations by Fuel'!D14</f>
        <v>4255</v>
      </c>
      <c r="S13" s="1510">
        <f>'Alt Fueling Stations by Fuel'!E14</f>
        <v>106</v>
      </c>
      <c r="T13" s="1510">
        <f>'Alt Fueling Stations by Fuel'!F14</f>
        <v>71</v>
      </c>
      <c r="U13" s="1510"/>
      <c r="V13" s="1510"/>
      <c r="W13" s="1510">
        <f>'Alt Fueling Stations by Fuel'!I14</f>
        <v>1426</v>
      </c>
      <c r="X13" s="1510">
        <f>'Alt Fueling Stations by Fuel'!J14</f>
        <v>71</v>
      </c>
      <c r="Y13" s="1510">
        <v>187892</v>
      </c>
      <c r="Z13" s="1465"/>
      <c r="AB13" s="1465">
        <f t="shared" si="4"/>
        <v>6</v>
      </c>
      <c r="AC13" s="1482">
        <f t="shared" ref="AC13:AC28" si="7">LN(AB13)</f>
        <v>1.791759469228055</v>
      </c>
      <c r="AD13" s="477">
        <f t="shared" ref="AD13:AD28" si="8">LN(Y13)</f>
        <v>12.143622608656969</v>
      </c>
      <c r="AE13" s="477">
        <f t="shared" si="5"/>
        <v>186397.89294683232</v>
      </c>
      <c r="AF13" s="1481">
        <f t="shared" ref="AF13:AF28" si="9">AE13-Y13</f>
        <v>-1494.1070531676814</v>
      </c>
      <c r="AI13" s="1477" t="s">
        <v>406</v>
      </c>
      <c r="AJ13" s="1477"/>
      <c r="AT13" s="1481">
        <f t="shared" si="6"/>
        <v>187892</v>
      </c>
      <c r="AU13" s="1465">
        <f t="shared" ref="AU13:AU66" si="10">$P13-$AU$10</f>
        <v>5</v>
      </c>
      <c r="AV13" s="477">
        <f t="shared" ref="AV13:AV28" si="11">LN(AU13)</f>
        <v>1.6094379124341003</v>
      </c>
      <c r="AW13" s="477">
        <f t="shared" ref="AW13:AW66" si="12">$BA$27+$BA$28*LN(AU13)</f>
        <v>186335.63689176104</v>
      </c>
      <c r="AX13" s="1481">
        <f t="shared" ref="AX13:AX28" si="13">AW13-AT13</f>
        <v>-1556.363108238962</v>
      </c>
      <c r="AZ13" s="1476" t="s">
        <v>406</v>
      </c>
      <c r="BA13" s="1476"/>
      <c r="BB13"/>
      <c r="BC13"/>
      <c r="BD13"/>
      <c r="BE13"/>
      <c r="BF13"/>
      <c r="BG13"/>
      <c r="BH13"/>
    </row>
    <row r="14" spans="1:60" x14ac:dyDescent="0.2">
      <c r="B14" s="1101">
        <v>2012</v>
      </c>
      <c r="C14" s="1107">
        <v>1</v>
      </c>
      <c r="D14" s="1098">
        <v>1</v>
      </c>
      <c r="E14" s="1098">
        <v>1</v>
      </c>
      <c r="F14" s="1098">
        <v>1</v>
      </c>
      <c r="G14" s="1098">
        <v>1</v>
      </c>
      <c r="H14" s="1098">
        <v>1</v>
      </c>
      <c r="I14" s="1098">
        <v>1</v>
      </c>
      <c r="J14" s="1276">
        <f t="shared" si="0"/>
        <v>4.0959161150653103E-5</v>
      </c>
      <c r="K14" s="1277">
        <f t="shared" si="1"/>
        <v>0</v>
      </c>
      <c r="M14" s="477">
        <f t="shared" si="3"/>
        <v>0.05</v>
      </c>
      <c r="N14" s="477">
        <f t="shared" si="2"/>
        <v>9.999500016666259E-5</v>
      </c>
      <c r="P14" s="1471">
        <v>1998</v>
      </c>
      <c r="Q14" s="1511">
        <f>'Alt Fueling Stations by Fuel'!C15</f>
        <v>486</v>
      </c>
      <c r="R14" s="1511">
        <f>'Alt Fueling Stations by Fuel'!D15</f>
        <v>5318</v>
      </c>
      <c r="S14" s="1511">
        <f>'Alt Fueling Stations by Fuel'!E15</f>
        <v>91</v>
      </c>
      <c r="T14" s="1511">
        <f>'Alt Fueling Stations by Fuel'!F15</f>
        <v>66</v>
      </c>
      <c r="U14" s="1511"/>
      <c r="V14" s="1511"/>
      <c r="W14" s="1511">
        <f>'Alt Fueling Stations by Fuel'!I15</f>
        <v>1268</v>
      </c>
      <c r="X14" s="1511">
        <f>'Alt Fueling Stations by Fuel'!J15</f>
        <v>40</v>
      </c>
      <c r="Y14" s="1511">
        <v>182596</v>
      </c>
      <c r="Z14" s="1465"/>
      <c r="AB14" s="1465">
        <f t="shared" si="4"/>
        <v>7</v>
      </c>
      <c r="AC14" s="1482">
        <f t="shared" si="7"/>
        <v>1.9459101490553132</v>
      </c>
      <c r="AD14" s="477">
        <f t="shared" si="8"/>
        <v>12.115031341098032</v>
      </c>
      <c r="AE14" s="477">
        <f t="shared" si="5"/>
        <v>182550.93564944336</v>
      </c>
      <c r="AF14" s="1481">
        <f t="shared" si="9"/>
        <v>-45.06435055664042</v>
      </c>
      <c r="AI14" s="1478" t="s">
        <v>407</v>
      </c>
      <c r="AJ14" s="1478">
        <v>0.98797577899294953</v>
      </c>
      <c r="AT14" s="1481">
        <f t="shared" si="6"/>
        <v>182596</v>
      </c>
      <c r="AU14" s="1465">
        <f t="shared" si="10"/>
        <v>6</v>
      </c>
      <c r="AV14" s="477">
        <f t="shared" si="11"/>
        <v>1.791759469228055</v>
      </c>
      <c r="AW14" s="477">
        <f t="shared" si="12"/>
        <v>182508.80423302145</v>
      </c>
      <c r="AX14" s="1481">
        <f t="shared" si="13"/>
        <v>-87.195766978547908</v>
      </c>
      <c r="AZ14" s="1473" t="s">
        <v>407</v>
      </c>
      <c r="BA14" s="1473">
        <v>0.98858831694523386</v>
      </c>
      <c r="BB14"/>
      <c r="BC14"/>
      <c r="BD14"/>
      <c r="BE14"/>
      <c r="BF14"/>
      <c r="BG14"/>
      <c r="BH14"/>
    </row>
    <row r="15" spans="1:60" x14ac:dyDescent="0.2">
      <c r="B15" s="1101">
        <v>2013</v>
      </c>
      <c r="C15" s="1107">
        <v>1</v>
      </c>
      <c r="D15" s="1098">
        <v>1</v>
      </c>
      <c r="E15" s="1098">
        <v>1</v>
      </c>
      <c r="F15" s="1098">
        <v>1</v>
      </c>
      <c r="G15" s="1098">
        <v>1</v>
      </c>
      <c r="H15" s="1098">
        <v>1</v>
      </c>
      <c r="I15" s="1098">
        <v>1</v>
      </c>
      <c r="J15" s="1276">
        <f t="shared" si="0"/>
        <v>9.999500016666259E-5</v>
      </c>
      <c r="K15" s="1277">
        <f t="shared" si="1"/>
        <v>0</v>
      </c>
      <c r="M15" s="477">
        <f t="shared" si="3"/>
        <v>6.0000000000000005E-2</v>
      </c>
      <c r="N15" s="477">
        <f t="shared" si="2"/>
        <v>2.0733850240113979E-4</v>
      </c>
      <c r="P15" s="1470">
        <v>1999</v>
      </c>
      <c r="Q15" s="1510">
        <f>'Alt Fueling Stations by Fuel'!C16</f>
        <v>490</v>
      </c>
      <c r="R15" s="1510">
        <f>'Alt Fueling Stations by Fuel'!D16</f>
        <v>4153</v>
      </c>
      <c r="S15" s="1510">
        <f>'Alt Fueling Stations by Fuel'!E16</f>
        <v>51</v>
      </c>
      <c r="T15" s="1510">
        <f>'Alt Fueling Stations by Fuel'!F16</f>
        <v>46</v>
      </c>
      <c r="U15" s="1510"/>
      <c r="V15" s="1510"/>
      <c r="W15" s="1510">
        <f>'Alt Fueling Stations by Fuel'!I16</f>
        <v>1267</v>
      </c>
      <c r="X15" s="1510">
        <f>'Alt Fueling Stations by Fuel'!J16</f>
        <v>49</v>
      </c>
      <c r="Y15" s="1510">
        <v>180567</v>
      </c>
      <c r="Z15" s="1465"/>
      <c r="AB15" s="1465">
        <f t="shared" si="4"/>
        <v>8</v>
      </c>
      <c r="AC15" s="1482">
        <f t="shared" si="7"/>
        <v>2.0794415416798357</v>
      </c>
      <c r="AD15" s="477">
        <f t="shared" si="8"/>
        <v>12.103857179016421</v>
      </c>
      <c r="AE15" s="477">
        <f t="shared" si="5"/>
        <v>179282.7845308595</v>
      </c>
      <c r="AF15" s="1481">
        <f t="shared" si="9"/>
        <v>-1284.2154691405012</v>
      </c>
      <c r="AI15" s="1478" t="s">
        <v>408</v>
      </c>
      <c r="AJ15" s="1478">
        <v>0.97609613987672539</v>
      </c>
      <c r="AT15" s="1481">
        <f t="shared" si="6"/>
        <v>180567</v>
      </c>
      <c r="AU15" s="1465">
        <f t="shared" si="10"/>
        <v>7</v>
      </c>
      <c r="AV15" s="477">
        <f t="shared" si="11"/>
        <v>1.9459101490553132</v>
      </c>
      <c r="AW15" s="477">
        <f t="shared" si="12"/>
        <v>179273.26332220901</v>
      </c>
      <c r="AX15" s="1481">
        <f t="shared" si="13"/>
        <v>-1293.736677790992</v>
      </c>
      <c r="AZ15" s="1473" t="s">
        <v>408</v>
      </c>
      <c r="BA15" s="1473">
        <v>0.9773068604006101</v>
      </c>
      <c r="BB15"/>
      <c r="BC15"/>
      <c r="BD15"/>
      <c r="BE15"/>
      <c r="BF15"/>
      <c r="BG15"/>
      <c r="BH15"/>
    </row>
    <row r="16" spans="1:60" x14ac:dyDescent="0.2">
      <c r="B16" s="1101">
        <v>2014</v>
      </c>
      <c r="C16" s="1107">
        <v>1</v>
      </c>
      <c r="D16" s="1098">
        <v>1</v>
      </c>
      <c r="E16" s="1098">
        <v>1</v>
      </c>
      <c r="F16" s="1098">
        <v>1</v>
      </c>
      <c r="G16" s="1098">
        <v>1</v>
      </c>
      <c r="H16" s="1098">
        <v>1</v>
      </c>
      <c r="I16" s="1098">
        <v>1</v>
      </c>
      <c r="J16" s="1276">
        <f t="shared" si="0"/>
        <v>2.0733850240113979E-4</v>
      </c>
      <c r="K16" s="1277">
        <f t="shared" si="1"/>
        <v>0</v>
      </c>
      <c r="M16" s="477">
        <f t="shared" si="3"/>
        <v>7.0000000000000007E-2</v>
      </c>
      <c r="N16" s="477">
        <f t="shared" si="2"/>
        <v>3.8408621999527803E-4</v>
      </c>
      <c r="P16" s="1471">
        <v>2000</v>
      </c>
      <c r="Q16" s="1511">
        <f>'Alt Fueling Stations by Fuel'!C17</f>
        <v>558</v>
      </c>
      <c r="R16" s="1511">
        <f>'Alt Fueling Stations by Fuel'!D17</f>
        <v>3268</v>
      </c>
      <c r="S16" s="1511">
        <f>'Alt Fueling Stations by Fuel'!E17</f>
        <v>3</v>
      </c>
      <c r="T16" s="1511">
        <f>'Alt Fueling Stations by Fuel'!F17</f>
        <v>44</v>
      </c>
      <c r="U16" s="1511"/>
      <c r="V16" s="1511">
        <f>'Alt Fueling Stations by Fuel'!H17</f>
        <v>2</v>
      </c>
      <c r="W16" s="1511">
        <f>'Alt Fueling Stations by Fuel'!I17</f>
        <v>1217</v>
      </c>
      <c r="X16" s="1511">
        <f>'Alt Fueling Stations by Fuel'!J17</f>
        <v>113</v>
      </c>
      <c r="Y16" s="1511">
        <v>175941</v>
      </c>
      <c r="Z16" s="1465"/>
      <c r="AB16" s="1465">
        <f t="shared" si="4"/>
        <v>9</v>
      </c>
      <c r="AC16" s="1482">
        <f t="shared" si="7"/>
        <v>2.1972245773362196</v>
      </c>
      <c r="AD16" s="477">
        <f t="shared" si="8"/>
        <v>12.077903990546339</v>
      </c>
      <c r="AE16" s="477">
        <f t="shared" si="5"/>
        <v>176448.67032110461</v>
      </c>
      <c r="AF16" s="1481">
        <f t="shared" si="9"/>
        <v>507.6703211046115</v>
      </c>
      <c r="AI16" s="1478" t="s">
        <v>409</v>
      </c>
      <c r="AJ16" s="1478">
        <v>0.97450254920184043</v>
      </c>
      <c r="AT16" s="1481">
        <f t="shared" si="6"/>
        <v>175941</v>
      </c>
      <c r="AU16" s="1465">
        <f t="shared" si="10"/>
        <v>8</v>
      </c>
      <c r="AV16" s="477">
        <f t="shared" si="11"/>
        <v>2.0794415416798357</v>
      </c>
      <c r="AW16" s="477">
        <f t="shared" si="12"/>
        <v>176470.51030030503</v>
      </c>
      <c r="AX16" s="1481">
        <f t="shared" si="13"/>
        <v>529.51030030503171</v>
      </c>
      <c r="AZ16" s="1473" t="s">
        <v>409</v>
      </c>
      <c r="BA16" s="1473">
        <v>0.97579398442731746</v>
      </c>
      <c r="BB16"/>
      <c r="BC16"/>
      <c r="BD16"/>
      <c r="BE16"/>
      <c r="BF16"/>
      <c r="BG16"/>
      <c r="BH16"/>
    </row>
    <row r="17" spans="2:60" x14ac:dyDescent="0.2">
      <c r="B17" s="1101">
        <v>2015</v>
      </c>
      <c r="C17" s="1107">
        <v>1</v>
      </c>
      <c r="D17" s="1098">
        <v>1</v>
      </c>
      <c r="E17" s="1098">
        <v>1</v>
      </c>
      <c r="F17" s="1098">
        <v>1</v>
      </c>
      <c r="G17" s="1098">
        <v>1</v>
      </c>
      <c r="H17" s="1098">
        <v>1</v>
      </c>
      <c r="I17" s="1098">
        <v>1</v>
      </c>
      <c r="J17" s="1276">
        <f t="shared" si="0"/>
        <v>3.8408621999527803E-4</v>
      </c>
      <c r="K17" s="1277">
        <f t="shared" si="1"/>
        <v>0</v>
      </c>
      <c r="M17" s="477">
        <f t="shared" si="3"/>
        <v>0.08</v>
      </c>
      <c r="N17" s="477">
        <f t="shared" si="2"/>
        <v>6.5514529854001074E-4</v>
      </c>
      <c r="P17" s="1470">
        <v>2001</v>
      </c>
      <c r="Q17" s="1510">
        <f>'Alt Fueling Stations by Fuel'!C18</f>
        <v>693</v>
      </c>
      <c r="R17" s="1510">
        <f>'Alt Fueling Stations by Fuel'!D18</f>
        <v>3403</v>
      </c>
      <c r="S17" s="1510"/>
      <c r="T17" s="1510">
        <f>'Alt Fueling Stations by Fuel'!F18</f>
        <v>44</v>
      </c>
      <c r="U17" s="1510"/>
      <c r="V17" s="1510">
        <f>'Alt Fueling Stations by Fuel'!H18</f>
        <v>16</v>
      </c>
      <c r="W17" s="1510">
        <f>'Alt Fueling Stations by Fuel'!I18</f>
        <v>1232</v>
      </c>
      <c r="X17" s="1510">
        <f>'Alt Fueling Stations by Fuel'!J18</f>
        <v>154</v>
      </c>
      <c r="Y17" s="1510">
        <v>172169</v>
      </c>
      <c r="Z17" s="1465"/>
      <c r="AB17" s="1465">
        <f t="shared" si="4"/>
        <v>10</v>
      </c>
      <c r="AC17" s="1482">
        <f t="shared" si="7"/>
        <v>2.3025850929940459</v>
      </c>
      <c r="AD17" s="477">
        <f t="shared" si="8"/>
        <v>12.056231831540837</v>
      </c>
      <c r="AE17" s="477">
        <f t="shared" si="5"/>
        <v>173951.4531654985</v>
      </c>
      <c r="AF17" s="1481">
        <f t="shared" si="9"/>
        <v>1782.4531654985039</v>
      </c>
      <c r="AI17" s="1478" t="s">
        <v>410</v>
      </c>
      <c r="AJ17" s="1478">
        <v>9.5605850342671585E-3</v>
      </c>
      <c r="AT17" s="1481">
        <f t="shared" si="6"/>
        <v>172169</v>
      </c>
      <c r="AU17" s="1465">
        <f t="shared" si="10"/>
        <v>9</v>
      </c>
      <c r="AV17" s="477">
        <f t="shared" si="11"/>
        <v>2.1972245773362196</v>
      </c>
      <c r="AW17" s="477">
        <f t="shared" si="12"/>
        <v>173998.30692829937</v>
      </c>
      <c r="AX17" s="1481">
        <f t="shared" si="13"/>
        <v>1829.3069282993674</v>
      </c>
      <c r="AZ17" s="1473" t="s">
        <v>410</v>
      </c>
      <c r="BA17" s="1473">
        <v>1606.2195200753765</v>
      </c>
      <c r="BB17"/>
      <c r="BC17"/>
      <c r="BD17"/>
      <c r="BE17"/>
      <c r="BF17"/>
      <c r="BG17"/>
      <c r="BH17"/>
    </row>
    <row r="18" spans="2:60" ht="13.5" thickBot="1" x14ac:dyDescent="0.25">
      <c r="B18" s="1101">
        <v>2016</v>
      </c>
      <c r="C18" s="1107">
        <v>1</v>
      </c>
      <c r="D18" s="1098">
        <v>1</v>
      </c>
      <c r="E18" s="1098">
        <v>1</v>
      </c>
      <c r="F18" s="1098">
        <v>1</v>
      </c>
      <c r="G18" s="1098">
        <v>1</v>
      </c>
      <c r="H18" s="1098">
        <v>1</v>
      </c>
      <c r="I18" s="1098">
        <v>1</v>
      </c>
      <c r="J18" s="1276">
        <f t="shared" si="0"/>
        <v>1.5987206823936864E-3</v>
      </c>
      <c r="K18" s="1277">
        <f t="shared" si="1"/>
        <v>0</v>
      </c>
      <c r="M18" s="477">
        <f t="shared" si="3"/>
        <v>0.09</v>
      </c>
      <c r="N18" s="477">
        <f t="shared" si="2"/>
        <v>1.0492091947258413E-3</v>
      </c>
      <c r="P18" s="1471">
        <v>2002</v>
      </c>
      <c r="Q18" s="1511">
        <f>'Alt Fueling Stations by Fuel'!C19</f>
        <v>873</v>
      </c>
      <c r="R18" s="1511">
        <f>'Alt Fueling Stations by Fuel'!D19</f>
        <v>3431</v>
      </c>
      <c r="S18" s="1511"/>
      <c r="T18" s="1511">
        <f>'Alt Fueling Stations by Fuel'!F19</f>
        <v>36</v>
      </c>
      <c r="U18" s="1511">
        <f>'Alt Fueling Stations by Fuel'!G19</f>
        <v>7</v>
      </c>
      <c r="V18" s="1511">
        <f>'Alt Fueling Stations by Fuel'!H19</f>
        <v>79</v>
      </c>
      <c r="W18" s="1511">
        <f>'Alt Fueling Stations by Fuel'!I19</f>
        <v>1166</v>
      </c>
      <c r="X18" s="1511">
        <f>'Alt Fueling Stations by Fuel'!J19</f>
        <v>149</v>
      </c>
      <c r="Y18" s="1511">
        <v>170018</v>
      </c>
      <c r="Z18" s="1465"/>
      <c r="AB18" s="1465">
        <f t="shared" si="4"/>
        <v>11</v>
      </c>
      <c r="AC18" s="1482">
        <f t="shared" si="7"/>
        <v>2.3978952727983707</v>
      </c>
      <c r="AD18" s="477">
        <f t="shared" si="8"/>
        <v>12.0436595927802</v>
      </c>
      <c r="AE18" s="477">
        <f t="shared" si="5"/>
        <v>171722.90532261576</v>
      </c>
      <c r="AF18" s="1481">
        <f t="shared" si="9"/>
        <v>1704.9053226157557</v>
      </c>
      <c r="AI18" s="1479" t="s">
        <v>411</v>
      </c>
      <c r="AJ18" s="1479">
        <v>17</v>
      </c>
      <c r="AT18" s="1481">
        <f t="shared" si="6"/>
        <v>170018</v>
      </c>
      <c r="AU18" s="1465">
        <f t="shared" si="10"/>
        <v>10</v>
      </c>
      <c r="AV18" s="477">
        <f t="shared" si="11"/>
        <v>2.3025850929940459</v>
      </c>
      <c r="AW18" s="477">
        <f t="shared" si="12"/>
        <v>171786.84565432247</v>
      </c>
      <c r="AX18" s="1481">
        <f t="shared" si="13"/>
        <v>1768.8456543224747</v>
      </c>
      <c r="AZ18" s="1474" t="s">
        <v>411</v>
      </c>
      <c r="BA18" s="1474">
        <v>17</v>
      </c>
      <c r="BB18"/>
      <c r="BC18"/>
      <c r="BD18"/>
      <c r="BE18"/>
      <c r="BF18"/>
      <c r="BG18"/>
      <c r="BH18"/>
    </row>
    <row r="19" spans="2:60" x14ac:dyDescent="0.2">
      <c r="B19" s="1101">
        <v>2017</v>
      </c>
      <c r="C19" s="1107">
        <v>1</v>
      </c>
      <c r="D19" s="1098">
        <v>1</v>
      </c>
      <c r="E19" s="1098">
        <v>1</v>
      </c>
      <c r="F19" s="1098">
        <v>1</v>
      </c>
      <c r="G19" s="1098">
        <v>1</v>
      </c>
      <c r="H19" s="1098">
        <v>1</v>
      </c>
      <c r="I19" s="1098">
        <v>1</v>
      </c>
      <c r="J19" s="1276">
        <f t="shared" si="0"/>
        <v>2.3398183475694901E-3</v>
      </c>
      <c r="K19" s="1277">
        <f t="shared" si="1"/>
        <v>0</v>
      </c>
      <c r="M19" s="477">
        <f t="shared" si="3"/>
        <v>9.9999999999999992E-2</v>
      </c>
      <c r="N19" s="477">
        <f t="shared" si="2"/>
        <v>1.5987206823936864E-3</v>
      </c>
      <c r="P19" s="1470">
        <v>2003</v>
      </c>
      <c r="Q19" s="1510">
        <f>'Alt Fueling Stations by Fuel'!C20</f>
        <v>830</v>
      </c>
      <c r="R19" s="1510">
        <f>'Alt Fueling Stations by Fuel'!D20</f>
        <v>3966</v>
      </c>
      <c r="S19" s="1510"/>
      <c r="T19" s="1510">
        <f>'Alt Fueling Stations by Fuel'!F20</f>
        <v>62</v>
      </c>
      <c r="U19" s="1510">
        <f>'Alt Fueling Stations by Fuel'!G20</f>
        <v>7</v>
      </c>
      <c r="V19" s="1510">
        <f>'Alt Fueling Stations by Fuel'!H20</f>
        <v>142</v>
      </c>
      <c r="W19" s="1510">
        <f>'Alt Fueling Stations by Fuel'!I20</f>
        <v>1035</v>
      </c>
      <c r="X19" s="1510">
        <f>'Alt Fueling Stations by Fuel'!J20</f>
        <v>188</v>
      </c>
      <c r="Y19" s="1510">
        <v>167571</v>
      </c>
      <c r="Z19" s="1465"/>
      <c r="AB19" s="1465">
        <f t="shared" si="4"/>
        <v>12</v>
      </c>
      <c r="AC19" s="1482">
        <f t="shared" si="7"/>
        <v>2.4849066497880004</v>
      </c>
      <c r="AD19" s="477">
        <f t="shared" si="8"/>
        <v>12.029162421032272</v>
      </c>
      <c r="AE19" s="477">
        <f t="shared" si="5"/>
        <v>169713.33979058723</v>
      </c>
      <c r="AF19" s="1481">
        <f t="shared" si="9"/>
        <v>2142.3397905872262</v>
      </c>
      <c r="AT19" s="1481">
        <f t="shared" si="6"/>
        <v>167571</v>
      </c>
      <c r="AU19" s="1465">
        <f t="shared" si="10"/>
        <v>11</v>
      </c>
      <c r="AV19" s="477">
        <f t="shared" si="11"/>
        <v>2.3978952727983707</v>
      </c>
      <c r="AW19" s="477">
        <f t="shared" si="12"/>
        <v>169786.33559287249</v>
      </c>
      <c r="AX19" s="1481">
        <f t="shared" si="13"/>
        <v>2215.3355928724923</v>
      </c>
      <c r="AZ19"/>
      <c r="BA19"/>
      <c r="BB19"/>
      <c r="BC19"/>
      <c r="BD19"/>
      <c r="BE19"/>
      <c r="BF19"/>
      <c r="BG19"/>
      <c r="BH19"/>
    </row>
    <row r="20" spans="2:60" ht="13.5" thickBot="1" x14ac:dyDescent="0.25">
      <c r="B20" s="1101">
        <v>2018</v>
      </c>
      <c r="C20" s="1107">
        <v>1</v>
      </c>
      <c r="D20" s="1098">
        <v>1</v>
      </c>
      <c r="E20" s="1098">
        <v>1</v>
      </c>
      <c r="F20" s="1098">
        <v>1</v>
      </c>
      <c r="G20" s="1098">
        <v>1</v>
      </c>
      <c r="H20" s="1098">
        <v>1</v>
      </c>
      <c r="I20" s="1098">
        <v>1</v>
      </c>
      <c r="J20" s="1276">
        <f t="shared" si="0"/>
        <v>4.5593345334435922E-3</v>
      </c>
      <c r="K20" s="1277">
        <f t="shared" si="1"/>
        <v>0</v>
      </c>
      <c r="M20" s="477">
        <f t="shared" si="3"/>
        <v>0.10999999999999999</v>
      </c>
      <c r="N20" s="477">
        <f t="shared" si="2"/>
        <v>2.3398183475694901E-3</v>
      </c>
      <c r="P20" s="1471">
        <v>2004</v>
      </c>
      <c r="Q20" s="1511">
        <f>'Alt Fueling Stations by Fuel'!C21</f>
        <v>671</v>
      </c>
      <c r="R20" s="1511">
        <f>'Alt Fueling Stations by Fuel'!D21</f>
        <v>3689</v>
      </c>
      <c r="S20" s="1511"/>
      <c r="T20" s="1511">
        <f>'Alt Fueling Stations by Fuel'!F21</f>
        <v>58</v>
      </c>
      <c r="U20" s="1511">
        <f>'Alt Fueling Stations by Fuel'!G21</f>
        <v>9</v>
      </c>
      <c r="V20" s="1511">
        <f>'Alt Fueling Stations by Fuel'!H21</f>
        <v>176</v>
      </c>
      <c r="W20" s="1511">
        <f>'Alt Fueling Stations by Fuel'!I21</f>
        <v>917</v>
      </c>
      <c r="X20" s="1511">
        <f>'Alt Fueling Stations by Fuel'!J21</f>
        <v>200</v>
      </c>
      <c r="Y20" s="1511">
        <v>167346</v>
      </c>
      <c r="Z20" s="1465"/>
      <c r="AB20" s="1465">
        <f t="shared" si="4"/>
        <v>13</v>
      </c>
      <c r="AC20" s="1482">
        <f t="shared" si="7"/>
        <v>2.5649493574615367</v>
      </c>
      <c r="AD20" s="477">
        <f t="shared" si="8"/>
        <v>12.027818804352023</v>
      </c>
      <c r="AE20" s="477">
        <f t="shared" si="5"/>
        <v>167885.49216988546</v>
      </c>
      <c r="AF20" s="1481">
        <f t="shared" si="9"/>
        <v>539.49216988545959</v>
      </c>
      <c r="AI20" s="477" t="s">
        <v>412</v>
      </c>
      <c r="AT20" s="1481">
        <f t="shared" si="6"/>
        <v>167346</v>
      </c>
      <c r="AU20" s="1465">
        <f t="shared" si="10"/>
        <v>12</v>
      </c>
      <c r="AV20" s="477">
        <f t="shared" si="11"/>
        <v>2.4849066497880004</v>
      </c>
      <c r="AW20" s="477">
        <f t="shared" si="12"/>
        <v>167960.01299558289</v>
      </c>
      <c r="AX20" s="1481">
        <f t="shared" si="13"/>
        <v>614.01299558288883</v>
      </c>
      <c r="AZ20" t="s">
        <v>412</v>
      </c>
      <c r="BA20"/>
      <c r="BB20"/>
      <c r="BC20"/>
      <c r="BD20"/>
      <c r="BE20"/>
      <c r="BF20"/>
      <c r="BG20"/>
      <c r="BH20"/>
    </row>
    <row r="21" spans="2:60" x14ac:dyDescent="0.2">
      <c r="B21" s="1101">
        <v>2019</v>
      </c>
      <c r="C21" s="1107">
        <v>1</v>
      </c>
      <c r="D21" s="1098">
        <v>1</v>
      </c>
      <c r="E21" s="1098">
        <v>1</v>
      </c>
      <c r="F21" s="1098">
        <v>1</v>
      </c>
      <c r="G21" s="1098">
        <v>1</v>
      </c>
      <c r="H21" s="1098">
        <v>1</v>
      </c>
      <c r="I21" s="1098">
        <v>1</v>
      </c>
      <c r="J21" s="1276">
        <f t="shared" si="0"/>
        <v>1.0430976069530742E-2</v>
      </c>
      <c r="K21" s="1277">
        <f t="shared" si="1"/>
        <v>0</v>
      </c>
      <c r="M21" s="477">
        <f t="shared" si="3"/>
        <v>0.11999999999999998</v>
      </c>
      <c r="N21" s="477">
        <f t="shared" si="2"/>
        <v>3.3122623159705469E-3</v>
      </c>
      <c r="P21" s="1470">
        <v>2005</v>
      </c>
      <c r="Q21" s="1510">
        <f>'Alt Fueling Stations by Fuel'!C22</f>
        <v>588</v>
      </c>
      <c r="R21" s="1510">
        <f>'Alt Fueling Stations by Fuel'!D22</f>
        <v>2995</v>
      </c>
      <c r="S21" s="1510"/>
      <c r="T21" s="1510">
        <f>'Alt Fueling Stations by Fuel'!F22</f>
        <v>40</v>
      </c>
      <c r="U21" s="1510">
        <f>'Alt Fueling Stations by Fuel'!G22</f>
        <v>14</v>
      </c>
      <c r="V21" s="1510">
        <f>'Alt Fueling Stations by Fuel'!H22</f>
        <v>304</v>
      </c>
      <c r="W21" s="1510">
        <f>'Alt Fueling Stations by Fuel'!I22</f>
        <v>787</v>
      </c>
      <c r="X21" s="1510">
        <f>'Alt Fueling Stations by Fuel'!J22</f>
        <v>436</v>
      </c>
      <c r="Y21" s="1510">
        <v>168987</v>
      </c>
      <c r="Z21" s="1465">
        <v>117189</v>
      </c>
      <c r="AA21" s="477">
        <f>Y21/Z21</f>
        <v>1.4420039423495379</v>
      </c>
      <c r="AB21" s="1465">
        <f t="shared" si="4"/>
        <v>14</v>
      </c>
      <c r="AC21" s="1482">
        <f t="shared" si="7"/>
        <v>2.6390573296152584</v>
      </c>
      <c r="AD21" s="477">
        <f t="shared" si="8"/>
        <v>12.037577067869556</v>
      </c>
      <c r="AE21" s="477">
        <f t="shared" si="5"/>
        <v>166210.72524570141</v>
      </c>
      <c r="AF21" s="1481">
        <f t="shared" si="9"/>
        <v>-2776.274754298589</v>
      </c>
      <c r="AI21" s="1480"/>
      <c r="AJ21" s="1480" t="s">
        <v>416</v>
      </c>
      <c r="AK21" s="1480" t="s">
        <v>417</v>
      </c>
      <c r="AL21" s="1480" t="s">
        <v>418</v>
      </c>
      <c r="AM21" s="1480" t="s">
        <v>419</v>
      </c>
      <c r="AN21" s="1480" t="s">
        <v>420</v>
      </c>
      <c r="AT21" s="1481">
        <f t="shared" si="6"/>
        <v>168987</v>
      </c>
      <c r="AU21" s="1465">
        <f t="shared" si="10"/>
        <v>13</v>
      </c>
      <c r="AV21" s="477">
        <f t="shared" si="11"/>
        <v>2.5649493574615367</v>
      </c>
      <c r="AW21" s="477">
        <f t="shared" si="12"/>
        <v>166279.95906665997</v>
      </c>
      <c r="AX21" s="1481">
        <f t="shared" si="13"/>
        <v>-2707.0409333400312</v>
      </c>
      <c r="AZ21" s="1475"/>
      <c r="BA21" s="1475" t="s">
        <v>416</v>
      </c>
      <c r="BB21" s="1475" t="s">
        <v>417</v>
      </c>
      <c r="BC21" s="1475" t="s">
        <v>418</v>
      </c>
      <c r="BD21" s="1475" t="s">
        <v>419</v>
      </c>
      <c r="BE21" s="1475" t="s">
        <v>420</v>
      </c>
      <c r="BF21"/>
      <c r="BG21"/>
      <c r="BH21"/>
    </row>
    <row r="22" spans="2:60" x14ac:dyDescent="0.2">
      <c r="B22" s="1101">
        <v>2020</v>
      </c>
      <c r="C22" s="1107">
        <v>1</v>
      </c>
      <c r="D22" s="1098">
        <v>1</v>
      </c>
      <c r="E22" s="1098">
        <v>1</v>
      </c>
      <c r="F22" s="1098">
        <v>1</v>
      </c>
      <c r="G22" s="1098">
        <v>1</v>
      </c>
      <c r="H22" s="1098">
        <v>1</v>
      </c>
      <c r="I22" s="1098">
        <v>1</v>
      </c>
      <c r="J22" s="1276">
        <f t="shared" si="0"/>
        <v>2.5275098398206075E-2</v>
      </c>
      <c r="K22" s="1277">
        <f t="shared" si="1"/>
        <v>0</v>
      </c>
      <c r="M22" s="477">
        <f t="shared" si="3"/>
        <v>0.12999999999999998</v>
      </c>
      <c r="N22" s="477">
        <f t="shared" si="2"/>
        <v>4.5593345334435922E-3</v>
      </c>
      <c r="P22" s="1471">
        <v>2006</v>
      </c>
      <c r="Q22" s="1511">
        <f>'Alt Fueling Stations by Fuel'!C23</f>
        <v>465</v>
      </c>
      <c r="R22" s="1511">
        <f>'Alt Fueling Stations by Fuel'!D23</f>
        <v>2619</v>
      </c>
      <c r="S22" s="1511"/>
      <c r="T22" s="1511">
        <f>'Alt Fueling Stations by Fuel'!F23</f>
        <v>37</v>
      </c>
      <c r="U22" s="1511">
        <f>'Alt Fueling Stations by Fuel'!G23</f>
        <v>17</v>
      </c>
      <c r="V22" s="1511">
        <f>'Alt Fueling Stations by Fuel'!H23</f>
        <v>459</v>
      </c>
      <c r="W22" s="1511">
        <f>'Alt Fueling Stations by Fuel'!I23</f>
        <v>732</v>
      </c>
      <c r="X22" s="1511">
        <f>'Alt Fueling Stations by Fuel'!J23</f>
        <v>762</v>
      </c>
      <c r="Y22" s="1511">
        <v>167476</v>
      </c>
      <c r="Z22" s="1465"/>
      <c r="AB22" s="1465">
        <f t="shared" si="4"/>
        <v>15</v>
      </c>
      <c r="AC22" s="1482">
        <f t="shared" si="7"/>
        <v>2.7080502011022101</v>
      </c>
      <c r="AD22" s="477">
        <f t="shared" si="8"/>
        <v>12.028595336399096</v>
      </c>
      <c r="AE22" s="477">
        <f t="shared" si="5"/>
        <v>164666.57496086106</v>
      </c>
      <c r="AF22" s="1481">
        <f t="shared" si="9"/>
        <v>-2809.425039138936</v>
      </c>
      <c r="AI22" s="1478" t="s">
        <v>413</v>
      </c>
      <c r="AJ22" s="1478">
        <v>1</v>
      </c>
      <c r="AK22" s="1478">
        <v>5.5986684899515415E-2</v>
      </c>
      <c r="AL22" s="1478">
        <v>5.5986684899515415E-2</v>
      </c>
      <c r="AM22" s="1478">
        <v>612.51371212195215</v>
      </c>
      <c r="AN22" s="1478">
        <v>1.4118932263135043E-13</v>
      </c>
      <c r="AT22" s="1481">
        <f t="shared" si="6"/>
        <v>167476</v>
      </c>
      <c r="AU22" s="1465">
        <f t="shared" si="10"/>
        <v>14</v>
      </c>
      <c r="AV22" s="477">
        <f t="shared" si="11"/>
        <v>2.6390573296152584</v>
      </c>
      <c r="AW22" s="477">
        <f t="shared" si="12"/>
        <v>164724.47208477044</v>
      </c>
      <c r="AX22" s="1481">
        <f t="shared" si="13"/>
        <v>-2751.5279152295552</v>
      </c>
      <c r="AZ22" s="1473" t="s">
        <v>413</v>
      </c>
      <c r="BA22" s="1473">
        <v>1</v>
      </c>
      <c r="BB22" s="1473">
        <v>1666623190.9175794</v>
      </c>
      <c r="BC22" s="1473">
        <v>1666623190.9175794</v>
      </c>
      <c r="BD22" s="1473">
        <v>645.99271695324433</v>
      </c>
      <c r="BE22" s="1473">
        <v>9.555732840611212E-14</v>
      </c>
      <c r="BF22"/>
      <c r="BG22"/>
      <c r="BH22"/>
    </row>
    <row r="23" spans="2:60" x14ac:dyDescent="0.2">
      <c r="B23" s="1101">
        <v>2021</v>
      </c>
      <c r="C23" s="1107">
        <v>1</v>
      </c>
      <c r="D23" s="1098">
        <v>1</v>
      </c>
      <c r="E23" s="1098">
        <v>1</v>
      </c>
      <c r="F23" s="1098">
        <v>1</v>
      </c>
      <c r="G23" s="1098">
        <v>1</v>
      </c>
      <c r="H23" s="1098">
        <v>1</v>
      </c>
      <c r="I23" s="1098">
        <v>1</v>
      </c>
      <c r="J23" s="1276">
        <f t="shared" si="0"/>
        <v>3.6787242882874376E-2</v>
      </c>
      <c r="K23" s="1277">
        <f t="shared" si="1"/>
        <v>0</v>
      </c>
      <c r="M23" s="477">
        <f t="shared" si="3"/>
        <v>0.13999999999999999</v>
      </c>
      <c r="N23" s="477">
        <f t="shared" si="2"/>
        <v>6.1277085437277685E-3</v>
      </c>
      <c r="P23" s="1470">
        <v>2007</v>
      </c>
      <c r="Q23" s="1507">
        <f>'Alt Fueling Stations by Fuel'!C24</f>
        <v>442</v>
      </c>
      <c r="R23" s="1507">
        <f>'Alt Fueling Stations by Fuel'!D24</f>
        <v>2371</v>
      </c>
      <c r="S23" s="1510"/>
      <c r="T23" s="1510">
        <f>'Alt Fueling Stations by Fuel'!F24</f>
        <v>35</v>
      </c>
      <c r="U23" s="1510">
        <f>'Alt Fueling Stations by Fuel'!G24</f>
        <v>32</v>
      </c>
      <c r="V23" s="1507">
        <f>'Alt Fueling Stations by Fuel'!H24</f>
        <v>742</v>
      </c>
      <c r="W23" s="1507">
        <f>'Alt Fueling Stations by Fuel'!I24</f>
        <v>721</v>
      </c>
      <c r="X23" s="1507">
        <f>'Alt Fueling Stations by Fuel'!J24</f>
        <v>1208</v>
      </c>
      <c r="Y23" s="1510">
        <v>164292</v>
      </c>
      <c r="Z23" s="1465"/>
      <c r="AB23" s="1465">
        <f t="shared" si="4"/>
        <v>16</v>
      </c>
      <c r="AC23" s="1482">
        <f t="shared" si="7"/>
        <v>2.7725887222397811</v>
      </c>
      <c r="AD23" s="477">
        <f t="shared" si="8"/>
        <v>12.009400611421757</v>
      </c>
      <c r="AE23" s="477">
        <f t="shared" si="5"/>
        <v>163235.10769709843</v>
      </c>
      <c r="AF23" s="1481">
        <f t="shared" si="9"/>
        <v>-1056.8923029015714</v>
      </c>
      <c r="AI23" s="1478" t="s">
        <v>414</v>
      </c>
      <c r="AJ23" s="1478">
        <v>15</v>
      </c>
      <c r="AK23" s="1478">
        <v>1.3710717929617975E-3</v>
      </c>
      <c r="AL23" s="1478">
        <v>9.1404786197453163E-5</v>
      </c>
      <c r="AM23" s="1478"/>
      <c r="AN23" s="1478"/>
      <c r="AT23" s="1481">
        <f t="shared" si="6"/>
        <v>164292</v>
      </c>
      <c r="AU23" s="1465">
        <f t="shared" si="10"/>
        <v>15</v>
      </c>
      <c r="AV23" s="477">
        <f t="shared" si="11"/>
        <v>2.7080502011022101</v>
      </c>
      <c r="AW23" s="477">
        <f t="shared" si="12"/>
        <v>163276.34834960036</v>
      </c>
      <c r="AX23" s="1481">
        <f t="shared" si="13"/>
        <v>-1015.651650399639</v>
      </c>
      <c r="AZ23" s="1473" t="s">
        <v>414</v>
      </c>
      <c r="BA23" s="1473">
        <v>15</v>
      </c>
      <c r="BB23" s="1473">
        <v>38699117.200067587</v>
      </c>
      <c r="BC23" s="1473">
        <v>2579941.1466711727</v>
      </c>
      <c r="BD23" s="1473"/>
      <c r="BE23" s="1473"/>
      <c r="BF23"/>
      <c r="BG23"/>
      <c r="BH23"/>
    </row>
    <row r="24" spans="2:60" ht="13.5" thickBot="1" x14ac:dyDescent="0.25">
      <c r="B24" s="1101">
        <v>2022</v>
      </c>
      <c r="C24" s="1107">
        <v>1</v>
      </c>
      <c r="D24" s="1098">
        <v>1</v>
      </c>
      <c r="E24" s="1098">
        <v>1</v>
      </c>
      <c r="F24" s="1098">
        <v>1</v>
      </c>
      <c r="G24" s="1098">
        <v>1</v>
      </c>
      <c r="H24" s="1098">
        <v>1</v>
      </c>
      <c r="I24" s="1098">
        <v>1</v>
      </c>
      <c r="J24" s="1276">
        <f t="shared" si="0"/>
        <v>6.0586937186524262E-2</v>
      </c>
      <c r="K24" s="1277">
        <f t="shared" si="1"/>
        <v>0</v>
      </c>
      <c r="M24" s="477">
        <f t="shared" si="3"/>
        <v>0.15</v>
      </c>
      <c r="N24" s="477">
        <f t="shared" si="2"/>
        <v>8.0672833944288314E-3</v>
      </c>
      <c r="P24" s="1471">
        <v>2008</v>
      </c>
      <c r="Q24" s="1508">
        <f>'Alt Fueling Stations by Fuel'!C25</f>
        <v>430</v>
      </c>
      <c r="R24" s="1508">
        <f>'Alt Fueling Stations by Fuel'!D25</f>
        <v>2175</v>
      </c>
      <c r="S24" s="1511"/>
      <c r="T24" s="1512">
        <f>'Alt Fueling Stations by Fuel'!F25</f>
        <v>38</v>
      </c>
      <c r="U24" s="1511">
        <f>'Alt Fueling Stations by Fuel'!G25</f>
        <v>46</v>
      </c>
      <c r="V24" s="1508">
        <f>'Alt Fueling Stations by Fuel'!H25</f>
        <v>645</v>
      </c>
      <c r="W24" s="1508">
        <f>'Alt Fueling Stations by Fuel'!I25</f>
        <v>778</v>
      </c>
      <c r="X24" s="1508">
        <f>'Alt Fueling Stations by Fuel'!J25</f>
        <v>1644</v>
      </c>
      <c r="Y24" s="1511">
        <v>161078</v>
      </c>
      <c r="Z24" s="1465"/>
      <c r="AB24" s="1465">
        <f t="shared" si="4"/>
        <v>17</v>
      </c>
      <c r="AC24" s="1482">
        <f t="shared" si="7"/>
        <v>2.8332133440562162</v>
      </c>
      <c r="AD24" s="477">
        <f t="shared" si="8"/>
        <v>11.989643998697597</v>
      </c>
      <c r="AE24" s="477">
        <f t="shared" si="5"/>
        <v>161901.78771698778</v>
      </c>
      <c r="AF24" s="1481">
        <f t="shared" si="9"/>
        <v>823.78771698777564</v>
      </c>
      <c r="AI24" s="1479" t="s">
        <v>20</v>
      </c>
      <c r="AJ24" s="1479">
        <v>16</v>
      </c>
      <c r="AK24" s="1479">
        <v>5.735775669247721E-2</v>
      </c>
      <c r="AL24" s="1479"/>
      <c r="AM24" s="1479"/>
      <c r="AN24" s="1479"/>
      <c r="AT24" s="1481">
        <f t="shared" si="6"/>
        <v>161078</v>
      </c>
      <c r="AU24" s="1465">
        <f t="shared" si="10"/>
        <v>16</v>
      </c>
      <c r="AV24" s="477">
        <f t="shared" si="11"/>
        <v>2.7725887222397811</v>
      </c>
      <c r="AW24" s="477">
        <f t="shared" si="12"/>
        <v>161921.71906286647</v>
      </c>
      <c r="AX24" s="1481">
        <f t="shared" si="13"/>
        <v>843.71906286646845</v>
      </c>
      <c r="AZ24" s="1474" t="s">
        <v>20</v>
      </c>
      <c r="BA24" s="1474">
        <v>16</v>
      </c>
      <c r="BB24" s="1474">
        <v>1705322308.1176469</v>
      </c>
      <c r="BC24" s="1474"/>
      <c r="BD24" s="1474"/>
      <c r="BE24" s="1474"/>
      <c r="BF24"/>
      <c r="BG24"/>
      <c r="BH24"/>
    </row>
    <row r="25" spans="2:60" ht="13.5" thickBot="1" x14ac:dyDescent="0.25">
      <c r="B25" s="1101">
        <v>2023</v>
      </c>
      <c r="C25" s="1107">
        <v>1</v>
      </c>
      <c r="D25" s="1098">
        <v>1</v>
      </c>
      <c r="E25" s="1098">
        <v>1</v>
      </c>
      <c r="F25" s="1098">
        <v>1</v>
      </c>
      <c r="G25" s="1098">
        <v>1</v>
      </c>
      <c r="H25" s="1098">
        <v>1</v>
      </c>
      <c r="I25" s="1098">
        <v>1</v>
      </c>
      <c r="J25" s="1276">
        <f t="shared" si="0"/>
        <v>9.3663799913688631E-2</v>
      </c>
      <c r="K25" s="1277">
        <f t="shared" si="1"/>
        <v>0</v>
      </c>
      <c r="M25" s="477">
        <f t="shared" si="3"/>
        <v>0.16</v>
      </c>
      <c r="N25" s="477">
        <f t="shared" si="2"/>
        <v>1.0430976069530742E-2</v>
      </c>
      <c r="P25" s="1470">
        <v>2009</v>
      </c>
      <c r="Q25" s="1507">
        <f>'Alt Fueling Stations by Fuel'!C26</f>
        <v>465</v>
      </c>
      <c r="R25" s="1507">
        <f>'Alt Fueling Stations by Fuel'!D26</f>
        <v>2468</v>
      </c>
      <c r="S25" s="1510"/>
      <c r="T25" s="1513">
        <f>'Alt Fueling Stations by Fuel'!F26</f>
        <v>36</v>
      </c>
      <c r="U25" s="1510">
        <f>'Alt Fueling Stations by Fuel'!G26</f>
        <v>63</v>
      </c>
      <c r="V25" s="1507">
        <f>'Alt Fueling Stations by Fuel'!H26</f>
        <v>679</v>
      </c>
      <c r="W25" s="1507">
        <f>'Alt Fueling Stations by Fuel'!I26</f>
        <v>772</v>
      </c>
      <c r="X25" s="1507">
        <f>'Alt Fueling Stations by Fuel'!J26</f>
        <v>1928</v>
      </c>
      <c r="Y25" s="1510">
        <v>162350</v>
      </c>
      <c r="Z25" s="1465"/>
      <c r="AB25" s="1465">
        <f t="shared" si="4"/>
        <v>18</v>
      </c>
      <c r="AC25" s="1482">
        <f t="shared" si="7"/>
        <v>2.8903717578961645</v>
      </c>
      <c r="AD25" s="477">
        <f t="shared" si="8"/>
        <v>11.997509777530992</v>
      </c>
      <c r="AE25" s="477">
        <f t="shared" si="5"/>
        <v>160654.67623255038</v>
      </c>
      <c r="AF25" s="1481">
        <f t="shared" si="9"/>
        <v>-1695.3237674496195</v>
      </c>
      <c r="AT25" s="1481">
        <f t="shared" si="6"/>
        <v>162350</v>
      </c>
      <c r="AU25" s="1465">
        <f t="shared" si="10"/>
        <v>17</v>
      </c>
      <c r="AV25" s="477">
        <f t="shared" si="11"/>
        <v>2.8332133440562162</v>
      </c>
      <c r="AW25" s="477">
        <f t="shared" si="12"/>
        <v>160649.24044448201</v>
      </c>
      <c r="AX25" s="1481">
        <f t="shared" si="13"/>
        <v>-1700.7595555179869</v>
      </c>
      <c r="AZ25"/>
      <c r="BA25"/>
      <c r="BB25"/>
      <c r="BC25"/>
      <c r="BD25"/>
      <c r="BE25"/>
      <c r="BF25"/>
      <c r="BG25"/>
      <c r="BH25"/>
    </row>
    <row r="26" spans="2:60" x14ac:dyDescent="0.2">
      <c r="B26" s="1101">
        <v>2024</v>
      </c>
      <c r="C26" s="1107">
        <v>1</v>
      </c>
      <c r="D26" s="1098">
        <v>1</v>
      </c>
      <c r="E26" s="1098">
        <v>1</v>
      </c>
      <c r="F26" s="1098">
        <v>1</v>
      </c>
      <c r="G26" s="1098">
        <v>1</v>
      </c>
      <c r="H26" s="1098">
        <v>1</v>
      </c>
      <c r="I26" s="1098">
        <v>1</v>
      </c>
      <c r="J26" s="1276">
        <f t="shared" si="0"/>
        <v>0.13736477520959006</v>
      </c>
      <c r="K26" s="1277">
        <f t="shared" si="1"/>
        <v>0</v>
      </c>
      <c r="M26" s="477">
        <f t="shared" si="3"/>
        <v>0.17</v>
      </c>
      <c r="N26" s="477">
        <f t="shared" si="2"/>
        <v>1.3274466716304363E-2</v>
      </c>
      <c r="P26" s="1471">
        <v>2010</v>
      </c>
      <c r="Q26" s="1508">
        <f>'Alt Fueling Stations by Fuel'!C27</f>
        <v>541</v>
      </c>
      <c r="R26" s="1508">
        <f>'Alt Fueling Stations by Fuel'!D27</f>
        <v>2647</v>
      </c>
      <c r="S26" s="1511"/>
      <c r="T26" s="1512">
        <f>'Alt Fueling Stations by Fuel'!F27</f>
        <v>39</v>
      </c>
      <c r="U26" s="1511">
        <f>'Alt Fueling Stations by Fuel'!G27</f>
        <v>58</v>
      </c>
      <c r="V26" s="1508">
        <f>'Alt Fueling Stations by Fuel'!H27</f>
        <v>644</v>
      </c>
      <c r="W26" s="1508">
        <f>'Alt Fueling Stations by Fuel'!I27</f>
        <v>841</v>
      </c>
      <c r="X26" s="1508">
        <f>'Alt Fueling Stations by Fuel'!J27</f>
        <v>2142</v>
      </c>
      <c r="Y26" s="1511">
        <v>159006</v>
      </c>
      <c r="Z26" s="1465"/>
      <c r="AB26" s="1465">
        <f t="shared" si="4"/>
        <v>19</v>
      </c>
      <c r="AC26" s="1482">
        <f t="shared" si="7"/>
        <v>2.9444389791664403</v>
      </c>
      <c r="AD26" s="477">
        <f t="shared" si="8"/>
        <v>11.976697216339446</v>
      </c>
      <c r="AE26" s="477">
        <f t="shared" si="5"/>
        <v>159483.85232243082</v>
      </c>
      <c r="AF26" s="1481">
        <f t="shared" si="9"/>
        <v>477.85232243081555</v>
      </c>
      <c r="AI26" s="1480"/>
      <c r="AJ26" s="1480" t="s">
        <v>421</v>
      </c>
      <c r="AK26" s="1480" t="s">
        <v>410</v>
      </c>
      <c r="AL26" s="1480" t="s">
        <v>422</v>
      </c>
      <c r="AM26" s="1480" t="s">
        <v>423</v>
      </c>
      <c r="AN26" s="1480" t="s">
        <v>424</v>
      </c>
      <c r="AO26" s="1480" t="s">
        <v>425</v>
      </c>
      <c r="AP26" s="1480" t="s">
        <v>426</v>
      </c>
      <c r="AQ26" s="1480" t="s">
        <v>427</v>
      </c>
      <c r="AT26" s="1481">
        <f t="shared" si="6"/>
        <v>159006</v>
      </c>
      <c r="AU26" s="1465">
        <f t="shared" si="10"/>
        <v>18</v>
      </c>
      <c r="AV26" s="477">
        <f t="shared" si="11"/>
        <v>2.8903717578961645</v>
      </c>
      <c r="AW26" s="477">
        <f t="shared" si="12"/>
        <v>159449.5156908608</v>
      </c>
      <c r="AX26" s="1481">
        <f t="shared" si="13"/>
        <v>443.51569086080417</v>
      </c>
      <c r="AZ26" s="1475"/>
      <c r="BA26" s="1475" t="s">
        <v>421</v>
      </c>
      <c r="BB26" s="1475" t="s">
        <v>410</v>
      </c>
      <c r="BC26" s="1475" t="s">
        <v>422</v>
      </c>
      <c r="BD26" s="1475" t="s">
        <v>423</v>
      </c>
      <c r="BE26" s="1475" t="s">
        <v>424</v>
      </c>
      <c r="BF26" s="1475" t="s">
        <v>425</v>
      </c>
      <c r="BG26" s="1475" t="s">
        <v>426</v>
      </c>
      <c r="BH26" s="1475" t="s">
        <v>427</v>
      </c>
    </row>
    <row r="27" spans="2:60" x14ac:dyDescent="0.2">
      <c r="B27" s="1101">
        <v>2025</v>
      </c>
      <c r="C27" s="1107">
        <v>1</v>
      </c>
      <c r="D27" s="1098">
        <v>1</v>
      </c>
      <c r="E27" s="1098">
        <v>1</v>
      </c>
      <c r="F27" s="1098">
        <v>1</v>
      </c>
      <c r="G27" s="1098">
        <v>1</v>
      </c>
      <c r="H27" s="1098">
        <v>1</v>
      </c>
      <c r="I27" s="1098">
        <v>1</v>
      </c>
      <c r="J27" s="1276">
        <f t="shared" si="0"/>
        <v>0.17283191670766812</v>
      </c>
      <c r="K27" s="1277">
        <f t="shared" si="1"/>
        <v>1.5999998720000074E-7</v>
      </c>
      <c r="M27" s="477">
        <f t="shared" si="3"/>
        <v>0.18000000000000002</v>
      </c>
      <c r="N27" s="477">
        <f t="shared" si="2"/>
        <v>1.665589092984994E-2</v>
      </c>
      <c r="P27" s="1470">
        <v>2011</v>
      </c>
      <c r="Q27" s="1507">
        <f>'Alt Fueling Stations by Fuel'!C28/2</f>
        <v>1697</v>
      </c>
      <c r="R27" s="1507">
        <f>'Alt Fueling Stations by Fuel'!D28</f>
        <v>2597</v>
      </c>
      <c r="S27" s="1510"/>
      <c r="T27" s="1513">
        <f>'Alt Fueling Stations by Fuel'!F28</f>
        <v>45</v>
      </c>
      <c r="U27" s="1510">
        <f>'Alt Fueling Stations by Fuel'!G28</f>
        <v>56</v>
      </c>
      <c r="V27" s="1507">
        <f>'Alt Fueling Stations by Fuel'!H28</f>
        <v>627</v>
      </c>
      <c r="W27" s="1507">
        <f>'Alt Fueling Stations by Fuel'!I28</f>
        <v>910</v>
      </c>
      <c r="X27" s="1507">
        <f>'Alt Fueling Stations by Fuel'!J28</f>
        <v>2442</v>
      </c>
      <c r="Y27" s="1510">
        <v>157393</v>
      </c>
      <c r="Z27" s="1465"/>
      <c r="AB27" s="1465">
        <f t="shared" si="4"/>
        <v>20</v>
      </c>
      <c r="AC27" s="1482">
        <f t="shared" si="7"/>
        <v>2.9957322735539909</v>
      </c>
      <c r="AD27" s="477">
        <f t="shared" si="8"/>
        <v>11.966501141295433</v>
      </c>
      <c r="AE27" s="477">
        <f t="shared" si="5"/>
        <v>158380.98602629284</v>
      </c>
      <c r="AF27" s="1481">
        <f t="shared" si="9"/>
        <v>987.98602629284142</v>
      </c>
      <c r="AH27" s="477">
        <f>EXP(AJ27)</f>
        <v>237527.3617473334</v>
      </c>
      <c r="AI27" s="1478" t="s">
        <v>415</v>
      </c>
      <c r="AJ27" s="1478">
        <v>12.378038103178168</v>
      </c>
      <c r="AK27" s="1478">
        <v>1.376664788079509E-2</v>
      </c>
      <c r="AL27" s="1478">
        <v>899.13232403117718</v>
      </c>
      <c r="AM27" s="1478">
        <v>6.605944539322583E-37</v>
      </c>
      <c r="AN27" s="1478">
        <v>12.348695187808767</v>
      </c>
      <c r="AO27" s="1478">
        <v>12.40738101854757</v>
      </c>
      <c r="AP27" s="1478">
        <v>12.348695187808767</v>
      </c>
      <c r="AQ27" s="1478">
        <v>12.40738101854757</v>
      </c>
      <c r="AT27" s="1481">
        <f t="shared" si="6"/>
        <v>157393</v>
      </c>
      <c r="AU27" s="1465">
        <f t="shared" si="10"/>
        <v>19</v>
      </c>
      <c r="AV27" s="477">
        <f t="shared" si="11"/>
        <v>2.9444389791664403</v>
      </c>
      <c r="AW27" s="477">
        <f t="shared" si="12"/>
        <v>158314.67342775848</v>
      </c>
      <c r="AX27" s="1481">
        <f t="shared" si="13"/>
        <v>921.67342775847646</v>
      </c>
      <c r="AZ27" s="1473" t="s">
        <v>415</v>
      </c>
      <c r="BA27" s="1473">
        <v>220116.88401262069</v>
      </c>
      <c r="BB27" s="1473">
        <v>2007.6928901595054</v>
      </c>
      <c r="BC27" s="1473">
        <v>109.63673034431727</v>
      </c>
      <c r="BD27" s="1473">
        <v>3.3433484498200016E-23</v>
      </c>
      <c r="BE27" s="1473">
        <v>215837.58791426662</v>
      </c>
      <c r="BF27" s="1473">
        <v>224396.18011097476</v>
      </c>
      <c r="BG27" s="1473">
        <v>215837.58791426662</v>
      </c>
      <c r="BH27" s="1473">
        <v>224396.18011097476</v>
      </c>
    </row>
    <row r="28" spans="2:60" ht="13.5" thickBot="1" x14ac:dyDescent="0.25">
      <c r="B28" s="1101">
        <v>2026</v>
      </c>
      <c r="C28" s="1107">
        <v>1</v>
      </c>
      <c r="D28" s="1098">
        <v>1</v>
      </c>
      <c r="E28" s="1098">
        <v>1</v>
      </c>
      <c r="F28" s="1098">
        <v>1</v>
      </c>
      <c r="G28" s="1098">
        <v>1</v>
      </c>
      <c r="H28" s="1098">
        <v>1</v>
      </c>
      <c r="I28" s="1098">
        <v>1</v>
      </c>
      <c r="J28" s="1276">
        <f t="shared" si="0"/>
        <v>0.23565694062183914</v>
      </c>
      <c r="K28" s="1277">
        <f t="shared" si="1"/>
        <v>2.559996723202798E-6</v>
      </c>
      <c r="M28" s="477">
        <f t="shared" si="3"/>
        <v>0.19000000000000003</v>
      </c>
      <c r="N28" s="477">
        <f t="shared" si="2"/>
        <v>2.063547350575257E-2</v>
      </c>
      <c r="P28" s="1471">
        <v>2012</v>
      </c>
      <c r="Q28" s="1508">
        <f>'Alt Fueling Stations by Fuel'!C29/(2+($P28-2011)*(3.26-2)/(2020-2011))</f>
        <v>6257.9439252336442</v>
      </c>
      <c r="R28" s="1508">
        <f>'Alt Fueling Stations by Fuel'!D29</f>
        <v>2654</v>
      </c>
      <c r="S28" s="1511"/>
      <c r="T28" s="1512">
        <f>'Alt Fueling Stations by Fuel'!F29</f>
        <v>59</v>
      </c>
      <c r="U28" s="1511">
        <f>'Alt Fueling Stations by Fuel'!G29</f>
        <v>58</v>
      </c>
      <c r="V28" s="1508">
        <f>'Alt Fueling Stations by Fuel'!H29</f>
        <v>675</v>
      </c>
      <c r="W28" s="1508">
        <f>'Alt Fueling Stations by Fuel'!I29</f>
        <v>1107</v>
      </c>
      <c r="X28" s="1508">
        <f>'Alt Fueling Stations by Fuel'!J29</f>
        <v>2553</v>
      </c>
      <c r="Y28" s="1511">
        <v>156065</v>
      </c>
      <c r="Z28" s="1465">
        <v>114033</v>
      </c>
      <c r="AA28" s="477">
        <f>Y28/Z28</f>
        <v>1.3685950558171758</v>
      </c>
      <c r="AB28" s="1465">
        <f t="shared" si="4"/>
        <v>21</v>
      </c>
      <c r="AC28" s="1482">
        <f t="shared" si="7"/>
        <v>3.044522437723423</v>
      </c>
      <c r="AD28" s="477">
        <f t="shared" si="8"/>
        <v>11.95802786611689</v>
      </c>
      <c r="AE28" s="477">
        <f t="shared" si="5"/>
        <v>157339.01815658301</v>
      </c>
      <c r="AF28" s="1481">
        <f t="shared" si="9"/>
        <v>1274.0181565830135</v>
      </c>
      <c r="AH28" s="477">
        <f>EXP(AJ28)</f>
        <v>0.8734664281462281</v>
      </c>
      <c r="AI28" s="1479" t="s">
        <v>430</v>
      </c>
      <c r="AJ28" s="1479">
        <v>-0.13528558386587819</v>
      </c>
      <c r="AK28" s="1479">
        <v>5.4663018842493923E-3</v>
      </c>
      <c r="AL28" s="1479">
        <v>-24.749014366676345</v>
      </c>
      <c r="AM28" s="1479">
        <v>1.4118932263135043E-13</v>
      </c>
      <c r="AN28" s="1479">
        <v>-0.14693673053295409</v>
      </c>
      <c r="AO28" s="1479">
        <v>-0.12363443719880228</v>
      </c>
      <c r="AP28" s="1479">
        <v>-0.14693673053295409</v>
      </c>
      <c r="AQ28" s="1479">
        <v>-0.12363443719880228</v>
      </c>
      <c r="AT28" s="1481">
        <f t="shared" si="6"/>
        <v>156065</v>
      </c>
      <c r="AU28" s="1465">
        <f t="shared" si="10"/>
        <v>20</v>
      </c>
      <c r="AV28" s="477">
        <f t="shared" si="11"/>
        <v>2.9957322735539909</v>
      </c>
      <c r="AW28" s="477">
        <f t="shared" si="12"/>
        <v>157238.05441688391</v>
      </c>
      <c r="AX28" s="1481">
        <f t="shared" si="13"/>
        <v>1173.0544168839115</v>
      </c>
      <c r="AZ28" s="1474" t="s">
        <v>430</v>
      </c>
      <c r="BA28" s="1474">
        <v>-20989.468969181416</v>
      </c>
      <c r="BB28" s="1474">
        <v>825.82426647891077</v>
      </c>
      <c r="BC28" s="1474">
        <v>-25.416386780052832</v>
      </c>
      <c r="BD28" s="1474">
        <v>9.555732840611212E-14</v>
      </c>
      <c r="BE28" s="1474">
        <v>-22749.671726680124</v>
      </c>
      <c r="BF28" s="1474">
        <v>-19229.266211682709</v>
      </c>
      <c r="BG28" s="1474">
        <v>-22749.671726680124</v>
      </c>
      <c r="BH28" s="1474">
        <v>-19229.266211682709</v>
      </c>
    </row>
    <row r="29" spans="2:60" x14ac:dyDescent="0.2">
      <c r="B29" s="1101">
        <v>2027</v>
      </c>
      <c r="C29" s="1107">
        <v>1</v>
      </c>
      <c r="D29" s="1098">
        <v>1</v>
      </c>
      <c r="E29" s="1098">
        <v>1</v>
      </c>
      <c r="F29" s="1098">
        <v>1</v>
      </c>
      <c r="G29" s="1098">
        <v>1</v>
      </c>
      <c r="H29" s="1098">
        <v>1</v>
      </c>
      <c r="I29" s="1098">
        <v>1</v>
      </c>
      <c r="J29" s="1276">
        <f t="shared" si="0"/>
        <v>0.30936965849496828</v>
      </c>
      <c r="K29" s="1277">
        <f t="shared" si="1"/>
        <v>1.2959916019562793E-5</v>
      </c>
      <c r="M29" s="477">
        <f t="shared" si="3"/>
        <v>0.20000000000000004</v>
      </c>
      <c r="N29" s="477">
        <f t="shared" si="2"/>
        <v>2.5275098398206075E-2</v>
      </c>
      <c r="P29" s="1470">
        <v>2013</v>
      </c>
      <c r="Q29" s="1507">
        <f>'Alt Fueling Stations by Fuel'!C30/(2+($P29-2011)*(3.26-2)/(2020-2011))</f>
        <v>8513.1578947368434</v>
      </c>
      <c r="R29" s="1507">
        <f>'Alt Fueling Stations by Fuel'!D30</f>
        <v>2956</v>
      </c>
      <c r="S29" s="1510"/>
      <c r="T29" s="1513">
        <f>'Alt Fueling Stations by Fuel'!F30</f>
        <v>81</v>
      </c>
      <c r="U29" s="1510">
        <f>'Alt Fueling Stations by Fuel'!G30</f>
        <v>53</v>
      </c>
      <c r="V29" s="1507">
        <f>'Alt Fueling Stations by Fuel'!H30</f>
        <v>757</v>
      </c>
      <c r="W29" s="1507">
        <f>'Alt Fueling Stations by Fuel'!I30</f>
        <v>1263</v>
      </c>
      <c r="X29" s="1507">
        <f>'Alt Fueling Stations by Fuel'!J30</f>
        <v>2639</v>
      </c>
      <c r="Y29" s="1514">
        <f>$AH$27*(FuelAvail!$P29-$AB$10)^($AJ$28)</f>
        <v>156351.91643049743</v>
      </c>
      <c r="Z29" s="1465"/>
      <c r="AB29" s="1465">
        <f t="shared" si="4"/>
        <v>22</v>
      </c>
      <c r="AC29" s="1482"/>
      <c r="AE29" s="477">
        <f t="shared" si="5"/>
        <v>156351.91643049743</v>
      </c>
      <c r="AF29" s="1481"/>
      <c r="AU29" s="1465">
        <f t="shared" si="10"/>
        <v>21</v>
      </c>
      <c r="AW29" s="477">
        <f t="shared" si="12"/>
        <v>156213.97478004836</v>
      </c>
      <c r="AZ29"/>
      <c r="BA29"/>
      <c r="BB29"/>
      <c r="BC29"/>
      <c r="BD29"/>
      <c r="BE29"/>
      <c r="BF29"/>
      <c r="BG29"/>
      <c r="BH29"/>
    </row>
    <row r="30" spans="2:60" x14ac:dyDescent="0.2">
      <c r="B30" s="1101">
        <v>2028</v>
      </c>
      <c r="C30" s="1107">
        <v>1</v>
      </c>
      <c r="D30" s="1098">
        <v>1</v>
      </c>
      <c r="E30" s="1098">
        <v>1</v>
      </c>
      <c r="F30" s="1098">
        <v>1</v>
      </c>
      <c r="G30" s="1098">
        <v>1</v>
      </c>
      <c r="H30" s="1098">
        <v>1</v>
      </c>
      <c r="I30" s="1098">
        <v>1</v>
      </c>
      <c r="J30" s="1276">
        <f t="shared" si="0"/>
        <v>0.39217687976031146</v>
      </c>
      <c r="K30" s="1277">
        <f t="shared" si="1"/>
        <v>4.0959161150653103E-5</v>
      </c>
      <c r="M30" s="477">
        <f t="shared" si="3"/>
        <v>0.21000000000000005</v>
      </c>
      <c r="N30" s="477">
        <f t="shared" si="2"/>
        <v>3.0637810156220375E-2</v>
      </c>
      <c r="P30" s="1471">
        <v>2014</v>
      </c>
      <c r="Q30" s="1508">
        <f>'Alt Fueling Stations by Fuel'!C31/(2+($P30-2011)*(3.26-2)/(2020-2011))</f>
        <v>10579.338842975207</v>
      </c>
      <c r="R30" s="1508">
        <f>'Alt Fueling Stations by Fuel'!D31</f>
        <v>2931</v>
      </c>
      <c r="S30" s="1511"/>
      <c r="T30" s="1512">
        <f>'Alt Fueling Stations by Fuel'!F31</f>
        <v>103</v>
      </c>
      <c r="U30" s="1511">
        <f>'Alt Fueling Stations by Fuel'!G31</f>
        <v>51</v>
      </c>
      <c r="V30" s="1508">
        <f>'Alt Fueling Stations by Fuel'!H31</f>
        <v>783</v>
      </c>
      <c r="W30" s="1508">
        <f>'Alt Fueling Stations by Fuel'!I31</f>
        <v>1495</v>
      </c>
      <c r="X30" s="1508">
        <f>'Alt Fueling Stations by Fuel'!J31</f>
        <v>2840</v>
      </c>
      <c r="Y30" s="1515">
        <f>$AH$27*(FuelAvail!$P30-$AB$10)^($AJ$28)</f>
        <v>155414.48714908643</v>
      </c>
      <c r="Z30" s="1465"/>
      <c r="AB30" s="1465">
        <f t="shared" si="4"/>
        <v>23</v>
      </c>
      <c r="AC30" s="1482"/>
      <c r="AE30" s="477">
        <f t="shared" si="5"/>
        <v>155414.48714908643</v>
      </c>
      <c r="AF30" s="1481"/>
      <c r="AU30" s="1465">
        <f t="shared" si="10"/>
        <v>22</v>
      </c>
      <c r="AW30" s="477">
        <f t="shared" si="12"/>
        <v>155237.54435543393</v>
      </c>
      <c r="AZ30"/>
      <c r="BA30"/>
      <c r="BB30"/>
      <c r="BC30"/>
      <c r="BD30"/>
      <c r="BE30"/>
      <c r="BF30"/>
      <c r="BG30"/>
      <c r="BH30"/>
    </row>
    <row r="31" spans="2:60" x14ac:dyDescent="0.2">
      <c r="B31" s="1101">
        <v>2029</v>
      </c>
      <c r="C31" s="1107">
        <v>1</v>
      </c>
      <c r="D31" s="1098">
        <v>1</v>
      </c>
      <c r="E31" s="1098">
        <v>1</v>
      </c>
      <c r="F31" s="1098">
        <v>1</v>
      </c>
      <c r="G31" s="1098">
        <v>1</v>
      </c>
      <c r="H31" s="1098">
        <v>1</v>
      </c>
      <c r="I31" s="1098">
        <v>1</v>
      </c>
      <c r="J31" s="1276">
        <f t="shared" si="0"/>
        <v>0.48112900953454829</v>
      </c>
      <c r="K31" s="1277">
        <f t="shared" si="1"/>
        <v>2.0733850240113979E-4</v>
      </c>
      <c r="M31" s="477">
        <f t="shared" si="3"/>
        <v>0.22000000000000006</v>
      </c>
      <c r="N31" s="477">
        <f t="shared" si="2"/>
        <v>3.6787242882874376E-2</v>
      </c>
      <c r="P31" s="1470">
        <v>2015</v>
      </c>
      <c r="Q31" s="1507">
        <f>'Alt Fueling Stations by Fuel'!C32/(2+($P31-2011)*(3.26-2)/(2020-2011))</f>
        <v>12087.890625</v>
      </c>
      <c r="R31" s="1507">
        <f>'Alt Fueling Stations by Fuel'!D32</f>
        <v>3594</v>
      </c>
      <c r="S31" s="1510"/>
      <c r="T31" s="1507">
        <f>'Alt Fueling Stations by Fuel'!F32</f>
        <v>111</v>
      </c>
      <c r="U31" s="1507">
        <f>'Alt Fueling Stations by Fuel'!G32</f>
        <v>39</v>
      </c>
      <c r="V31" s="1507">
        <f>'Alt Fueling Stations by Fuel'!H32</f>
        <v>721</v>
      </c>
      <c r="W31" s="1507">
        <f>'Alt Fueling Stations by Fuel'!I32</f>
        <v>1563</v>
      </c>
      <c r="X31" s="1507">
        <f>'Alt Fueling Stations by Fuel'!J32</f>
        <v>2990</v>
      </c>
      <c r="Y31" s="1514">
        <f>$AH$27*(FuelAvail!$P31-$AB$10)^($AJ$28)</f>
        <v>154522.22794756008</v>
      </c>
      <c r="Z31" s="1465"/>
      <c r="AB31" s="1465">
        <f t="shared" si="4"/>
        <v>24</v>
      </c>
      <c r="AC31" s="1482"/>
      <c r="AE31" s="477">
        <f t="shared" si="5"/>
        <v>154522.22794756008</v>
      </c>
      <c r="AF31" s="1481"/>
      <c r="AU31" s="1465">
        <f t="shared" si="10"/>
        <v>23</v>
      </c>
      <c r="AW31" s="477">
        <f t="shared" si="12"/>
        <v>154304.52546432801</v>
      </c>
      <c r="AZ31"/>
      <c r="BA31"/>
      <c r="BB31"/>
      <c r="BC31"/>
      <c r="BD31"/>
      <c r="BE31"/>
      <c r="BF31"/>
      <c r="BG31"/>
      <c r="BH31"/>
    </row>
    <row r="32" spans="2:60" x14ac:dyDescent="0.2">
      <c r="B32" s="1101">
        <v>2030</v>
      </c>
      <c r="C32" s="1107">
        <v>1</v>
      </c>
      <c r="D32" s="1098">
        <v>1</v>
      </c>
      <c r="E32" s="1098">
        <v>1</v>
      </c>
      <c r="F32" s="1098">
        <v>1</v>
      </c>
      <c r="G32" s="1098">
        <v>1</v>
      </c>
      <c r="H32" s="1098">
        <v>1</v>
      </c>
      <c r="I32" s="1098">
        <v>1</v>
      </c>
      <c r="J32" s="1276">
        <f t="shared" si="0"/>
        <v>0.57230568676862981</v>
      </c>
      <c r="K32" s="1277">
        <f t="shared" si="1"/>
        <v>3.8408621999527803E-4</v>
      </c>
      <c r="M32" s="477">
        <f t="shared" si="3"/>
        <v>0.23000000000000007</v>
      </c>
      <c r="N32" s="477">
        <f t="shared" si="2"/>
        <v>4.3786973799347463E-2</v>
      </c>
      <c r="P32" s="1471">
        <v>2016</v>
      </c>
      <c r="Q32" s="1508">
        <f>'Alt Fueling Stations by Fuel'!C33/(2+($P32-2011)*(3.26-2)/(2020-2011))</f>
        <v>15566.296296296297</v>
      </c>
      <c r="R32" s="1508">
        <f>'Alt Fueling Stations by Fuel'!D33</f>
        <v>3665</v>
      </c>
      <c r="S32" s="1511"/>
      <c r="T32" s="1508">
        <f>'Alt Fueling Stations by Fuel'!F33</f>
        <v>140</v>
      </c>
      <c r="U32" s="1508">
        <f>'Alt Fueling Stations by Fuel'!G33</f>
        <v>54</v>
      </c>
      <c r="V32" s="1508">
        <f>'Alt Fueling Stations by Fuel'!H33</f>
        <v>697</v>
      </c>
      <c r="W32" s="1508">
        <f>'Alt Fueling Stations by Fuel'!I33</f>
        <v>1722</v>
      </c>
      <c r="X32" s="1508">
        <f>'Alt Fueling Stations by Fuel'!J33</f>
        <v>3091</v>
      </c>
      <c r="Y32" s="1515">
        <f>$AH$27*(FuelAvail!$P32-$AB$10)^($AJ$28)</f>
        <v>153671.21134999965</v>
      </c>
      <c r="Z32" s="1465"/>
      <c r="AB32" s="1465">
        <f t="shared" si="4"/>
        <v>25</v>
      </c>
      <c r="AC32" s="1482"/>
      <c r="AE32" s="477">
        <f t="shared" si="5"/>
        <v>153671.21134999965</v>
      </c>
      <c r="AF32" s="1481"/>
      <c r="AU32" s="1465">
        <f t="shared" si="10"/>
        <v>24</v>
      </c>
      <c r="AW32" s="477">
        <f t="shared" si="12"/>
        <v>153411.22175814433</v>
      </c>
    </row>
    <row r="33" spans="2:49" x14ac:dyDescent="0.2">
      <c r="B33" s="1101">
        <v>2031</v>
      </c>
      <c r="C33" s="1107">
        <v>1</v>
      </c>
      <c r="D33" s="1098">
        <v>1</v>
      </c>
      <c r="E33" s="1098">
        <v>1</v>
      </c>
      <c r="F33" s="1098">
        <v>1</v>
      </c>
      <c r="G33" s="1098">
        <v>1</v>
      </c>
      <c r="H33" s="1098">
        <v>1</v>
      </c>
      <c r="I33" s="1098">
        <v>1</v>
      </c>
      <c r="J33" s="1276">
        <f t="shared" si="0"/>
        <v>0.66122942140045338</v>
      </c>
      <c r="K33" s="1277">
        <f t="shared" si="1"/>
        <v>1.0492091947258413E-3</v>
      </c>
      <c r="M33" s="477">
        <f t="shared" si="3"/>
        <v>0.24000000000000007</v>
      </c>
      <c r="N33" s="477">
        <f t="shared" si="2"/>
        <v>5.1699799821003561E-2</v>
      </c>
      <c r="P33" s="1470">
        <v>2017</v>
      </c>
      <c r="Q33" s="1516">
        <f>'Alt Fueling Stations by Fuel'!C34/(2+($P33-2011)*(3.26-2)/(2020-2011))</f>
        <v>17826.408450704228</v>
      </c>
      <c r="R33" s="1516">
        <f>'Alt Fueling Stations by Fuel'!D34</f>
        <v>3514</v>
      </c>
      <c r="S33" s="1516"/>
      <c r="T33" s="1516">
        <f>'Alt Fueling Stations by Fuel'!F34</f>
        <v>131</v>
      </c>
      <c r="U33" s="1516">
        <f>'Alt Fueling Stations by Fuel'!G34</f>
        <v>64</v>
      </c>
      <c r="V33" s="1516">
        <f>'Alt Fueling Stations by Fuel'!H34</f>
        <v>702</v>
      </c>
      <c r="W33" s="1516">
        <f>'Alt Fueling Stations by Fuel'!I34</f>
        <v>1693</v>
      </c>
      <c r="X33" s="1516">
        <f>'Alt Fueling Stations by Fuel'!J34</f>
        <v>3322</v>
      </c>
      <c r="Y33" s="1514">
        <f>$AH$27*(FuelAvail!$P33-$AB$10)^($AJ$28)</f>
        <v>152857.99172990039</v>
      </c>
      <c r="Z33" s="1465"/>
      <c r="AB33" s="1465">
        <f t="shared" si="4"/>
        <v>26</v>
      </c>
      <c r="AE33" s="477">
        <f t="shared" si="5"/>
        <v>152857.99172990039</v>
      </c>
      <c r="AU33" s="1465">
        <f t="shared" si="10"/>
        <v>25</v>
      </c>
      <c r="AW33" s="477">
        <f t="shared" si="12"/>
        <v>152554.38977090135</v>
      </c>
    </row>
    <row r="34" spans="2:49" x14ac:dyDescent="0.2">
      <c r="B34" s="1101">
        <v>2032</v>
      </c>
      <c r="C34" s="1107">
        <v>1</v>
      </c>
      <c r="D34" s="1098">
        <v>1</v>
      </c>
      <c r="E34" s="1098">
        <v>1</v>
      </c>
      <c r="F34" s="1098">
        <v>1</v>
      </c>
      <c r="G34" s="1098">
        <v>1</v>
      </c>
      <c r="H34" s="1098">
        <v>1</v>
      </c>
      <c r="I34" s="1098">
        <v>1</v>
      </c>
      <c r="J34" s="1276">
        <f t="shared" si="0"/>
        <v>0.74346468922347331</v>
      </c>
      <c r="K34" s="1277">
        <f t="shared" si="1"/>
        <v>2.3398183475694901E-3</v>
      </c>
      <c r="M34" s="477">
        <f t="shared" si="3"/>
        <v>0.25000000000000006</v>
      </c>
      <c r="N34" s="477">
        <f t="shared" si="2"/>
        <v>6.0586937186524262E-2</v>
      </c>
      <c r="P34" s="1471">
        <v>2018</v>
      </c>
      <c r="Q34" s="1517">
        <f>'Alt Fueling Stations by Fuel'!C35/(2+($P34-2011)*(3.26-2)/(2020-2011))</f>
        <v>20492.28187919463</v>
      </c>
      <c r="R34" s="1517">
        <f>'Alt Fueling Stations by Fuel'!D35</f>
        <v>3341</v>
      </c>
      <c r="S34" s="1517"/>
      <c r="T34" s="1517">
        <f>'Alt Fueling Stations by Fuel'!F35</f>
        <v>137</v>
      </c>
      <c r="U34" s="1517">
        <f>'Alt Fueling Stations by Fuel'!G35</f>
        <v>60</v>
      </c>
      <c r="V34" s="1517">
        <f>'Alt Fueling Stations by Fuel'!H35</f>
        <v>681</v>
      </c>
      <c r="W34" s="1517">
        <f>'Alt Fueling Stations by Fuel'!I35</f>
        <v>1659</v>
      </c>
      <c r="X34" s="1517">
        <f>'Alt Fueling Stations by Fuel'!J35</f>
        <v>3617</v>
      </c>
      <c r="Y34" s="1515">
        <f>$AH$27*(FuelAvail!$P34-$AB$10)^($AJ$28)</f>
        <v>152079.53026693707</v>
      </c>
      <c r="Z34" s="1465">
        <v>112662</v>
      </c>
      <c r="AA34" s="477">
        <f>Y34/Z34</f>
        <v>1.3498742279290006</v>
      </c>
      <c r="AB34" s="1465">
        <f t="shared" si="4"/>
        <v>27</v>
      </c>
      <c r="AE34" s="477">
        <f t="shared" si="5"/>
        <v>152079.53026693707</v>
      </c>
      <c r="AU34" s="1465">
        <f t="shared" si="10"/>
        <v>26</v>
      </c>
      <c r="AW34" s="477">
        <f t="shared" si="12"/>
        <v>151731.16782922141</v>
      </c>
    </row>
    <row r="35" spans="2:49" x14ac:dyDescent="0.2">
      <c r="B35" s="1101">
        <v>2033</v>
      </c>
      <c r="C35" s="1107">
        <v>1</v>
      </c>
      <c r="D35" s="1098">
        <v>1</v>
      </c>
      <c r="E35" s="1098">
        <v>1</v>
      </c>
      <c r="F35" s="1098">
        <v>1</v>
      </c>
      <c r="G35" s="1098">
        <v>1</v>
      </c>
      <c r="H35" s="1098">
        <v>1</v>
      </c>
      <c r="I35" s="1098">
        <v>1</v>
      </c>
      <c r="J35" s="1276">
        <f t="shared" si="0"/>
        <v>0.81528850543313935</v>
      </c>
      <c r="K35" s="1277">
        <f t="shared" si="1"/>
        <v>3.3122623159705469E-3</v>
      </c>
      <c r="M35" s="477">
        <f t="shared" si="3"/>
        <v>0.26000000000000006</v>
      </c>
      <c r="N35" s="477">
        <f t="shared" si="2"/>
        <v>7.0507146135246307E-2</v>
      </c>
      <c r="P35" s="1470">
        <v>2019</v>
      </c>
      <c r="Q35" s="1516">
        <f>'Alt Fueling Stations by Fuel'!C36/(2+($P35-2011)*(3.26-2)/(2020-2011))</f>
        <v>25096.474358974359</v>
      </c>
      <c r="R35" s="1516">
        <f>'Alt Fueling Stations by Fuel'!D36</f>
        <v>3178</v>
      </c>
      <c r="S35" s="1516"/>
      <c r="T35" s="1516">
        <f>'Alt Fueling Stations by Fuel'!F36</f>
        <v>119</v>
      </c>
      <c r="U35" s="1516">
        <f>'Alt Fueling Stations by Fuel'!G36</f>
        <v>61</v>
      </c>
      <c r="V35" s="1516">
        <f>'Alt Fueling Stations by Fuel'!H36</f>
        <v>613</v>
      </c>
      <c r="W35" s="1516">
        <f>'Alt Fueling Stations by Fuel'!I36</f>
        <v>1591</v>
      </c>
      <c r="X35" s="1516">
        <f>'Alt Fueling Stations by Fuel'!J36</f>
        <v>3777</v>
      </c>
      <c r="Y35" s="1514">
        <f>$AH$27*(FuelAvail!$P35-$AB$10)^($AJ$28)</f>
        <v>151333.13389175324</v>
      </c>
      <c r="Z35" s="1465"/>
      <c r="AB35" s="1465">
        <f t="shared" si="4"/>
        <v>28</v>
      </c>
      <c r="AE35" s="477">
        <f t="shared" si="5"/>
        <v>151333.13389175324</v>
      </c>
      <c r="AU35" s="1465">
        <f t="shared" si="10"/>
        <v>27</v>
      </c>
      <c r="AW35" s="477">
        <f t="shared" si="12"/>
        <v>150939.01838613869</v>
      </c>
    </row>
    <row r="36" spans="2:49" x14ac:dyDescent="0.2">
      <c r="B36" s="1101">
        <v>2034</v>
      </c>
      <c r="C36" s="1107">
        <v>1</v>
      </c>
      <c r="D36" s="1098">
        <v>1</v>
      </c>
      <c r="E36" s="1098">
        <v>1</v>
      </c>
      <c r="F36" s="1098">
        <v>1</v>
      </c>
      <c r="G36" s="1098">
        <v>1</v>
      </c>
      <c r="H36" s="1098">
        <v>1</v>
      </c>
      <c r="I36" s="1098">
        <v>1</v>
      </c>
      <c r="J36" s="1276">
        <f t="shared" si="0"/>
        <v>0.85612030212542312</v>
      </c>
      <c r="K36" s="1277">
        <f t="shared" si="1"/>
        <v>6.1277085437277685E-3</v>
      </c>
      <c r="M36" s="477">
        <f t="shared" si="3"/>
        <v>0.27000000000000007</v>
      </c>
      <c r="N36" s="477">
        <f t="shared" si="2"/>
        <v>8.1515784905052846E-2</v>
      </c>
      <c r="P36" s="1471">
        <v>2020</v>
      </c>
      <c r="Q36" s="1517">
        <v>30323</v>
      </c>
      <c r="R36" s="1517"/>
      <c r="S36" s="1517"/>
      <c r="T36" s="1517"/>
      <c r="U36" s="1520">
        <v>75</v>
      </c>
      <c r="V36" s="1517"/>
      <c r="W36" s="1517"/>
      <c r="X36" s="1517"/>
      <c r="Y36" s="1515">
        <f>$AH$27*(FuelAvail!$P36-$AB$10)^($AJ$28)</f>
        <v>150616.40521252429</v>
      </c>
      <c r="Z36" s="1465"/>
      <c r="AA36" s="479"/>
      <c r="AB36" s="1465">
        <f t="shared" si="4"/>
        <v>29</v>
      </c>
      <c r="AC36" s="479"/>
      <c r="AD36" s="479"/>
      <c r="AE36" s="477">
        <f t="shared" si="5"/>
        <v>150616.40521252429</v>
      </c>
      <c r="AF36" s="479"/>
      <c r="AG36" s="479"/>
      <c r="AU36" s="1465">
        <f t="shared" si="10"/>
        <v>28</v>
      </c>
      <c r="AW36" s="477">
        <f t="shared" si="12"/>
        <v>150175.68084733188</v>
      </c>
    </row>
    <row r="37" spans="2:49" x14ac:dyDescent="0.2">
      <c r="B37" s="1101">
        <v>2035</v>
      </c>
      <c r="C37" s="1107">
        <v>1</v>
      </c>
      <c r="D37" s="1098">
        <v>1</v>
      </c>
      <c r="E37" s="1098">
        <v>1</v>
      </c>
      <c r="F37" s="1098">
        <v>1</v>
      </c>
      <c r="G37" s="1098">
        <v>1</v>
      </c>
      <c r="H37" s="1098">
        <v>1</v>
      </c>
      <c r="I37" s="1098">
        <v>1</v>
      </c>
      <c r="J37" s="1276">
        <f t="shared" si="0"/>
        <v>0.90597680388751134</v>
      </c>
      <c r="K37" s="1277">
        <f t="shared" si="1"/>
        <v>1.0430976069530742E-2</v>
      </c>
      <c r="M37" s="477">
        <f t="shared" si="3"/>
        <v>0.28000000000000008</v>
      </c>
      <c r="N37" s="477">
        <f t="shared" si="2"/>
        <v>9.3663799913688631E-2</v>
      </c>
      <c r="P37" s="1470">
        <v>2021</v>
      </c>
      <c r="Q37" s="1521">
        <f>Q36+(Q$66-Q$36)/($P$66-$P$36)</f>
        <v>34275.135555555578</v>
      </c>
      <c r="R37" s="1516"/>
      <c r="S37" s="1516"/>
      <c r="T37" s="1516"/>
      <c r="U37" s="1521">
        <v>111</v>
      </c>
      <c r="V37" s="1516"/>
      <c r="W37" s="1516"/>
      <c r="X37" s="1516"/>
      <c r="Y37" s="1514">
        <f>$AH$27*(FuelAvail!$P37-$AB$10)^($AJ$28)</f>
        <v>149927.20114307356</v>
      </c>
      <c r="Z37" s="1465"/>
      <c r="AB37" s="1465">
        <f t="shared" si="4"/>
        <v>30</v>
      </c>
      <c r="AE37" s="477">
        <f t="shared" si="5"/>
        <v>149927.20114307356</v>
      </c>
      <c r="AU37" s="1465">
        <f t="shared" si="10"/>
        <v>29</v>
      </c>
      <c r="AW37" s="477">
        <f t="shared" si="12"/>
        <v>149439.13267906563</v>
      </c>
    </row>
    <row r="38" spans="2:49" x14ac:dyDescent="0.2">
      <c r="B38" s="1101">
        <v>2036</v>
      </c>
      <c r="C38" s="1107">
        <v>1</v>
      </c>
      <c r="D38" s="1098">
        <v>1</v>
      </c>
      <c r="E38" s="1098">
        <v>1</v>
      </c>
      <c r="F38" s="1098">
        <v>1</v>
      </c>
      <c r="G38" s="1098">
        <v>1</v>
      </c>
      <c r="H38" s="1098">
        <v>1</v>
      </c>
      <c r="I38" s="1098">
        <v>1</v>
      </c>
      <c r="J38" s="1276">
        <f t="shared" si="0"/>
        <v>0.94250745547383585</v>
      </c>
      <c r="K38" s="1277">
        <f t="shared" si="1"/>
        <v>1.3274466716304363E-2</v>
      </c>
      <c r="M38" s="477">
        <f t="shared" si="3"/>
        <v>0.29000000000000009</v>
      </c>
      <c r="N38" s="477">
        <f t="shared" si="2"/>
        <v>0.10699666186542625</v>
      </c>
      <c r="P38" s="1471">
        <v>2022</v>
      </c>
      <c r="Q38" s="1520">
        <f t="shared" ref="Q38:Q65" si="14">Q37+(Q$66-Q$36)/($P$66-$P$36)</f>
        <v>38227.271111111157</v>
      </c>
      <c r="R38" s="1517"/>
      <c r="S38" s="1517"/>
      <c r="T38" s="1517"/>
      <c r="U38" s="1520">
        <v>161</v>
      </c>
      <c r="V38" s="1517"/>
      <c r="W38" s="1517"/>
      <c r="X38" s="1517"/>
      <c r="Y38" s="1515">
        <f>$AH$27*(FuelAvail!$P38-$AB$10)^($AJ$28)</f>
        <v>149263.59848496216</v>
      </c>
      <c r="Z38" s="1465"/>
      <c r="AB38" s="1465">
        <f t="shared" si="4"/>
        <v>31</v>
      </c>
      <c r="AE38" s="477">
        <f t="shared" si="5"/>
        <v>149263.59848496216</v>
      </c>
      <c r="AU38" s="1465">
        <f t="shared" si="10"/>
        <v>30</v>
      </c>
      <c r="AW38" s="477">
        <f t="shared" si="12"/>
        <v>148727.5571121618</v>
      </c>
    </row>
    <row r="39" spans="2:49" x14ac:dyDescent="0.2">
      <c r="B39" s="1101">
        <v>2037</v>
      </c>
      <c r="C39" s="1107">
        <v>1</v>
      </c>
      <c r="D39" s="1098">
        <v>1</v>
      </c>
      <c r="E39" s="1098">
        <v>1</v>
      </c>
      <c r="F39" s="1098">
        <v>1</v>
      </c>
      <c r="G39" s="1098">
        <v>1</v>
      </c>
      <c r="H39" s="1098">
        <v>1</v>
      </c>
      <c r="I39" s="1098">
        <v>1</v>
      </c>
      <c r="J39" s="1276">
        <f t="shared" si="0"/>
        <v>0.96732091996204717</v>
      </c>
      <c r="K39" s="1277">
        <f t="shared" si="1"/>
        <v>2.063547350575257E-2</v>
      </c>
      <c r="M39" s="477">
        <f t="shared" si="3"/>
        <v>0.3000000000000001</v>
      </c>
      <c r="N39" s="477">
        <f t="shared" si="2"/>
        <v>0.12155326065006883</v>
      </c>
      <c r="P39" s="1470">
        <v>2023</v>
      </c>
      <c r="Q39" s="1521">
        <f t="shared" si="14"/>
        <v>42179.406666666735</v>
      </c>
      <c r="R39" s="1516"/>
      <c r="S39" s="1516"/>
      <c r="T39" s="1516"/>
      <c r="U39" s="1521">
        <v>246</v>
      </c>
      <c r="V39" s="1516"/>
      <c r="W39" s="1516"/>
      <c r="X39" s="1516"/>
      <c r="Y39" s="1514">
        <f>$AH$27*(FuelAvail!$P39-$AB$10)^($AJ$28)</f>
        <v>148623.86511124755</v>
      </c>
      <c r="Z39" s="1465"/>
      <c r="AB39" s="1465">
        <f t="shared" si="4"/>
        <v>32</v>
      </c>
      <c r="AE39" s="477">
        <f t="shared" si="5"/>
        <v>148623.86511124755</v>
      </c>
      <c r="AU39" s="1465">
        <f t="shared" si="10"/>
        <v>31</v>
      </c>
      <c r="AW39" s="477">
        <f t="shared" si="12"/>
        <v>148039.31614351366</v>
      </c>
    </row>
    <row r="40" spans="2:49" x14ac:dyDescent="0.2">
      <c r="B40" s="1101">
        <v>2038</v>
      </c>
      <c r="C40" s="1107">
        <v>1</v>
      </c>
      <c r="D40" s="1098">
        <v>1</v>
      </c>
      <c r="E40" s="1098">
        <v>1</v>
      </c>
      <c r="F40" s="1098">
        <v>1</v>
      </c>
      <c r="G40" s="1098">
        <v>1</v>
      </c>
      <c r="H40" s="1098">
        <v>1</v>
      </c>
      <c r="I40" s="1098">
        <v>1</v>
      </c>
      <c r="J40" s="1276">
        <f t="shared" si="0"/>
        <v>0.9828519181996197</v>
      </c>
      <c r="K40" s="1277">
        <f t="shared" si="1"/>
        <v>3.0637810156220375E-2</v>
      </c>
      <c r="M40" s="477">
        <f t="shared" si="3"/>
        <v>0.31000000000000011</v>
      </c>
      <c r="N40" s="477">
        <f t="shared" si="2"/>
        <v>0.13736477520959006</v>
      </c>
      <c r="P40" s="1471">
        <v>2024</v>
      </c>
      <c r="Q40" s="1520">
        <f t="shared" si="14"/>
        <v>46131.542222222313</v>
      </c>
      <c r="R40" s="1517"/>
      <c r="S40" s="1517"/>
      <c r="T40" s="1517"/>
      <c r="U40" s="1520">
        <v>967</v>
      </c>
      <c r="V40" s="1517"/>
      <c r="W40" s="1517"/>
      <c r="X40" s="1517"/>
      <c r="Y40" s="1515">
        <f>$AH$27*(FuelAvail!$P40-$AB$10)^($AJ$28)</f>
        <v>148006.43569606714</v>
      </c>
      <c r="Z40" s="1465"/>
      <c r="AB40" s="1465">
        <f t="shared" si="4"/>
        <v>33</v>
      </c>
      <c r="AE40" s="477">
        <f t="shared" si="5"/>
        <v>148006.43569606714</v>
      </c>
      <c r="AU40" s="1465">
        <f t="shared" si="10"/>
        <v>32</v>
      </c>
      <c r="AW40" s="477">
        <f t="shared" si="12"/>
        <v>147372.92782542791</v>
      </c>
    </row>
    <row r="41" spans="2:49" x14ac:dyDescent="0.2">
      <c r="B41" s="1101">
        <v>2039</v>
      </c>
      <c r="C41" s="1107">
        <v>1</v>
      </c>
      <c r="D41" s="1098">
        <v>1</v>
      </c>
      <c r="E41" s="1098">
        <v>1</v>
      </c>
      <c r="F41" s="1098">
        <v>1</v>
      </c>
      <c r="G41" s="1098">
        <v>1</v>
      </c>
      <c r="H41" s="1098">
        <v>1</v>
      </c>
      <c r="I41" s="1098">
        <v>1</v>
      </c>
      <c r="J41" s="1276">
        <f t="shared" si="0"/>
        <v>0.99175255777467719</v>
      </c>
      <c r="K41" s="1277">
        <f t="shared" si="1"/>
        <v>5.1699799821003561E-2</v>
      </c>
      <c r="M41" s="477">
        <f t="shared" si="3"/>
        <v>0.32000000000000012</v>
      </c>
      <c r="N41" s="477">
        <f t="shared" ref="N41:N59" si="15">WEIBULL(M41,$N$4,$N$5,$N$6)</f>
        <v>0.15445353795437128</v>
      </c>
      <c r="P41" s="1470">
        <v>2025</v>
      </c>
      <c r="Q41" s="1521">
        <f t="shared" si="14"/>
        <v>50083.677777777892</v>
      </c>
      <c r="R41" s="1516"/>
      <c r="S41" s="1516"/>
      <c r="T41" s="1516"/>
      <c r="U41" s="1521">
        <v>1975</v>
      </c>
      <c r="V41" s="1516"/>
      <c r="W41" s="1516"/>
      <c r="X41" s="1516"/>
      <c r="Y41" s="1514">
        <f>$AH$27*(FuelAvail!$P41-$AB$10)^($AJ$28)</f>
        <v>147409.89115877033</v>
      </c>
      <c r="Z41" s="1465"/>
      <c r="AB41" s="1465">
        <f t="shared" si="4"/>
        <v>34</v>
      </c>
      <c r="AE41" s="477">
        <f t="shared" si="5"/>
        <v>147409.89115877033</v>
      </c>
      <c r="AU41" s="1465">
        <f t="shared" si="10"/>
        <v>33</v>
      </c>
      <c r="AW41" s="477">
        <f t="shared" si="12"/>
        <v>146727.04705071182</v>
      </c>
    </row>
    <row r="42" spans="2:49" x14ac:dyDescent="0.2">
      <c r="B42" s="1101">
        <v>2040</v>
      </c>
      <c r="C42" s="1107">
        <v>1</v>
      </c>
      <c r="D42" s="1098">
        <v>1</v>
      </c>
      <c r="E42" s="1098">
        <v>1</v>
      </c>
      <c r="F42" s="1098">
        <v>1</v>
      </c>
      <c r="G42" s="1098">
        <v>1</v>
      </c>
      <c r="H42" s="1098">
        <v>1</v>
      </c>
      <c r="I42" s="1098">
        <v>1</v>
      </c>
      <c r="J42" s="1276">
        <f t="shared" si="0"/>
        <v>0.9963915846347442</v>
      </c>
      <c r="K42" s="1277">
        <f t="shared" si="1"/>
        <v>7.0507146135246307E-2</v>
      </c>
      <c r="M42" s="477">
        <f t="shared" si="3"/>
        <v>0.33000000000000013</v>
      </c>
      <c r="N42" s="477">
        <f t="shared" si="15"/>
        <v>0.17283191670766812</v>
      </c>
      <c r="P42" s="1471">
        <v>2026</v>
      </c>
      <c r="Q42" s="1520">
        <f t="shared" si="14"/>
        <v>54035.81333333347</v>
      </c>
      <c r="R42" s="1517"/>
      <c r="S42" s="1517"/>
      <c r="T42" s="1517"/>
      <c r="U42" s="1520">
        <v>3242.3900000000003</v>
      </c>
      <c r="V42" s="1517"/>
      <c r="W42" s="1517"/>
      <c r="X42" s="1517"/>
      <c r="Y42" s="1515">
        <f>$AH$27*(FuelAvail!$P42-$AB$10)^($AJ$28)</f>
        <v>146832.94116300519</v>
      </c>
      <c r="Z42" s="1465"/>
      <c r="AB42" s="1465">
        <f t="shared" si="4"/>
        <v>35</v>
      </c>
      <c r="AE42" s="477">
        <f t="shared" si="5"/>
        <v>146832.94116300519</v>
      </c>
      <c r="AU42" s="1465">
        <f t="shared" si="10"/>
        <v>34</v>
      </c>
      <c r="AW42" s="477">
        <f t="shared" si="12"/>
        <v>146100.44920704345</v>
      </c>
    </row>
    <row r="43" spans="2:49" x14ac:dyDescent="0.2">
      <c r="B43" s="1101">
        <v>2041</v>
      </c>
      <c r="C43" s="1107">
        <v>1</v>
      </c>
      <c r="D43" s="1098">
        <v>1</v>
      </c>
      <c r="E43" s="1098">
        <v>1</v>
      </c>
      <c r="F43" s="1098">
        <v>1</v>
      </c>
      <c r="G43" s="1098">
        <v>1</v>
      </c>
      <c r="H43" s="1098">
        <v>1</v>
      </c>
      <c r="I43" s="1098">
        <v>1</v>
      </c>
      <c r="J43" s="1276">
        <f t="shared" si="0"/>
        <v>0.99857502356180761</v>
      </c>
      <c r="K43" s="1277">
        <f t="shared" si="1"/>
        <v>9.3663799913688631E-2</v>
      </c>
      <c r="M43" s="477">
        <f t="shared" si="3"/>
        <v>0.34000000000000014</v>
      </c>
      <c r="N43" s="477">
        <f t="shared" si="15"/>
        <v>0.19250124041164726</v>
      </c>
      <c r="P43" s="1470">
        <v>2027</v>
      </c>
      <c r="Q43" s="1521">
        <f t="shared" si="14"/>
        <v>57987.948888889048</v>
      </c>
      <c r="R43" s="1516"/>
      <c r="S43" s="1516"/>
      <c r="T43" s="1516"/>
      <c r="U43" s="1521">
        <v>4626.9699999999993</v>
      </c>
      <c r="V43" s="1516"/>
      <c r="W43" s="1516"/>
      <c r="X43" s="1516"/>
      <c r="Y43" s="1514">
        <f>$AH$27*(FuelAvail!$P43-$AB$10)^($AJ$28)</f>
        <v>146274.4091435555</v>
      </c>
      <c r="Z43" s="1465"/>
      <c r="AB43" s="1465">
        <f t="shared" si="4"/>
        <v>36</v>
      </c>
      <c r="AE43" s="477">
        <f t="shared" si="5"/>
        <v>146274.4091435555</v>
      </c>
      <c r="AU43" s="1465">
        <f t="shared" si="10"/>
        <v>35</v>
      </c>
      <c r="AW43" s="477">
        <f t="shared" si="12"/>
        <v>145492.01620134932</v>
      </c>
    </row>
    <row r="44" spans="2:49" x14ac:dyDescent="0.2">
      <c r="B44" s="1101">
        <v>2042</v>
      </c>
      <c r="C44" s="1107">
        <v>1</v>
      </c>
      <c r="D44" s="1098">
        <v>1</v>
      </c>
      <c r="E44" s="1098">
        <v>1</v>
      </c>
      <c r="F44" s="1098">
        <v>1</v>
      </c>
      <c r="G44" s="1098">
        <v>1</v>
      </c>
      <c r="H44" s="1098">
        <v>1</v>
      </c>
      <c r="I44" s="1098">
        <v>1</v>
      </c>
      <c r="J44" s="1276">
        <f t="shared" si="0"/>
        <v>0.99965291531541611</v>
      </c>
      <c r="K44" s="1277">
        <f t="shared" si="1"/>
        <v>0.12155326065006883</v>
      </c>
      <c r="M44" s="477">
        <f t="shared" si="3"/>
        <v>0.35000000000000014</v>
      </c>
      <c r="N44" s="477">
        <f t="shared" si="15"/>
        <v>0.21345079778654535</v>
      </c>
      <c r="P44" s="1471">
        <v>2028</v>
      </c>
      <c r="Q44" s="1520">
        <f t="shared" si="14"/>
        <v>61940.084444444627</v>
      </c>
      <c r="R44" s="1517"/>
      <c r="S44" s="1517"/>
      <c r="T44" s="1517"/>
      <c r="U44" s="1520">
        <v>6873.7499999999991</v>
      </c>
      <c r="V44" s="1517"/>
      <c r="W44" s="1517"/>
      <c r="X44" s="1517"/>
      <c r="Y44" s="1515">
        <f>$AH$27*(FuelAvail!$P44-$AB$10)^($AJ$28)</f>
        <v>145733.21943664621</v>
      </c>
      <c r="Z44" s="1465"/>
      <c r="AB44" s="1465">
        <f t="shared" ref="AB44:AB66" si="16">$P44-$AB$10</f>
        <v>37</v>
      </c>
      <c r="AE44" s="477">
        <f t="shared" ref="AE44:AE66" si="17">$AH$27*($P44-$AB$10)^$AJ$28</f>
        <v>145733.21943664621</v>
      </c>
      <c r="AU44" s="1465">
        <f t="shared" si="10"/>
        <v>36</v>
      </c>
      <c r="AW44" s="477">
        <f t="shared" si="12"/>
        <v>144900.72445342224</v>
      </c>
    </row>
    <row r="45" spans="2:49" x14ac:dyDescent="0.2">
      <c r="B45" s="1101">
        <v>2043</v>
      </c>
      <c r="C45" s="1107">
        <v>1</v>
      </c>
      <c r="D45" s="1098">
        <v>1</v>
      </c>
      <c r="E45" s="1098">
        <v>1</v>
      </c>
      <c r="F45" s="1098">
        <v>1</v>
      </c>
      <c r="G45" s="1098">
        <v>1</v>
      </c>
      <c r="H45" s="1098">
        <v>1</v>
      </c>
      <c r="I45" s="1098">
        <v>1</v>
      </c>
      <c r="J45" s="1276">
        <f t="shared" si="0"/>
        <v>0.999895503999498</v>
      </c>
      <c r="K45" s="1277">
        <f t="shared" si="1"/>
        <v>0.15445353795437128</v>
      </c>
      <c r="M45" s="477">
        <f t="shared" si="3"/>
        <v>0.36000000000000015</v>
      </c>
      <c r="N45" s="477">
        <f t="shared" si="15"/>
        <v>0.23565694062183914</v>
      </c>
      <c r="P45" s="1470">
        <v>2029</v>
      </c>
      <c r="Q45" s="1521">
        <f t="shared" si="14"/>
        <v>65892.220000000205</v>
      </c>
      <c r="R45" s="1516"/>
      <c r="S45" s="1516"/>
      <c r="T45" s="1516"/>
      <c r="U45" s="1521">
        <v>8874.9</v>
      </c>
      <c r="V45" s="1516"/>
      <c r="W45" s="1516"/>
      <c r="X45" s="1516"/>
      <c r="Y45" s="1514">
        <f>$AH$27*(FuelAvail!$P45-$AB$10)^($AJ$28)</f>
        <v>145208.38617005682</v>
      </c>
      <c r="Z45" s="1465"/>
      <c r="AB45" s="1465">
        <f t="shared" si="16"/>
        <v>38</v>
      </c>
      <c r="AE45" s="477">
        <f t="shared" si="17"/>
        <v>145208.38617005682</v>
      </c>
      <c r="AU45" s="1465">
        <f t="shared" si="10"/>
        <v>37</v>
      </c>
      <c r="AW45" s="477">
        <f t="shared" si="12"/>
        <v>144325.63453491341</v>
      </c>
    </row>
    <row r="46" spans="2:49" x14ac:dyDescent="0.2">
      <c r="B46" s="1101">
        <v>2044</v>
      </c>
      <c r="C46" s="1107">
        <v>1</v>
      </c>
      <c r="D46" s="1098">
        <v>1</v>
      </c>
      <c r="E46" s="1098">
        <v>1</v>
      </c>
      <c r="F46" s="1098">
        <v>1</v>
      </c>
      <c r="G46" s="1098">
        <v>1</v>
      </c>
      <c r="H46" s="1098">
        <v>1</v>
      </c>
      <c r="I46" s="1098">
        <v>1</v>
      </c>
      <c r="J46" s="1276">
        <f t="shared" si="0"/>
        <v>0.99997239738380339</v>
      </c>
      <c r="K46" s="1277">
        <f t="shared" si="1"/>
        <v>0.19250124041164726</v>
      </c>
      <c r="M46" s="477">
        <f t="shared" si="3"/>
        <v>0.37000000000000016</v>
      </c>
      <c r="N46" s="477">
        <f t="shared" si="15"/>
        <v>0.25908232520512747</v>
      </c>
      <c r="P46" s="1471">
        <v>2030</v>
      </c>
      <c r="Q46" s="1520">
        <f t="shared" si="14"/>
        <v>69844.355555555783</v>
      </c>
      <c r="R46" s="1517"/>
      <c r="S46" s="1517"/>
      <c r="T46" s="1517"/>
      <c r="U46" s="1520">
        <v>11075.6</v>
      </c>
      <c r="V46" s="1517"/>
      <c r="W46" s="1517"/>
      <c r="X46" s="1517"/>
      <c r="Y46" s="1515">
        <f>$AH$27*(FuelAvail!$P46-$AB$10)^($AJ$28)</f>
        <v>144699.00363298977</v>
      </c>
      <c r="Z46" s="1465"/>
      <c r="AB46" s="1465">
        <f t="shared" si="16"/>
        <v>39</v>
      </c>
      <c r="AE46" s="477">
        <f t="shared" si="17"/>
        <v>144699.00363298977</v>
      </c>
      <c r="AU46" s="1465">
        <f t="shared" si="10"/>
        <v>38</v>
      </c>
      <c r="AW46" s="477">
        <f t="shared" si="12"/>
        <v>143765.88219031994</v>
      </c>
    </row>
    <row r="47" spans="2:49" x14ac:dyDescent="0.2">
      <c r="B47" s="1101">
        <v>2045</v>
      </c>
      <c r="C47" s="1107">
        <v>1</v>
      </c>
      <c r="D47" s="1098">
        <v>1</v>
      </c>
      <c r="E47" s="1098">
        <v>1</v>
      </c>
      <c r="F47" s="1098">
        <v>1</v>
      </c>
      <c r="G47" s="1098">
        <v>1</v>
      </c>
      <c r="H47" s="1098">
        <v>1</v>
      </c>
      <c r="I47" s="1098">
        <v>1</v>
      </c>
      <c r="J47" s="1276">
        <f t="shared" si="0"/>
        <v>0.9999936612702216</v>
      </c>
      <c r="K47" s="1277">
        <f t="shared" si="1"/>
        <v>0.23565694062183914</v>
      </c>
      <c r="M47" s="477">
        <f t="shared" si="3"/>
        <v>0.38000000000000017</v>
      </c>
      <c r="N47" s="477">
        <f t="shared" si="15"/>
        <v>0.28367532636244841</v>
      </c>
      <c r="P47" s="1470">
        <v>2031</v>
      </c>
      <c r="Q47" s="1521">
        <f t="shared" si="14"/>
        <v>73796.491111111362</v>
      </c>
      <c r="R47" s="1516"/>
      <c r="S47" s="1516"/>
      <c r="T47" s="1516"/>
      <c r="U47" s="1521">
        <v>13478.789999999997</v>
      </c>
      <c r="V47" s="1516"/>
      <c r="W47" s="1516"/>
      <c r="X47" s="1516"/>
      <c r="Y47" s="1514">
        <f>$AH$27*(FuelAvail!$P47-$AB$10)^($AJ$28)</f>
        <v>144204.23789616275</v>
      </c>
      <c r="Z47" s="1465"/>
      <c r="AB47" s="1465">
        <f t="shared" si="16"/>
        <v>40</v>
      </c>
      <c r="AE47" s="477">
        <f t="shared" si="17"/>
        <v>144204.23789616275</v>
      </c>
      <c r="AU47" s="1465">
        <f t="shared" si="10"/>
        <v>39</v>
      </c>
      <c r="AW47" s="477">
        <f t="shared" si="12"/>
        <v>143220.67052449929</v>
      </c>
    </row>
    <row r="48" spans="2:49" x14ac:dyDescent="0.2">
      <c r="B48" s="1101">
        <v>2046</v>
      </c>
      <c r="C48" s="1107">
        <v>1</v>
      </c>
      <c r="D48" s="1098">
        <v>1</v>
      </c>
      <c r="E48" s="1098">
        <v>1</v>
      </c>
      <c r="F48" s="1098">
        <v>1</v>
      </c>
      <c r="G48" s="1098">
        <v>1</v>
      </c>
      <c r="H48" s="1098">
        <v>1</v>
      </c>
      <c r="I48" s="1098">
        <v>1</v>
      </c>
      <c r="J48" s="1276">
        <f t="shared" si="0"/>
        <v>0.99999874646745956</v>
      </c>
      <c r="K48" s="1277">
        <f t="shared" si="1"/>
        <v>0.28367532636244841</v>
      </c>
      <c r="M48" s="477">
        <f t="shared" si="3"/>
        <v>0.39000000000000018</v>
      </c>
      <c r="N48" s="477">
        <f t="shared" si="15"/>
        <v>0.30936965849496828</v>
      </c>
      <c r="P48" s="1471">
        <v>2032</v>
      </c>
      <c r="Q48" s="1520">
        <f t="shared" si="14"/>
        <v>77748.62666666694</v>
      </c>
      <c r="R48" s="1517"/>
      <c r="S48" s="1517"/>
      <c r="T48" s="1517"/>
      <c r="U48" s="1520">
        <v>16001.890000000003</v>
      </c>
      <c r="V48" s="1517"/>
      <c r="W48" s="1517"/>
      <c r="X48" s="1517"/>
      <c r="Y48" s="1515">
        <f>$AH$27*(FuelAvail!$P48-$AB$10)^($AJ$28)</f>
        <v>143723.3194929836</v>
      </c>
      <c r="Z48" s="1465"/>
      <c r="AB48" s="1465">
        <f t="shared" si="16"/>
        <v>41</v>
      </c>
      <c r="AE48" s="477">
        <f t="shared" si="17"/>
        <v>143723.3194929836</v>
      </c>
      <c r="AU48" s="1465">
        <f t="shared" si="10"/>
        <v>40</v>
      </c>
      <c r="AW48" s="477">
        <f t="shared" si="12"/>
        <v>142689.26317944535</v>
      </c>
    </row>
    <row r="49" spans="2:49" x14ac:dyDescent="0.2">
      <c r="B49" s="1101">
        <v>2047</v>
      </c>
      <c r="C49" s="1107">
        <v>1</v>
      </c>
      <c r="D49" s="1098">
        <v>1</v>
      </c>
      <c r="E49" s="1098">
        <v>1</v>
      </c>
      <c r="F49" s="1098">
        <v>1</v>
      </c>
      <c r="G49" s="1098">
        <v>1</v>
      </c>
      <c r="H49" s="1098">
        <v>1</v>
      </c>
      <c r="I49" s="1098">
        <v>1</v>
      </c>
      <c r="J49" s="1276">
        <f t="shared" si="0"/>
        <v>0.9999997886047346</v>
      </c>
      <c r="K49" s="1277">
        <f t="shared" si="1"/>
        <v>0.33608423666452697</v>
      </c>
      <c r="M49" s="477">
        <f t="shared" si="3"/>
        <v>0.40000000000000019</v>
      </c>
      <c r="N49" s="477">
        <f t="shared" si="15"/>
        <v>0.33608423666452697</v>
      </c>
      <c r="P49" s="1470">
        <v>2033</v>
      </c>
      <c r="Q49" s="1521">
        <f t="shared" si="14"/>
        <v>81700.762222222518</v>
      </c>
      <c r="R49" s="1516"/>
      <c r="S49" s="1516"/>
      <c r="T49" s="1516"/>
      <c r="U49" s="1521">
        <v>18199.889999999996</v>
      </c>
      <c r="V49" s="1516"/>
      <c r="W49" s="1516"/>
      <c r="X49" s="1516"/>
      <c r="Y49" s="1514">
        <f>$AH$27*(FuelAvail!$P49-$AB$10)^($AJ$28)</f>
        <v>143255.53700514263</v>
      </c>
      <c r="Z49" s="1465"/>
      <c r="AB49" s="1465">
        <f t="shared" si="16"/>
        <v>42</v>
      </c>
      <c r="AE49" s="477">
        <f t="shared" si="17"/>
        <v>143255.53700514263</v>
      </c>
      <c r="AU49" s="1465">
        <f t="shared" si="10"/>
        <v>41</v>
      </c>
      <c r="AW49" s="477">
        <f t="shared" si="12"/>
        <v>142170.97835371172</v>
      </c>
    </row>
    <row r="50" spans="2:49" x14ac:dyDescent="0.2">
      <c r="B50" s="1101">
        <v>2048</v>
      </c>
      <c r="C50" s="1107">
        <v>1</v>
      </c>
      <c r="D50" s="1098">
        <v>1</v>
      </c>
      <c r="E50" s="1098">
        <v>1</v>
      </c>
      <c r="F50" s="1098">
        <v>1</v>
      </c>
      <c r="G50" s="1098">
        <v>1</v>
      </c>
      <c r="H50" s="1098">
        <v>1</v>
      </c>
      <c r="I50" s="1098">
        <v>1</v>
      </c>
      <c r="J50" s="1276">
        <f t="shared" si="0"/>
        <v>0.99999988746482527</v>
      </c>
      <c r="K50" s="1277">
        <f t="shared" si="1"/>
        <v>0.39217687976031146</v>
      </c>
      <c r="M50" s="477">
        <f t="shared" si="3"/>
        <v>0.4100000000000002</v>
      </c>
      <c r="N50" s="477">
        <f t="shared" si="15"/>
        <v>0.36372330804167707</v>
      </c>
      <c r="P50" s="1471">
        <v>2034</v>
      </c>
      <c r="Q50" s="1520">
        <f t="shared" si="14"/>
        <v>85652.897777778096</v>
      </c>
      <c r="R50" s="1517"/>
      <c r="S50" s="1517"/>
      <c r="T50" s="1517"/>
      <c r="U50" s="1520">
        <v>20480.889999999996</v>
      </c>
      <c r="V50" s="1517"/>
      <c r="W50" s="1517"/>
      <c r="X50" s="1517"/>
      <c r="Y50" s="1515">
        <f>$AH$27*(FuelAvail!$P50-$AB$10)^($AJ$28)</f>
        <v>142800.23142222952</v>
      </c>
      <c r="Z50" s="1465"/>
      <c r="AB50" s="1465">
        <f t="shared" si="16"/>
        <v>43</v>
      </c>
      <c r="AE50" s="477">
        <f t="shared" si="17"/>
        <v>142800.23142222952</v>
      </c>
      <c r="AU50" s="1465">
        <f t="shared" si="10"/>
        <v>42</v>
      </c>
      <c r="AW50" s="477">
        <f t="shared" si="12"/>
        <v>141665.1835426098</v>
      </c>
    </row>
    <row r="51" spans="2:49" x14ac:dyDescent="0.2">
      <c r="B51" s="1101">
        <v>2049</v>
      </c>
      <c r="C51" s="1107">
        <v>1</v>
      </c>
      <c r="D51" s="1098">
        <v>1</v>
      </c>
      <c r="E51" s="1098">
        <v>1</v>
      </c>
      <c r="F51" s="1098">
        <v>1</v>
      </c>
      <c r="G51" s="1098">
        <v>1</v>
      </c>
      <c r="H51" s="1098">
        <v>1</v>
      </c>
      <c r="I51" s="1098">
        <v>1</v>
      </c>
      <c r="J51" s="1276">
        <f t="shared" si="0"/>
        <v>0.99999988746482527</v>
      </c>
      <c r="K51" s="1277">
        <f t="shared" si="1"/>
        <v>0.45102114846019115</v>
      </c>
      <c r="M51" s="477">
        <f t="shared" si="3"/>
        <v>0.42000000000000021</v>
      </c>
      <c r="N51" s="477">
        <f t="shared" si="15"/>
        <v>0.39217687976031146</v>
      </c>
      <c r="P51" s="1470">
        <v>2035</v>
      </c>
      <c r="Q51" s="1521">
        <f t="shared" si="14"/>
        <v>89605.033333333675</v>
      </c>
      <c r="R51" s="1516"/>
      <c r="S51" s="1516"/>
      <c r="T51" s="1516"/>
      <c r="U51" s="1521">
        <v>22921.889999999996</v>
      </c>
      <c r="V51" s="1516"/>
      <c r="W51" s="1516"/>
      <c r="X51" s="1516"/>
      <c r="Y51" s="1514">
        <f>$AH$27*(FuelAvail!$P51-$AB$10)^($AJ$28)</f>
        <v>142356.79116634274</v>
      </c>
      <c r="Z51" s="1465"/>
      <c r="AB51" s="1465">
        <f t="shared" si="16"/>
        <v>44</v>
      </c>
      <c r="AE51" s="477">
        <f t="shared" si="17"/>
        <v>142356.79116634274</v>
      </c>
      <c r="AU51" s="1465">
        <f t="shared" si="10"/>
        <v>43</v>
      </c>
      <c r="AW51" s="477">
        <f t="shared" si="12"/>
        <v>141171.29089738912</v>
      </c>
    </row>
    <row r="52" spans="2:49" ht="13.5" thickBot="1" x14ac:dyDescent="0.25">
      <c r="B52" s="1102">
        <v>2050</v>
      </c>
      <c r="C52" s="1108">
        <v>1</v>
      </c>
      <c r="D52" s="1099">
        <v>1</v>
      </c>
      <c r="E52" s="1099">
        <v>1</v>
      </c>
      <c r="F52" s="1099">
        <v>1</v>
      </c>
      <c r="G52" s="1099">
        <v>1</v>
      </c>
      <c r="H52" s="1099">
        <v>1</v>
      </c>
      <c r="I52" s="1099">
        <v>1</v>
      </c>
      <c r="J52" s="1278">
        <f t="shared" si="0"/>
        <v>0.99999988746482527</v>
      </c>
      <c r="K52" s="1279">
        <f t="shared" si="1"/>
        <v>0.51148883886909147</v>
      </c>
      <c r="M52" s="477">
        <f t="shared" si="3"/>
        <v>0.43000000000000022</v>
      </c>
      <c r="N52" s="477">
        <f t="shared" si="15"/>
        <v>0.42132146335212817</v>
      </c>
      <c r="P52" s="1471">
        <v>2036</v>
      </c>
      <c r="Q52" s="1520">
        <f t="shared" si="14"/>
        <v>93557.168888889253</v>
      </c>
      <c r="R52" s="1517"/>
      <c r="S52" s="1517"/>
      <c r="T52" s="1517"/>
      <c r="U52" s="1520">
        <v>25534.889999999996</v>
      </c>
      <c r="V52" s="1517"/>
      <c r="W52" s="1517"/>
      <c r="X52" s="1517"/>
      <c r="Y52" s="1515">
        <f>$AH$27*(FuelAvail!$P52-$AB$10)^($AJ$28)</f>
        <v>141924.64769012132</v>
      </c>
      <c r="Z52" s="1465"/>
      <c r="AB52" s="1465">
        <f t="shared" si="16"/>
        <v>45</v>
      </c>
      <c r="AE52" s="477">
        <f t="shared" si="17"/>
        <v>141924.64769012132</v>
      </c>
      <c r="AU52" s="1465">
        <f t="shared" si="10"/>
        <v>44</v>
      </c>
      <c r="AW52" s="477">
        <f t="shared" si="12"/>
        <v>140688.75311799537</v>
      </c>
    </row>
    <row r="53" spans="2:49" x14ac:dyDescent="0.2">
      <c r="M53" s="477">
        <f t="shared" si="3"/>
        <v>0.44000000000000022</v>
      </c>
      <c r="N53" s="477">
        <f t="shared" si="15"/>
        <v>0.45102114846019115</v>
      </c>
      <c r="P53" s="1470">
        <v>2037</v>
      </c>
      <c r="Q53" s="1521">
        <f t="shared" si="14"/>
        <v>97509.304444444831</v>
      </c>
      <c r="R53" s="1516"/>
      <c r="S53" s="1516"/>
      <c r="T53" s="1516"/>
      <c r="U53" s="1521">
        <v>28238.889999999996</v>
      </c>
      <c r="V53" s="1516"/>
      <c r="W53" s="1516"/>
      <c r="X53" s="1516"/>
      <c r="Y53" s="1514">
        <f>$AH$27*(FuelAvail!$P53-$AB$10)^($AJ$28)</f>
        <v>141503.27157097295</v>
      </c>
      <c r="Z53" s="1465"/>
      <c r="AB53" s="1465">
        <f t="shared" si="16"/>
        <v>46</v>
      </c>
      <c r="AE53" s="477">
        <f t="shared" si="17"/>
        <v>141503.27157097295</v>
      </c>
      <c r="AU53" s="1465">
        <f t="shared" si="10"/>
        <v>45</v>
      </c>
      <c r="AW53" s="477">
        <f t="shared" si="12"/>
        <v>140217.05980743968</v>
      </c>
    </row>
    <row r="54" spans="2:49" x14ac:dyDescent="0.2">
      <c r="M54" s="477">
        <f t="shared" si="3"/>
        <v>0.45000000000000023</v>
      </c>
      <c r="N54" s="477">
        <f t="shared" si="15"/>
        <v>0.48112900953454829</v>
      </c>
      <c r="P54" s="1471">
        <v>2038</v>
      </c>
      <c r="Q54" s="1520">
        <f t="shared" si="14"/>
        <v>101461.44000000041</v>
      </c>
      <c r="R54" s="1517"/>
      <c r="S54" s="1517"/>
      <c r="T54" s="1517"/>
      <c r="U54" s="1520">
        <v>31005.889999999996</v>
      </c>
      <c r="V54" s="1517"/>
      <c r="W54" s="1517"/>
      <c r="X54" s="1517"/>
      <c r="Y54" s="1515">
        <f>$AH$27*(FuelAvail!$P54-$AB$10)^($AJ$28)</f>
        <v>141092.16903610699</v>
      </c>
      <c r="Z54" s="1465"/>
      <c r="AB54" s="1465">
        <f t="shared" si="16"/>
        <v>47</v>
      </c>
      <c r="AE54" s="477">
        <f t="shared" si="17"/>
        <v>141092.16903610699</v>
      </c>
      <c r="AU54" s="1465">
        <f t="shared" si="10"/>
        <v>46</v>
      </c>
      <c r="AW54" s="477">
        <f t="shared" si="12"/>
        <v>139755.73422688944</v>
      </c>
    </row>
    <row r="55" spans="2:49" x14ac:dyDescent="0.2">
      <c r="M55" s="477">
        <f t="shared" si="3"/>
        <v>0.46000000000000024</v>
      </c>
      <c r="N55" s="477">
        <f t="shared" si="15"/>
        <v>0.51148883886909147</v>
      </c>
      <c r="P55" s="1470">
        <v>2039</v>
      </c>
      <c r="Q55" s="1521">
        <f t="shared" si="14"/>
        <v>105413.57555555599</v>
      </c>
      <c r="R55" s="1516"/>
      <c r="S55" s="1516"/>
      <c r="T55" s="1516"/>
      <c r="U55" s="1521">
        <v>33834.89</v>
      </c>
      <c r="V55" s="1516"/>
      <c r="W55" s="1516"/>
      <c r="X55" s="1516"/>
      <c r="Y55" s="1514">
        <f>$AH$27*(FuelAvail!$P55-$AB$10)^($AJ$28)</f>
        <v>140690.87886279408</v>
      </c>
      <c r="Z55" s="1465"/>
      <c r="AB55" s="1465">
        <f t="shared" si="16"/>
        <v>48</v>
      </c>
      <c r="AE55" s="477">
        <f t="shared" si="17"/>
        <v>140690.87886279408</v>
      </c>
      <c r="AU55" s="1465">
        <f t="shared" si="10"/>
        <v>47</v>
      </c>
      <c r="AW55" s="477">
        <f t="shared" si="12"/>
        <v>139304.33039975917</v>
      </c>
    </row>
    <row r="56" spans="2:49" x14ac:dyDescent="0.2">
      <c r="D56" s="477" t="b">
        <v>1</v>
      </c>
      <c r="M56" s="477">
        <f t="shared" si="3"/>
        <v>0.47000000000000025</v>
      </c>
      <c r="N56" s="477">
        <f t="shared" si="15"/>
        <v>0.54193718792371426</v>
      </c>
      <c r="P56" s="1471">
        <v>2040</v>
      </c>
      <c r="Q56" s="1520">
        <f t="shared" si="14"/>
        <v>109365.71111111157</v>
      </c>
      <c r="R56" s="1517"/>
      <c r="S56" s="1517"/>
      <c r="T56" s="1517"/>
      <c r="U56" s="1520">
        <v>36523.89</v>
      </c>
      <c r="V56" s="1517"/>
      <c r="W56" s="1517"/>
      <c r="X56" s="1517"/>
      <c r="Y56" s="1515">
        <f>$AH$27*(FuelAvail!$P56-$AB$10)^($AJ$28)</f>
        <v>140298.96960644086</v>
      </c>
      <c r="Z56" s="1465"/>
      <c r="AB56" s="1465">
        <f t="shared" si="16"/>
        <v>49</v>
      </c>
      <c r="AE56" s="477">
        <f t="shared" si="17"/>
        <v>140298.96960644086</v>
      </c>
      <c r="AU56" s="1465">
        <f t="shared" si="10"/>
        <v>48</v>
      </c>
      <c r="AW56" s="477">
        <f t="shared" si="12"/>
        <v>138862.43052070576</v>
      </c>
    </row>
    <row r="57" spans="2:49" x14ac:dyDescent="0.2">
      <c r="D57" s="477" t="b">
        <v>0</v>
      </c>
      <c r="M57" s="477">
        <f t="shared" si="3"/>
        <v>0.48000000000000026</v>
      </c>
      <c r="N57" s="477">
        <f t="shared" si="15"/>
        <v>0.57230568676862981</v>
      </c>
      <c r="P57" s="1470">
        <v>2041</v>
      </c>
      <c r="Q57" s="1521">
        <f t="shared" si="14"/>
        <v>113317.84666666714</v>
      </c>
      <c r="R57" s="1516"/>
      <c r="S57" s="1516"/>
      <c r="T57" s="1516"/>
      <c r="U57" s="1521">
        <v>39429.890000000007</v>
      </c>
      <c r="V57" s="1516"/>
      <c r="W57" s="1516"/>
      <c r="X57" s="1516"/>
      <c r="Y57" s="1514">
        <f>$AH$27*(FuelAvail!$P57-$AB$10)^($AJ$28)</f>
        <v>139916.03711589513</v>
      </c>
      <c r="Z57" s="1465"/>
      <c r="AB57" s="1465">
        <f t="shared" si="16"/>
        <v>50</v>
      </c>
      <c r="AE57" s="477">
        <f t="shared" si="17"/>
        <v>139916.03711589513</v>
      </c>
      <c r="AU57" s="1465">
        <f t="shared" si="10"/>
        <v>49</v>
      </c>
      <c r="AW57" s="477">
        <f t="shared" si="12"/>
        <v>138429.64263179732</v>
      </c>
    </row>
    <row r="58" spans="2:49" x14ac:dyDescent="0.2">
      <c r="M58" s="477">
        <f t="shared" si="3"/>
        <v>0.49000000000000027</v>
      </c>
      <c r="N58" s="477">
        <f t="shared" si="15"/>
        <v>0.60242359916581223</v>
      </c>
      <c r="P58" s="1471">
        <v>2042</v>
      </c>
      <c r="Q58" s="1520">
        <f t="shared" si="14"/>
        <v>117269.98222222272</v>
      </c>
      <c r="R58" s="1517"/>
      <c r="S58" s="1517"/>
      <c r="T58" s="1517"/>
      <c r="U58" s="1520">
        <v>42341.890000000007</v>
      </c>
      <c r="V58" s="1517"/>
      <c r="W58" s="1517"/>
      <c r="X58" s="1517"/>
      <c r="Y58" s="1515">
        <f>$AH$27*(FuelAvail!$P58-$AB$10)^($AJ$28)</f>
        <v>139541.70230112463</v>
      </c>
      <c r="Z58" s="1465"/>
      <c r="AB58" s="1465">
        <f t="shared" si="16"/>
        <v>51</v>
      </c>
      <c r="AE58" s="477">
        <f t="shared" si="17"/>
        <v>139541.70230112463</v>
      </c>
      <c r="AU58" s="1465">
        <f t="shared" si="10"/>
        <v>50</v>
      </c>
      <c r="AW58" s="477">
        <f t="shared" si="12"/>
        <v>138005.59853346279</v>
      </c>
    </row>
    <row r="59" spans="2:49" x14ac:dyDescent="0.2">
      <c r="M59" s="477">
        <f t="shared" si="3"/>
        <v>0.50000000000000022</v>
      </c>
      <c r="N59" s="477">
        <f t="shared" si="15"/>
        <v>0.63212055882855833</v>
      </c>
      <c r="P59" s="1470">
        <v>2043</v>
      </c>
      <c r="Q59" s="1521">
        <f t="shared" si="14"/>
        <v>121222.1177777783</v>
      </c>
      <c r="R59" s="1516"/>
      <c r="S59" s="1516"/>
      <c r="T59" s="1516"/>
      <c r="U59" s="1521">
        <v>45272.890000000007</v>
      </c>
      <c r="V59" s="1516"/>
      <c r="W59" s="1516"/>
      <c r="X59" s="1516"/>
      <c r="Y59" s="1514">
        <f>$AH$27*(FuelAvail!$P59-$AB$10)^($AJ$28)</f>
        <v>139175.60912323726</v>
      </c>
      <c r="Z59" s="1465"/>
      <c r="AB59" s="1465">
        <f t="shared" si="16"/>
        <v>52</v>
      </c>
      <c r="AE59" s="477">
        <f t="shared" si="17"/>
        <v>139175.60912323726</v>
      </c>
      <c r="AU59" s="1465">
        <f t="shared" si="10"/>
        <v>51</v>
      </c>
      <c r="AW59" s="477">
        <f t="shared" si="12"/>
        <v>137589.95190232137</v>
      </c>
    </row>
    <row r="60" spans="2:49" x14ac:dyDescent="0.2">
      <c r="M60" s="477">
        <f t="shared" si="3"/>
        <v>0.51000000000000023</v>
      </c>
      <c r="N60" s="477">
        <f t="shared" ref="N60:N109" si="18">WEIBULL(M60,$N$4,$N$5,$N$6)</f>
        <v>0.66122942140045338</v>
      </c>
      <c r="P60" s="1471">
        <v>2044</v>
      </c>
      <c r="Q60" s="1520">
        <f t="shared" si="14"/>
        <v>125174.25333333388</v>
      </c>
      <c r="R60" s="1517"/>
      <c r="S60" s="1517"/>
      <c r="T60" s="1517"/>
      <c r="U60" s="1520">
        <v>48191.890000000007</v>
      </c>
      <c r="V60" s="1517"/>
      <c r="W60" s="1517"/>
      <c r="X60" s="1517"/>
      <c r="Y60" s="1515">
        <f>$AH$27*(FuelAvail!$P60-$AB$10)^($AJ$28)</f>
        <v>138817.42278088717</v>
      </c>
      <c r="Z60" s="1465"/>
      <c r="AB60" s="1465">
        <f t="shared" si="16"/>
        <v>53</v>
      </c>
      <c r="AE60" s="477">
        <f t="shared" si="17"/>
        <v>138817.42278088717</v>
      </c>
      <c r="AU60" s="1465">
        <f t="shared" si="10"/>
        <v>52</v>
      </c>
      <c r="AW60" s="477">
        <f t="shared" si="12"/>
        <v>137182.37659178284</v>
      </c>
    </row>
    <row r="61" spans="2:49" x14ac:dyDescent="0.2">
      <c r="M61" s="477">
        <f t="shared" si="3"/>
        <v>0.52000000000000024</v>
      </c>
      <c r="N61" s="477">
        <f t="shared" si="18"/>
        <v>0.68958915732970893</v>
      </c>
      <c r="P61" s="1470">
        <v>2045</v>
      </c>
      <c r="Q61" s="1521">
        <f t="shared" si="14"/>
        <v>129126.38888888946</v>
      </c>
      <c r="R61" s="1516"/>
      <c r="S61" s="1516"/>
      <c r="T61" s="1516"/>
      <c r="U61" s="1521">
        <v>51068.890000000007</v>
      </c>
      <c r="V61" s="1516"/>
      <c r="W61" s="1516"/>
      <c r="X61" s="1516"/>
      <c r="Y61" s="1514">
        <f>$AH$27*(FuelAvail!$P61-$AB$10)^($AJ$28)</f>
        <v>138466.82807057025</v>
      </c>
      <c r="Z61" s="1465"/>
      <c r="AB61" s="1465">
        <f t="shared" si="16"/>
        <v>54</v>
      </c>
      <c r="AE61" s="477">
        <f t="shared" si="17"/>
        <v>138466.82807057025</v>
      </c>
      <c r="AU61" s="1465">
        <f t="shared" si="10"/>
        <v>53</v>
      </c>
      <c r="AW61" s="477">
        <f t="shared" si="12"/>
        <v>136782.56509452651</v>
      </c>
    </row>
    <row r="62" spans="2:49" x14ac:dyDescent="0.2">
      <c r="M62" s="477">
        <f t="shared" si="3"/>
        <v>0.53000000000000025</v>
      </c>
      <c r="N62" s="477">
        <f t="shared" si="18"/>
        <v>0.71704770374006288</v>
      </c>
      <c r="P62" s="1471">
        <v>2046</v>
      </c>
      <c r="Q62" s="1520">
        <f t="shared" si="14"/>
        <v>133078.52444444504</v>
      </c>
      <c r="R62" s="1517"/>
      <c r="S62" s="1517"/>
      <c r="T62" s="1517"/>
      <c r="U62" s="1520">
        <v>53824.890000000007</v>
      </c>
      <c r="V62" s="1517"/>
      <c r="W62" s="1517"/>
      <c r="X62" s="1517"/>
      <c r="Y62" s="1515">
        <f>$AH$27*(FuelAvail!$P62-$AB$10)^($AJ$28)</f>
        <v>138123.52790125419</v>
      </c>
      <c r="Z62" s="1465"/>
      <c r="AB62" s="1465">
        <f t="shared" si="16"/>
        <v>55</v>
      </c>
      <c r="AE62" s="477">
        <f t="shared" si="17"/>
        <v>138123.52790125419</v>
      </c>
      <c r="AU62" s="1465">
        <f t="shared" si="10"/>
        <v>54</v>
      </c>
      <c r="AW62" s="477">
        <f t="shared" si="12"/>
        <v>136390.22714870013</v>
      </c>
    </row>
    <row r="63" spans="2:49" x14ac:dyDescent="0.2">
      <c r="M63" s="477">
        <f t="shared" si="3"/>
        <v>0.54000000000000026</v>
      </c>
      <c r="N63" s="477">
        <f t="shared" si="18"/>
        <v>0.74346468922347331</v>
      </c>
      <c r="P63" s="1470">
        <v>2047</v>
      </c>
      <c r="Q63" s="1521">
        <f t="shared" si="14"/>
        <v>137030.66000000061</v>
      </c>
      <c r="R63" s="1516"/>
      <c r="S63" s="1516"/>
      <c r="T63" s="1516"/>
      <c r="U63" s="1521">
        <v>56484.890000000007</v>
      </c>
      <c r="V63" s="1516"/>
      <c r="W63" s="1516"/>
      <c r="X63" s="1516"/>
      <c r="Y63" s="1514">
        <f>$AH$27*(FuelAvail!$P63-$AB$10)^($AJ$28)</f>
        <v>137787.24194629915</v>
      </c>
      <c r="Z63" s="1465"/>
      <c r="AB63" s="1465">
        <f t="shared" si="16"/>
        <v>56</v>
      </c>
      <c r="AE63" s="477">
        <f t="shared" si="17"/>
        <v>137787.24194629915</v>
      </c>
      <c r="AU63" s="1465">
        <f t="shared" si="10"/>
        <v>55</v>
      </c>
      <c r="AW63" s="477">
        <f t="shared" si="12"/>
        <v>136005.08847201281</v>
      </c>
    </row>
    <row r="64" spans="2:49" x14ac:dyDescent="0.2">
      <c r="M64" s="477">
        <f t="shared" si="3"/>
        <v>0.55000000000000027</v>
      </c>
      <c r="N64" s="477">
        <f t="shared" si="18"/>
        <v>0.768713944715672</v>
      </c>
      <c r="P64" s="1471">
        <v>2048</v>
      </c>
      <c r="Q64" s="1520">
        <f t="shared" si="14"/>
        <v>140982.79555555619</v>
      </c>
      <c r="R64" s="1517"/>
      <c r="S64" s="1517"/>
      <c r="T64" s="1517"/>
      <c r="U64" s="1520">
        <v>59039.890000000007</v>
      </c>
      <c r="V64" s="1517"/>
      <c r="W64" s="1517"/>
      <c r="X64" s="1517"/>
      <c r="Y64" s="1515">
        <f>$AH$27*(FuelAvail!$P64-$AB$10)^($AJ$28)</f>
        <v>137457.70541777695</v>
      </c>
      <c r="Z64" s="1465"/>
      <c r="AB64" s="1465">
        <f t="shared" si="16"/>
        <v>57</v>
      </c>
      <c r="AE64" s="477">
        <f t="shared" si="17"/>
        <v>137457.70541777695</v>
      </c>
      <c r="AU64" s="1465">
        <f t="shared" si="10"/>
        <v>56</v>
      </c>
      <c r="AW64" s="477">
        <f t="shared" si="12"/>
        <v>135626.88960989332</v>
      </c>
    </row>
    <row r="65" spans="13:49" x14ac:dyDescent="0.2">
      <c r="M65" s="477">
        <f t="shared" si="3"/>
        <v>0.56000000000000028</v>
      </c>
      <c r="N65" s="477">
        <f t="shared" si="18"/>
        <v>0.79268571663322196</v>
      </c>
      <c r="P65" s="1470">
        <v>2049</v>
      </c>
      <c r="Q65" s="1521">
        <f t="shared" si="14"/>
        <v>144934.93111111177</v>
      </c>
      <c r="R65" s="1516"/>
      <c r="S65" s="1516"/>
      <c r="T65" s="1516"/>
      <c r="U65" s="1521">
        <v>61442.890000000007</v>
      </c>
      <c r="V65" s="1516"/>
      <c r="W65" s="1516"/>
      <c r="X65" s="1516"/>
      <c r="Y65" s="1514">
        <f>$AH$27*(FuelAvail!$P65-$AB$10)^($AJ$28)</f>
        <v>137134.66795014174</v>
      </c>
      <c r="Z65" s="1465"/>
      <c r="AB65" s="1465">
        <f t="shared" si="16"/>
        <v>58</v>
      </c>
      <c r="AE65" s="477">
        <f t="shared" si="17"/>
        <v>137134.66795014174</v>
      </c>
      <c r="AU65" s="1465">
        <f t="shared" si="10"/>
        <v>57</v>
      </c>
      <c r="AW65" s="477">
        <f t="shared" si="12"/>
        <v>135255.3848855978</v>
      </c>
    </row>
    <row r="66" spans="13:49" x14ac:dyDescent="0.2">
      <c r="M66" s="477">
        <f t="shared" si="3"/>
        <v>0.57000000000000028</v>
      </c>
      <c r="N66" s="477">
        <f t="shared" si="18"/>
        <v>0.81528850543313935</v>
      </c>
      <c r="P66" s="1472">
        <v>2050</v>
      </c>
      <c r="Q66" s="1522">
        <v>148887.06666666735</v>
      </c>
      <c r="R66" s="1518"/>
      <c r="S66" s="1518"/>
      <c r="T66" s="1518"/>
      <c r="U66" s="1522">
        <v>63797.890000000007</v>
      </c>
      <c r="V66" s="1518"/>
      <c r="W66" s="1518"/>
      <c r="X66" s="1518"/>
      <c r="Y66" s="1519">
        <f>$AH$27*(FuelAvail!$P66-$AB$10)^($AJ$28)</f>
        <v>136817.89258179464</v>
      </c>
      <c r="Z66" s="1465"/>
      <c r="AB66" s="1465">
        <f t="shared" si="16"/>
        <v>59</v>
      </c>
      <c r="AE66" s="477">
        <f t="shared" si="17"/>
        <v>136817.89258179464</v>
      </c>
      <c r="AU66" s="1465">
        <f t="shared" si="10"/>
        <v>58</v>
      </c>
      <c r="AW66" s="477">
        <f t="shared" si="12"/>
        <v>134890.34144162707</v>
      </c>
    </row>
    <row r="67" spans="13:49" x14ac:dyDescent="0.2">
      <c r="M67" s="477">
        <f t="shared" si="3"/>
        <v>0.58000000000000029</v>
      </c>
      <c r="N67" s="477">
        <f t="shared" si="18"/>
        <v>0.83645046366396225</v>
      </c>
      <c r="AU67" s="1465"/>
    </row>
    <row r="68" spans="13:49" x14ac:dyDescent="0.2">
      <c r="M68" s="477">
        <f t="shared" si="3"/>
        <v>0.5900000000000003</v>
      </c>
      <c r="N68" s="477">
        <f t="shared" si="18"/>
        <v>0.85612030212542312</v>
      </c>
    </row>
    <row r="69" spans="13:49" x14ac:dyDescent="0.2">
      <c r="M69" s="477">
        <f t="shared" si="3"/>
        <v>0.60000000000000031</v>
      </c>
      <c r="N69" s="477">
        <f t="shared" si="18"/>
        <v>0.87426767040557263</v>
      </c>
    </row>
    <row r="70" spans="13:49" x14ac:dyDescent="0.2">
      <c r="M70" s="477">
        <f t="shared" si="3"/>
        <v>0.61000000000000032</v>
      </c>
      <c r="N70" s="477">
        <f t="shared" si="18"/>
        <v>0.89088299804314675</v>
      </c>
    </row>
    <row r="71" spans="13:49" x14ac:dyDescent="0.2">
      <c r="M71" s="477">
        <f t="shared" si="3"/>
        <v>0.62000000000000033</v>
      </c>
      <c r="N71" s="477">
        <f t="shared" si="18"/>
        <v>0.90597680388751134</v>
      </c>
    </row>
    <row r="72" spans="13:49" x14ac:dyDescent="0.2">
      <c r="M72" s="477">
        <f t="shared" si="3"/>
        <v>0.63000000000000034</v>
      </c>
      <c r="N72" s="477">
        <f t="shared" si="18"/>
        <v>0.91957850276566688</v>
      </c>
    </row>
    <row r="73" spans="13:49" x14ac:dyDescent="0.2">
      <c r="M73" s="477">
        <f t="shared" si="3"/>
        <v>0.64000000000000035</v>
      </c>
      <c r="N73" s="477">
        <f t="shared" si="18"/>
        <v>0.93173475910294257</v>
      </c>
    </row>
    <row r="74" spans="13:49" x14ac:dyDescent="0.2">
      <c r="M74" s="477">
        <f t="shared" si="3"/>
        <v>0.65000000000000036</v>
      </c>
      <c r="N74" s="477">
        <f t="shared" si="18"/>
        <v>0.94250745547383585</v>
      </c>
    </row>
    <row r="75" spans="13:49" x14ac:dyDescent="0.2">
      <c r="M75" s="477">
        <f t="shared" si="3"/>
        <v>0.66000000000000036</v>
      </c>
      <c r="N75" s="477">
        <f t="shared" si="18"/>
        <v>0.95197135907101305</v>
      </c>
    </row>
    <row r="76" spans="13:49" x14ac:dyDescent="0.2">
      <c r="M76" s="477">
        <f t="shared" ref="M76:M109" si="19">M75+0.01</f>
        <v>0.67000000000000037</v>
      </c>
      <c r="N76" s="477">
        <f t="shared" si="18"/>
        <v>0.96021157984875782</v>
      </c>
    </row>
    <row r="77" spans="13:49" x14ac:dyDescent="0.2">
      <c r="M77" s="477">
        <f t="shared" si="19"/>
        <v>0.68000000000000038</v>
      </c>
      <c r="N77" s="477">
        <f t="shared" si="18"/>
        <v>0.96732091996204717</v>
      </c>
    </row>
    <row r="78" spans="13:49" x14ac:dyDescent="0.2">
      <c r="M78" s="477">
        <f t="shared" si="19"/>
        <v>0.69000000000000039</v>
      </c>
      <c r="N78" s="477">
        <f t="shared" si="18"/>
        <v>0.97339721474921714</v>
      </c>
    </row>
    <row r="79" spans="13:49" x14ac:dyDescent="0.2">
      <c r="M79" s="477">
        <f t="shared" si="19"/>
        <v>0.7000000000000004</v>
      </c>
      <c r="N79" s="477">
        <f t="shared" si="18"/>
        <v>0.97854076091991982</v>
      </c>
    </row>
    <row r="80" spans="13:49" x14ac:dyDescent="0.2">
      <c r="M80" s="477">
        <f t="shared" si="19"/>
        <v>0.71000000000000041</v>
      </c>
      <c r="N80" s="477">
        <f t="shared" si="18"/>
        <v>0.9828519181996197</v>
      </c>
    </row>
    <row r="81" spans="13:14" x14ac:dyDescent="0.2">
      <c r="M81" s="477">
        <f t="shared" si="19"/>
        <v>0.72000000000000042</v>
      </c>
      <c r="N81" s="477">
        <f t="shared" si="18"/>
        <v>0.98642895717144563</v>
      </c>
    </row>
    <row r="82" spans="13:14" x14ac:dyDescent="0.2">
      <c r="M82" s="477">
        <f t="shared" si="19"/>
        <v>0.73000000000000043</v>
      </c>
      <c r="N82" s="477">
        <f t="shared" si="18"/>
        <v>0.98936620944626497</v>
      </c>
    </row>
    <row r="83" spans="13:14" x14ac:dyDescent="0.2">
      <c r="M83" s="477">
        <f t="shared" si="19"/>
        <v>0.74000000000000044</v>
      </c>
      <c r="N83" s="477">
        <f t="shared" si="18"/>
        <v>0.99175255777467719</v>
      </c>
    </row>
    <row r="84" spans="13:14" x14ac:dyDescent="0.2">
      <c r="M84" s="477">
        <f t="shared" si="19"/>
        <v>0.75000000000000044</v>
      </c>
      <c r="N84" s="477">
        <f t="shared" si="18"/>
        <v>0.99367028457251438</v>
      </c>
    </row>
    <row r="85" spans="13:14" x14ac:dyDescent="0.2">
      <c r="M85" s="477">
        <f t="shared" si="19"/>
        <v>0.76000000000000045</v>
      </c>
      <c r="N85" s="477">
        <f t="shared" si="18"/>
        <v>0.9951942788280157</v>
      </c>
    </row>
    <row r="86" spans="13:14" x14ac:dyDescent="0.2">
      <c r="M86" s="477">
        <f t="shared" si="19"/>
        <v>0.77000000000000046</v>
      </c>
      <c r="N86" s="477">
        <f t="shared" si="18"/>
        <v>0.9963915846347442</v>
      </c>
    </row>
    <row r="87" spans="13:14" x14ac:dyDescent="0.2">
      <c r="M87" s="477">
        <f t="shared" si="19"/>
        <v>0.78000000000000047</v>
      </c>
      <c r="N87" s="477">
        <f t="shared" si="18"/>
        <v>0.99732126057789017</v>
      </c>
    </row>
    <row r="88" spans="13:14" x14ac:dyDescent="0.2">
      <c r="M88" s="477">
        <f t="shared" si="19"/>
        <v>0.79000000000000048</v>
      </c>
      <c r="N88" s="477">
        <f t="shared" si="18"/>
        <v>0.99803450854380882</v>
      </c>
    </row>
    <row r="89" spans="13:14" x14ac:dyDescent="0.2">
      <c r="M89" s="477">
        <f t="shared" si="19"/>
        <v>0.80000000000000049</v>
      </c>
      <c r="N89" s="477">
        <f t="shared" si="18"/>
        <v>0.99857502356180761</v>
      </c>
    </row>
    <row r="90" spans="13:14" x14ac:dyDescent="0.2">
      <c r="M90" s="477">
        <f t="shared" si="19"/>
        <v>0.8100000000000005</v>
      </c>
      <c r="N90" s="477">
        <f t="shared" si="18"/>
        <v>0.99897951304628008</v>
      </c>
    </row>
    <row r="91" spans="13:14" x14ac:dyDescent="0.2">
      <c r="M91" s="477">
        <f t="shared" si="19"/>
        <v>0.82000000000000051</v>
      </c>
      <c r="N91" s="477">
        <f t="shared" si="18"/>
        <v>0.99927833402166177</v>
      </c>
    </row>
    <row r="92" spans="13:14" x14ac:dyDescent="0.2">
      <c r="M92" s="477">
        <f t="shared" si="19"/>
        <v>0.83000000000000052</v>
      </c>
      <c r="N92" s="477">
        <f t="shared" si="18"/>
        <v>0.99949620008360773</v>
      </c>
    </row>
    <row r="93" spans="13:14" x14ac:dyDescent="0.2">
      <c r="M93" s="477">
        <f t="shared" si="19"/>
        <v>0.84000000000000052</v>
      </c>
      <c r="N93" s="477">
        <f t="shared" si="18"/>
        <v>0.99965291531541611</v>
      </c>
    </row>
    <row r="94" spans="13:14" x14ac:dyDescent="0.2">
      <c r="M94" s="477">
        <f t="shared" si="19"/>
        <v>0.85000000000000053</v>
      </c>
      <c r="N94" s="477">
        <f t="shared" si="18"/>
        <v>0.99976409939337041</v>
      </c>
    </row>
    <row r="95" spans="13:14" x14ac:dyDescent="0.2">
      <c r="M95" s="477">
        <f t="shared" si="19"/>
        <v>0.86000000000000054</v>
      </c>
      <c r="N95" s="477">
        <f t="shared" si="18"/>
        <v>0.9998418759268497</v>
      </c>
    </row>
    <row r="96" spans="13:14" x14ac:dyDescent="0.2">
      <c r="M96" s="477">
        <f t="shared" si="19"/>
        <v>0.87000000000000055</v>
      </c>
      <c r="N96" s="477">
        <f t="shared" si="18"/>
        <v>0.999895503999498</v>
      </c>
    </row>
    <row r="97" spans="13:14" x14ac:dyDescent="0.2">
      <c r="M97" s="477">
        <f t="shared" si="19"/>
        <v>0.88000000000000056</v>
      </c>
      <c r="N97" s="477">
        <f t="shared" si="18"/>
        <v>0.99993194033152688</v>
      </c>
    </row>
    <row r="98" spans="13:14" x14ac:dyDescent="0.2">
      <c r="M98" s="477">
        <f t="shared" si="19"/>
        <v>0.89000000000000057</v>
      </c>
      <c r="N98" s="477">
        <f t="shared" si="18"/>
        <v>0.99995632604198814</v>
      </c>
    </row>
    <row r="99" spans="13:14" x14ac:dyDescent="0.2">
      <c r="M99" s="477">
        <f t="shared" si="19"/>
        <v>0.90000000000000058</v>
      </c>
      <c r="N99" s="477">
        <f t="shared" si="18"/>
        <v>0.99997239738380339</v>
      </c>
    </row>
    <row r="100" spans="13:14" x14ac:dyDescent="0.2">
      <c r="M100" s="477">
        <f t="shared" si="19"/>
        <v>0.91000000000000059</v>
      </c>
      <c r="N100" s="477">
        <f t="shared" si="18"/>
        <v>0.99998282393580651</v>
      </c>
    </row>
    <row r="101" spans="13:14" x14ac:dyDescent="0.2">
      <c r="M101" s="477">
        <f t="shared" si="19"/>
        <v>0.9200000000000006</v>
      </c>
      <c r="N101" s="477">
        <f t="shared" si="18"/>
        <v>0.99998948057868242</v>
      </c>
    </row>
    <row r="102" spans="13:14" x14ac:dyDescent="0.2">
      <c r="M102" s="477">
        <f t="shared" si="19"/>
        <v>0.9300000000000006</v>
      </c>
      <c r="N102" s="477">
        <f t="shared" si="18"/>
        <v>0.9999936612702216</v>
      </c>
    </row>
    <row r="103" spans="13:14" x14ac:dyDescent="0.2">
      <c r="M103" s="477">
        <f t="shared" si="19"/>
        <v>0.94000000000000061</v>
      </c>
      <c r="N103" s="477">
        <f t="shared" si="18"/>
        <v>0.99999624335152093</v>
      </c>
    </row>
    <row r="104" spans="13:14" x14ac:dyDescent="0.2">
      <c r="M104" s="477">
        <f t="shared" si="19"/>
        <v>0.95000000000000062</v>
      </c>
      <c r="N104" s="477">
        <f t="shared" si="18"/>
        <v>0.99999781107499508</v>
      </c>
    </row>
    <row r="105" spans="13:14" x14ac:dyDescent="0.2">
      <c r="M105" s="477">
        <f t="shared" si="19"/>
        <v>0.96000000000000063</v>
      </c>
      <c r="N105" s="477">
        <f t="shared" si="18"/>
        <v>0.99999874646745956</v>
      </c>
    </row>
    <row r="106" spans="13:14" x14ac:dyDescent="0.2">
      <c r="M106" s="477">
        <f t="shared" si="19"/>
        <v>0.97000000000000064</v>
      </c>
      <c r="N106" s="477">
        <f t="shared" si="18"/>
        <v>0.99999929472988103</v>
      </c>
    </row>
    <row r="107" spans="13:14" x14ac:dyDescent="0.2">
      <c r="M107" s="477">
        <f t="shared" si="19"/>
        <v>0.98000000000000065</v>
      </c>
      <c r="N107" s="477">
        <f t="shared" si="18"/>
        <v>0.99999961030075424</v>
      </c>
    </row>
    <row r="108" spans="13:14" x14ac:dyDescent="0.2">
      <c r="M108" s="477">
        <f t="shared" si="19"/>
        <v>0.99000000000000066</v>
      </c>
      <c r="N108" s="477">
        <f t="shared" si="18"/>
        <v>0.9999997886047346</v>
      </c>
    </row>
    <row r="109" spans="13:14" x14ac:dyDescent="0.2">
      <c r="M109" s="477">
        <f t="shared" si="19"/>
        <v>1.0000000000000007</v>
      </c>
      <c r="N109" s="477">
        <f t="shared" si="18"/>
        <v>0.99999988746482527</v>
      </c>
    </row>
  </sheetData>
  <mergeCells count="1">
    <mergeCell ref="M2:N3"/>
  </mergeCells>
  <dataValidations disablePrompts="1" count="1">
    <dataValidation type="list" allowBlank="1" showInputMessage="1" showErrorMessage="1" sqref="J7:K7" xr:uid="{0D9F3AED-426A-416A-93AD-455B336A453F}">
      <formula1>TorF</formula1>
    </dataValidation>
  </dataValidations>
  <hyperlinks>
    <hyperlink ref="Q5" r:id="rId1" xr:uid="{00000000-0004-0000-1000-000000000000}"/>
  </hyperlinks>
  <pageMargins left="0.7" right="0.7" top="0.75" bottom="0.75" header="0.3" footer="0.3"/>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9F823-1FB8-4170-A4FB-09CC54BAABE9}">
  <sheetPr codeName="Sheet3"/>
  <dimension ref="A1:L53"/>
  <sheetViews>
    <sheetView zoomScaleNormal="100" workbookViewId="0">
      <selection activeCell="C4" sqref="C4"/>
    </sheetView>
  </sheetViews>
  <sheetFormatPr defaultColWidth="8.85546875" defaultRowHeight="12.95" customHeight="1" x14ac:dyDescent="0.2"/>
  <cols>
    <col min="1" max="1" width="4.42578125" style="1483" customWidth="1"/>
    <col min="2" max="2" width="9.28515625" style="1483" bestFit="1" customWidth="1"/>
    <col min="3" max="3" width="12" style="1483" customWidth="1"/>
    <col min="4" max="4" width="12.28515625" style="1483" customWidth="1"/>
    <col min="5" max="5" width="15" style="1483" customWidth="1"/>
    <col min="6" max="11" width="12.28515625" style="1483" customWidth="1"/>
    <col min="12" max="16384" width="8.85546875" style="1483"/>
  </cols>
  <sheetData>
    <row r="1" spans="1:11" ht="12.95" customHeight="1" x14ac:dyDescent="0.2">
      <c r="A1" s="548" t="s">
        <v>454</v>
      </c>
      <c r="E1" s="1483" t="s">
        <v>457</v>
      </c>
    </row>
    <row r="2" spans="1:11" ht="12.95" customHeight="1" x14ac:dyDescent="0.2">
      <c r="B2" s="1524" t="s">
        <v>455</v>
      </c>
      <c r="C2" s="1483">
        <v>98949</v>
      </c>
    </row>
    <row r="3" spans="1:11" ht="12.95" customHeight="1" x14ac:dyDescent="0.2">
      <c r="B3" s="1524" t="s">
        <v>456</v>
      </c>
      <c r="C3" s="1483">
        <v>30323</v>
      </c>
    </row>
    <row r="4" spans="1:11" ht="12.95" customHeight="1" x14ac:dyDescent="0.2">
      <c r="B4" s="1524" t="s">
        <v>458</v>
      </c>
      <c r="C4" s="1525">
        <f>C2/C3</f>
        <v>3.2631665732282427</v>
      </c>
    </row>
    <row r="6" spans="1:11" ht="12.95" customHeight="1" thickBot="1" x14ac:dyDescent="0.25">
      <c r="A6" s="1466" t="s">
        <v>232</v>
      </c>
      <c r="F6" s="1483" t="s">
        <v>453</v>
      </c>
    </row>
    <row r="7" spans="1:11" s="1484" customFormat="1" ht="16.5" customHeight="1" thickBot="1" x14ac:dyDescent="0.3">
      <c r="B7" s="1705" t="s">
        <v>436</v>
      </c>
      <c r="C7" s="1706"/>
      <c r="D7" s="1706"/>
      <c r="E7" s="1706"/>
      <c r="F7" s="1706"/>
      <c r="G7" s="1706"/>
      <c r="H7" s="1706"/>
      <c r="I7" s="1706"/>
      <c r="J7" s="1706"/>
      <c r="K7" s="1707"/>
    </row>
    <row r="8" spans="1:11" s="1488" customFormat="1" ht="12.95" customHeight="1" x14ac:dyDescent="0.2">
      <c r="B8" s="1485" t="s">
        <v>3</v>
      </c>
      <c r="C8" s="1486" t="s">
        <v>226</v>
      </c>
      <c r="D8" s="1486" t="s">
        <v>227</v>
      </c>
      <c r="E8" s="1486" t="s">
        <v>228</v>
      </c>
      <c r="F8" s="1486" t="s">
        <v>229</v>
      </c>
      <c r="G8" s="1486" t="s">
        <v>181</v>
      </c>
      <c r="H8" s="1486" t="s">
        <v>230</v>
      </c>
      <c r="I8" s="1486" t="s">
        <v>1</v>
      </c>
      <c r="J8" s="1486" t="s">
        <v>52</v>
      </c>
      <c r="K8" s="1487" t="s">
        <v>437</v>
      </c>
    </row>
    <row r="9" spans="1:11" ht="12.95" customHeight="1" x14ac:dyDescent="0.2">
      <c r="B9" s="1489">
        <v>1992</v>
      </c>
      <c r="C9" s="1490"/>
      <c r="D9" s="1490">
        <v>3297</v>
      </c>
      <c r="E9" s="1490">
        <v>43</v>
      </c>
      <c r="F9" s="1490"/>
      <c r="G9" s="1490"/>
      <c r="H9" s="1490"/>
      <c r="I9" s="1490">
        <v>349</v>
      </c>
      <c r="J9" s="1490">
        <v>2</v>
      </c>
      <c r="K9" s="1491">
        <f>SUM(C9:J9)</f>
        <v>3691</v>
      </c>
    </row>
    <row r="10" spans="1:11" ht="12.95" customHeight="1" x14ac:dyDescent="0.2">
      <c r="B10" s="1489">
        <v>1993</v>
      </c>
      <c r="C10" s="1490"/>
      <c r="D10" s="1490">
        <v>3297</v>
      </c>
      <c r="E10" s="1490">
        <v>50</v>
      </c>
      <c r="F10" s="1490"/>
      <c r="G10" s="1490"/>
      <c r="H10" s="1490"/>
      <c r="I10" s="1490">
        <v>497</v>
      </c>
      <c r="J10" s="1490">
        <v>7</v>
      </c>
      <c r="K10" s="1491">
        <f t="shared" ref="K10:K36" si="0">SUM(C10:J10)</f>
        <v>3851</v>
      </c>
    </row>
    <row r="11" spans="1:11" ht="12.95" customHeight="1" x14ac:dyDescent="0.2">
      <c r="B11" s="1489">
        <v>1994</v>
      </c>
      <c r="C11" s="1490"/>
      <c r="D11" s="1490">
        <v>3299</v>
      </c>
      <c r="E11" s="1490">
        <v>82</v>
      </c>
      <c r="F11" s="1490"/>
      <c r="G11" s="1490"/>
      <c r="H11" s="1490"/>
      <c r="I11" s="1490">
        <v>1042</v>
      </c>
      <c r="J11" s="1490">
        <v>32</v>
      </c>
      <c r="K11" s="1491">
        <f t="shared" si="0"/>
        <v>4455</v>
      </c>
    </row>
    <row r="12" spans="1:11" ht="12.95" customHeight="1" x14ac:dyDescent="0.2">
      <c r="B12" s="1489">
        <v>1995</v>
      </c>
      <c r="C12" s="1490">
        <v>188</v>
      </c>
      <c r="D12" s="1490">
        <v>3299</v>
      </c>
      <c r="E12" s="1490">
        <v>88</v>
      </c>
      <c r="F12" s="1490"/>
      <c r="G12" s="1490"/>
      <c r="H12" s="1490"/>
      <c r="I12" s="1490">
        <v>1065</v>
      </c>
      <c r="J12" s="1490">
        <v>37</v>
      </c>
      <c r="K12" s="1491">
        <f t="shared" si="0"/>
        <v>4677</v>
      </c>
    </row>
    <row r="13" spans="1:11" ht="12.95" customHeight="1" x14ac:dyDescent="0.2">
      <c r="B13" s="1489">
        <v>1996</v>
      </c>
      <c r="C13" s="1490">
        <v>194</v>
      </c>
      <c r="D13" s="1490">
        <v>4252</v>
      </c>
      <c r="E13" s="1490">
        <v>95</v>
      </c>
      <c r="F13" s="1490">
        <v>72</v>
      </c>
      <c r="G13" s="1490"/>
      <c r="H13" s="1490"/>
      <c r="I13" s="1490">
        <v>1419</v>
      </c>
      <c r="J13" s="1490">
        <v>68</v>
      </c>
      <c r="K13" s="1491">
        <f t="shared" si="0"/>
        <v>6100</v>
      </c>
    </row>
    <row r="14" spans="1:11" ht="12.95" customHeight="1" x14ac:dyDescent="0.2">
      <c r="B14" s="1489">
        <v>1997</v>
      </c>
      <c r="C14" s="1490">
        <v>310</v>
      </c>
      <c r="D14" s="1490">
        <v>4255</v>
      </c>
      <c r="E14" s="1490">
        <v>106</v>
      </c>
      <c r="F14" s="1490">
        <v>71</v>
      </c>
      <c r="G14" s="1490"/>
      <c r="H14" s="1490"/>
      <c r="I14" s="1490">
        <v>1426</v>
      </c>
      <c r="J14" s="1490">
        <v>71</v>
      </c>
      <c r="K14" s="1491">
        <f t="shared" si="0"/>
        <v>6239</v>
      </c>
    </row>
    <row r="15" spans="1:11" ht="12.95" customHeight="1" x14ac:dyDescent="0.2">
      <c r="B15" s="1489">
        <v>1998</v>
      </c>
      <c r="C15" s="1490">
        <v>486</v>
      </c>
      <c r="D15" s="1490">
        <v>5318</v>
      </c>
      <c r="E15" s="1490">
        <v>91</v>
      </c>
      <c r="F15" s="1490">
        <v>66</v>
      </c>
      <c r="G15" s="1490"/>
      <c r="H15" s="1490"/>
      <c r="I15" s="1490">
        <v>1268</v>
      </c>
      <c r="J15" s="1490">
        <v>40</v>
      </c>
      <c r="K15" s="1491">
        <f t="shared" si="0"/>
        <v>7269</v>
      </c>
    </row>
    <row r="16" spans="1:11" ht="12.95" customHeight="1" x14ac:dyDescent="0.2">
      <c r="B16" s="1489">
        <v>1999</v>
      </c>
      <c r="C16" s="1490">
        <v>490</v>
      </c>
      <c r="D16" s="1490">
        <v>4153</v>
      </c>
      <c r="E16" s="1490">
        <v>51</v>
      </c>
      <c r="F16" s="1490">
        <v>46</v>
      </c>
      <c r="G16" s="1490"/>
      <c r="H16" s="1490"/>
      <c r="I16" s="1490">
        <v>1267</v>
      </c>
      <c r="J16" s="1490">
        <v>49</v>
      </c>
      <c r="K16" s="1491">
        <f t="shared" si="0"/>
        <v>6056</v>
      </c>
    </row>
    <row r="17" spans="2:12" ht="12.95" customHeight="1" x14ac:dyDescent="0.2">
      <c r="B17" s="1489">
        <v>2000</v>
      </c>
      <c r="C17" s="1490">
        <v>558</v>
      </c>
      <c r="D17" s="1490">
        <v>3268</v>
      </c>
      <c r="E17" s="1490">
        <v>3</v>
      </c>
      <c r="F17" s="1490">
        <v>44</v>
      </c>
      <c r="G17" s="1490"/>
      <c r="H17" s="1490">
        <v>2</v>
      </c>
      <c r="I17" s="1490">
        <v>1217</v>
      </c>
      <c r="J17" s="1490">
        <v>113</v>
      </c>
      <c r="K17" s="1491">
        <f t="shared" si="0"/>
        <v>5205</v>
      </c>
    </row>
    <row r="18" spans="2:12" ht="12.95" customHeight="1" x14ac:dyDescent="0.2">
      <c r="B18" s="1489">
        <v>2001</v>
      </c>
      <c r="C18" s="1490">
        <v>693</v>
      </c>
      <c r="D18" s="1490">
        <v>3403</v>
      </c>
      <c r="E18" s="1490"/>
      <c r="F18" s="1490">
        <v>44</v>
      </c>
      <c r="G18" s="1490"/>
      <c r="H18" s="1490">
        <v>16</v>
      </c>
      <c r="I18" s="1490">
        <v>1232</v>
      </c>
      <c r="J18" s="1490">
        <v>154</v>
      </c>
      <c r="K18" s="1491">
        <f t="shared" si="0"/>
        <v>5542</v>
      </c>
    </row>
    <row r="19" spans="2:12" ht="12.95" customHeight="1" x14ac:dyDescent="0.2">
      <c r="B19" s="1489">
        <v>2002</v>
      </c>
      <c r="C19" s="1490">
        <v>873</v>
      </c>
      <c r="D19" s="1490">
        <v>3431</v>
      </c>
      <c r="E19" s="1490"/>
      <c r="F19" s="1490">
        <v>36</v>
      </c>
      <c r="G19" s="1490">
        <v>7</v>
      </c>
      <c r="H19" s="1490">
        <v>79</v>
      </c>
      <c r="I19" s="1490">
        <v>1166</v>
      </c>
      <c r="J19" s="1490">
        <v>149</v>
      </c>
      <c r="K19" s="1491">
        <f t="shared" si="0"/>
        <v>5741</v>
      </c>
    </row>
    <row r="20" spans="2:12" ht="12.95" customHeight="1" x14ac:dyDescent="0.2">
      <c r="B20" s="1489">
        <v>2003</v>
      </c>
      <c r="C20" s="1490">
        <v>830</v>
      </c>
      <c r="D20" s="1490">
        <v>3966</v>
      </c>
      <c r="E20" s="1490"/>
      <c r="F20" s="1490">
        <v>62</v>
      </c>
      <c r="G20" s="1490">
        <v>7</v>
      </c>
      <c r="H20" s="1490">
        <v>142</v>
      </c>
      <c r="I20" s="1490">
        <v>1035</v>
      </c>
      <c r="J20" s="1490">
        <v>188</v>
      </c>
      <c r="K20" s="1491">
        <f t="shared" si="0"/>
        <v>6230</v>
      </c>
    </row>
    <row r="21" spans="2:12" ht="12.95" customHeight="1" x14ac:dyDescent="0.2">
      <c r="B21" s="1489">
        <v>2004</v>
      </c>
      <c r="C21" s="1490">
        <v>671</v>
      </c>
      <c r="D21" s="1490">
        <v>3689</v>
      </c>
      <c r="E21" s="1492"/>
      <c r="F21" s="1490">
        <v>58</v>
      </c>
      <c r="G21" s="1490">
        <v>9</v>
      </c>
      <c r="H21" s="1490">
        <v>176</v>
      </c>
      <c r="I21" s="1490">
        <v>917</v>
      </c>
      <c r="J21" s="1490">
        <v>200</v>
      </c>
      <c r="K21" s="1491">
        <f t="shared" si="0"/>
        <v>5720</v>
      </c>
    </row>
    <row r="22" spans="2:12" ht="12.95" customHeight="1" x14ac:dyDescent="0.2">
      <c r="B22" s="1489">
        <v>2005</v>
      </c>
      <c r="C22" s="1490">
        <v>588</v>
      </c>
      <c r="D22" s="1490">
        <v>2995</v>
      </c>
      <c r="E22" s="1492"/>
      <c r="F22" s="1490">
        <v>40</v>
      </c>
      <c r="G22" s="1490">
        <v>14</v>
      </c>
      <c r="H22" s="1490">
        <v>304</v>
      </c>
      <c r="I22" s="1490">
        <v>787</v>
      </c>
      <c r="J22" s="1490">
        <v>436</v>
      </c>
      <c r="K22" s="1491">
        <f t="shared" si="0"/>
        <v>5164</v>
      </c>
    </row>
    <row r="23" spans="2:12" ht="12.95" customHeight="1" x14ac:dyDescent="0.2">
      <c r="B23" s="1489">
        <v>2006</v>
      </c>
      <c r="C23" s="1490">
        <v>465</v>
      </c>
      <c r="D23" s="1490">
        <v>2619</v>
      </c>
      <c r="E23" s="1490"/>
      <c r="F23" s="1490">
        <v>37</v>
      </c>
      <c r="G23" s="1490">
        <v>17</v>
      </c>
      <c r="H23" s="1490">
        <v>459</v>
      </c>
      <c r="I23" s="1490">
        <v>732</v>
      </c>
      <c r="J23" s="1490">
        <v>762</v>
      </c>
      <c r="K23" s="1491">
        <f t="shared" si="0"/>
        <v>5091</v>
      </c>
    </row>
    <row r="24" spans="2:12" ht="12.95" customHeight="1" x14ac:dyDescent="0.2">
      <c r="B24" s="1489">
        <v>2007</v>
      </c>
      <c r="C24" s="1493">
        <v>442</v>
      </c>
      <c r="D24" s="1493">
        <v>2371</v>
      </c>
      <c r="E24" s="1490"/>
      <c r="F24" s="1493">
        <v>35</v>
      </c>
      <c r="G24" s="1493">
        <v>32</v>
      </c>
      <c r="H24" s="1493">
        <v>742</v>
      </c>
      <c r="I24" s="1493">
        <v>721</v>
      </c>
      <c r="J24" s="1493">
        <v>1208</v>
      </c>
      <c r="K24" s="1491">
        <f t="shared" si="0"/>
        <v>5551</v>
      </c>
    </row>
    <row r="25" spans="2:12" ht="12.95" customHeight="1" x14ac:dyDescent="0.2">
      <c r="B25" s="1489">
        <v>2008</v>
      </c>
      <c r="C25" s="1493">
        <v>430</v>
      </c>
      <c r="D25" s="1493">
        <v>2175</v>
      </c>
      <c r="E25" s="1490"/>
      <c r="F25" s="1493">
        <v>38</v>
      </c>
      <c r="G25" s="1493">
        <v>46</v>
      </c>
      <c r="H25" s="1493">
        <v>645</v>
      </c>
      <c r="I25" s="1493">
        <v>778</v>
      </c>
      <c r="J25" s="1493">
        <v>1644</v>
      </c>
      <c r="K25" s="1491">
        <f t="shared" si="0"/>
        <v>5756</v>
      </c>
    </row>
    <row r="26" spans="2:12" ht="12.95" customHeight="1" x14ac:dyDescent="0.2">
      <c r="B26" s="1489">
        <v>2009</v>
      </c>
      <c r="C26" s="1494">
        <v>465</v>
      </c>
      <c r="D26" s="1494">
        <v>2468</v>
      </c>
      <c r="E26" s="1490"/>
      <c r="F26" s="1494">
        <v>36</v>
      </c>
      <c r="G26" s="1494">
        <v>63</v>
      </c>
      <c r="H26" s="1494">
        <v>679</v>
      </c>
      <c r="I26" s="1494">
        <v>772</v>
      </c>
      <c r="J26" s="1494">
        <v>1928</v>
      </c>
      <c r="K26" s="1491">
        <f t="shared" si="0"/>
        <v>6411</v>
      </c>
    </row>
    <row r="27" spans="2:12" ht="12.95" customHeight="1" x14ac:dyDescent="0.2">
      <c r="B27" s="1489">
        <v>2010</v>
      </c>
      <c r="C27" s="1495">
        <v>541</v>
      </c>
      <c r="D27" s="1495">
        <v>2647</v>
      </c>
      <c r="E27" s="1490"/>
      <c r="F27" s="1495">
        <v>39</v>
      </c>
      <c r="G27" s="1495">
        <v>58</v>
      </c>
      <c r="H27" s="1495">
        <v>644</v>
      </c>
      <c r="I27" s="1495">
        <v>841</v>
      </c>
      <c r="J27" s="1495">
        <v>2142</v>
      </c>
      <c r="K27" s="1491">
        <f t="shared" si="0"/>
        <v>6912</v>
      </c>
    </row>
    <row r="28" spans="2:12" ht="12.95" customHeight="1" x14ac:dyDescent="0.2">
      <c r="B28" s="1489">
        <v>2011</v>
      </c>
      <c r="C28" s="1496">
        <v>3394</v>
      </c>
      <c r="D28" s="1496">
        <v>2597</v>
      </c>
      <c r="E28" s="1497"/>
      <c r="F28" s="1496">
        <v>45</v>
      </c>
      <c r="G28" s="1496">
        <v>56</v>
      </c>
      <c r="H28" s="1496">
        <v>627</v>
      </c>
      <c r="I28" s="1496">
        <v>910</v>
      </c>
      <c r="J28" s="1496">
        <v>2442</v>
      </c>
      <c r="K28" s="1491">
        <f t="shared" si="0"/>
        <v>10071</v>
      </c>
    </row>
    <row r="29" spans="2:12" ht="12.95" customHeight="1" x14ac:dyDescent="0.2">
      <c r="B29" s="1489">
        <v>2012</v>
      </c>
      <c r="C29" s="1496">
        <v>13392</v>
      </c>
      <c r="D29" s="1496">
        <v>2654</v>
      </c>
      <c r="E29" s="1497"/>
      <c r="F29" s="1496">
        <v>59</v>
      </c>
      <c r="G29" s="1496">
        <v>58</v>
      </c>
      <c r="H29" s="1496">
        <v>675</v>
      </c>
      <c r="I29" s="1496">
        <v>1107</v>
      </c>
      <c r="J29" s="1496">
        <v>2553</v>
      </c>
      <c r="K29" s="1491">
        <f t="shared" si="0"/>
        <v>20498</v>
      </c>
    </row>
    <row r="30" spans="2:12" ht="12.95" customHeight="1" x14ac:dyDescent="0.2">
      <c r="B30" s="1489">
        <v>2013</v>
      </c>
      <c r="C30" s="1496">
        <v>19410</v>
      </c>
      <c r="D30" s="1496">
        <v>2956</v>
      </c>
      <c r="E30" s="1497"/>
      <c r="F30" s="1496">
        <v>81</v>
      </c>
      <c r="G30" s="1496">
        <v>53</v>
      </c>
      <c r="H30" s="1496">
        <v>757</v>
      </c>
      <c r="I30" s="1496">
        <v>1263</v>
      </c>
      <c r="J30" s="1496">
        <v>2639</v>
      </c>
      <c r="K30" s="1491">
        <v>27159</v>
      </c>
    </row>
    <row r="31" spans="2:12" ht="12.95" customHeight="1" x14ac:dyDescent="0.2">
      <c r="B31" s="1489">
        <v>2014</v>
      </c>
      <c r="C31" s="1496">
        <v>25602</v>
      </c>
      <c r="D31" s="1496">
        <v>2931</v>
      </c>
      <c r="E31" s="1497"/>
      <c r="F31" s="1496">
        <v>103</v>
      </c>
      <c r="G31" s="1496">
        <v>51</v>
      </c>
      <c r="H31" s="1496">
        <v>783</v>
      </c>
      <c r="I31" s="1496">
        <v>1495</v>
      </c>
      <c r="J31" s="1496">
        <v>2840</v>
      </c>
      <c r="K31" s="1491">
        <v>33805</v>
      </c>
    </row>
    <row r="32" spans="2:12" ht="12.95" customHeight="1" x14ac:dyDescent="0.2">
      <c r="B32" s="1489">
        <v>2015</v>
      </c>
      <c r="C32" s="1498">
        <v>30945</v>
      </c>
      <c r="D32" s="1498">
        <v>3594</v>
      </c>
      <c r="E32" s="1497"/>
      <c r="F32" s="1498">
        <v>111</v>
      </c>
      <c r="G32" s="1498">
        <v>39</v>
      </c>
      <c r="H32" s="1498">
        <v>721</v>
      </c>
      <c r="I32" s="1498">
        <v>1563</v>
      </c>
      <c r="J32" s="1498">
        <v>2990</v>
      </c>
      <c r="K32" s="1491">
        <f t="shared" si="0"/>
        <v>39963</v>
      </c>
      <c r="L32" s="1499"/>
    </row>
    <row r="33" spans="2:12" ht="12.95" customHeight="1" x14ac:dyDescent="0.2">
      <c r="B33" s="1489">
        <v>2016</v>
      </c>
      <c r="C33" s="1498">
        <v>42029</v>
      </c>
      <c r="D33" s="1498">
        <v>3665</v>
      </c>
      <c r="E33" s="1497"/>
      <c r="F33" s="1498">
        <v>140</v>
      </c>
      <c r="G33" s="1498">
        <v>54</v>
      </c>
      <c r="H33" s="1498">
        <v>697</v>
      </c>
      <c r="I33" s="1498">
        <v>1722</v>
      </c>
      <c r="J33" s="1498">
        <v>3091</v>
      </c>
      <c r="K33" s="1491">
        <f t="shared" si="0"/>
        <v>51398</v>
      </c>
      <c r="L33" s="1499"/>
    </row>
    <row r="34" spans="2:12" ht="12.95" customHeight="1" x14ac:dyDescent="0.2">
      <c r="B34" s="1489">
        <v>2017</v>
      </c>
      <c r="C34" s="1498">
        <v>50627</v>
      </c>
      <c r="D34" s="1498">
        <v>3514</v>
      </c>
      <c r="E34" s="1497"/>
      <c r="F34" s="1498">
        <v>131</v>
      </c>
      <c r="G34" s="1498">
        <v>64</v>
      </c>
      <c r="H34" s="1498">
        <v>702</v>
      </c>
      <c r="I34" s="1498">
        <v>1693</v>
      </c>
      <c r="J34" s="1498">
        <v>3322</v>
      </c>
      <c r="K34" s="1491">
        <f t="shared" si="0"/>
        <v>60053</v>
      </c>
      <c r="L34" s="1499"/>
    </row>
    <row r="35" spans="2:12" ht="12.95" customHeight="1" x14ac:dyDescent="0.2">
      <c r="B35" s="1489">
        <v>2018</v>
      </c>
      <c r="C35" s="1498">
        <v>61067</v>
      </c>
      <c r="D35" s="1498">
        <v>3341</v>
      </c>
      <c r="E35" s="1497"/>
      <c r="F35" s="1498">
        <v>137</v>
      </c>
      <c r="G35" s="1498">
        <v>60</v>
      </c>
      <c r="H35" s="1498">
        <v>681</v>
      </c>
      <c r="I35" s="1498">
        <v>1659</v>
      </c>
      <c r="J35" s="1498">
        <v>3617</v>
      </c>
      <c r="K35" s="1491">
        <f t="shared" si="0"/>
        <v>70562</v>
      </c>
      <c r="L35" s="1499"/>
    </row>
    <row r="36" spans="2:12" ht="12.95" customHeight="1" thickBot="1" x14ac:dyDescent="0.25">
      <c r="B36" s="1500">
        <v>2019</v>
      </c>
      <c r="C36" s="1501">
        <v>78301</v>
      </c>
      <c r="D36" s="1501">
        <v>3178</v>
      </c>
      <c r="E36" s="1502"/>
      <c r="F36" s="1501">
        <v>119</v>
      </c>
      <c r="G36" s="1501">
        <v>61</v>
      </c>
      <c r="H36" s="1501">
        <v>613</v>
      </c>
      <c r="I36" s="1501">
        <v>1591</v>
      </c>
      <c r="J36" s="1501">
        <v>3777</v>
      </c>
      <c r="K36" s="1503">
        <f t="shared" si="0"/>
        <v>87640</v>
      </c>
      <c r="L36" s="1499"/>
    </row>
    <row r="38" spans="2:12" ht="12.95" customHeight="1" x14ac:dyDescent="0.2">
      <c r="B38" s="1488" t="s">
        <v>438</v>
      </c>
    </row>
    <row r="39" spans="2:12" ht="12.75" x14ac:dyDescent="0.2">
      <c r="B39" s="1704" t="s">
        <v>439</v>
      </c>
      <c r="C39" s="1704"/>
      <c r="D39" s="1704"/>
      <c r="E39" s="1704"/>
      <c r="F39" s="1704"/>
      <c r="G39" s="1704"/>
      <c r="H39" s="1704"/>
      <c r="I39" s="1704"/>
      <c r="J39" s="1704"/>
      <c r="K39" s="1704"/>
    </row>
    <row r="40" spans="2:12" ht="12.95" customHeight="1" x14ac:dyDescent="0.2">
      <c r="B40" s="1483" t="s">
        <v>440</v>
      </c>
      <c r="C40" s="1504"/>
      <c r="D40" s="1504"/>
      <c r="E40" s="1504"/>
      <c r="F40" s="1504"/>
      <c r="G40" s="1505"/>
      <c r="H40" s="1504"/>
      <c r="I40" s="1504"/>
      <c r="J40" s="1504"/>
      <c r="K40" s="1504"/>
      <c r="L40" s="1504"/>
    </row>
    <row r="41" spans="2:12" ht="12.95" customHeight="1" x14ac:dyDescent="0.2">
      <c r="B41" s="1488" t="s">
        <v>441</v>
      </c>
      <c r="G41" s="1506"/>
      <c r="L41" s="1504"/>
    </row>
    <row r="42" spans="2:12" ht="54" customHeight="1" x14ac:dyDescent="0.2">
      <c r="B42" s="1704" t="s">
        <v>442</v>
      </c>
      <c r="C42" s="1704"/>
      <c r="D42" s="1704"/>
      <c r="E42" s="1704"/>
      <c r="F42" s="1704"/>
      <c r="G42" s="1704"/>
      <c r="H42" s="1704"/>
      <c r="I42" s="1704"/>
      <c r="J42" s="1704"/>
      <c r="K42" s="1704"/>
      <c r="L42" s="1504"/>
    </row>
    <row r="43" spans="2:12" ht="30" customHeight="1" x14ac:dyDescent="0.2">
      <c r="B43" s="1708" t="s">
        <v>443</v>
      </c>
      <c r="C43" s="1708"/>
      <c r="D43" s="1708"/>
      <c r="E43" s="1708"/>
      <c r="F43" s="1708"/>
      <c r="G43" s="1708"/>
      <c r="H43" s="1708"/>
      <c r="I43" s="1708"/>
      <c r="J43" s="1708"/>
      <c r="K43" s="1708"/>
      <c r="L43" s="1504"/>
    </row>
    <row r="44" spans="2:12" ht="12.95" customHeight="1" x14ac:dyDescent="0.2">
      <c r="B44" s="1704" t="s">
        <v>444</v>
      </c>
      <c r="C44" s="1704"/>
      <c r="D44" s="1704"/>
      <c r="E44" s="1704"/>
      <c r="F44" s="1704"/>
      <c r="G44" s="1704"/>
      <c r="H44" s="1704"/>
      <c r="I44" s="1704"/>
      <c r="J44" s="1704"/>
      <c r="K44" s="1704"/>
      <c r="L44" s="1504"/>
    </row>
    <row r="45" spans="2:12" ht="12.95" customHeight="1" x14ac:dyDescent="0.2">
      <c r="B45" s="1704" t="s">
        <v>445</v>
      </c>
      <c r="C45" s="1704"/>
      <c r="D45" s="1704"/>
      <c r="E45" s="1704"/>
      <c r="F45" s="1704"/>
      <c r="G45" s="1704"/>
      <c r="H45" s="1704"/>
      <c r="I45" s="1704"/>
      <c r="J45" s="1704"/>
      <c r="K45" s="1704"/>
      <c r="L45" s="1504"/>
    </row>
    <row r="46" spans="2:12" ht="12.95" customHeight="1" x14ac:dyDescent="0.2">
      <c r="B46" s="1709" t="s">
        <v>446</v>
      </c>
      <c r="C46" s="1704"/>
      <c r="D46" s="1704"/>
      <c r="E46" s="1704"/>
      <c r="F46" s="1704"/>
      <c r="G46" s="1704"/>
      <c r="H46" s="1704"/>
      <c r="I46" s="1704"/>
      <c r="J46" s="1704"/>
      <c r="K46" s="1704"/>
    </row>
    <row r="47" spans="2:12" ht="12.95" customHeight="1" x14ac:dyDescent="0.2">
      <c r="B47" s="1704" t="s">
        <v>447</v>
      </c>
      <c r="C47" s="1704"/>
      <c r="D47" s="1704"/>
      <c r="E47" s="1704"/>
      <c r="F47" s="1704"/>
      <c r="G47" s="1704"/>
      <c r="H47" s="1704"/>
      <c r="I47" s="1704"/>
      <c r="J47" s="1704"/>
      <c r="K47" s="1704"/>
    </row>
    <row r="48" spans="2:12" ht="12.95" customHeight="1" x14ac:dyDescent="0.2">
      <c r="B48" s="1704" t="s">
        <v>448</v>
      </c>
      <c r="C48" s="1704"/>
      <c r="D48" s="1704"/>
      <c r="E48" s="1704"/>
      <c r="F48" s="1704"/>
      <c r="G48" s="1704"/>
      <c r="H48" s="1704"/>
      <c r="I48" s="1704"/>
      <c r="J48" s="1704"/>
      <c r="K48" s="1704"/>
    </row>
    <row r="49" spans="2:11" ht="12.95" customHeight="1" x14ac:dyDescent="0.2">
      <c r="B49" s="1704" t="s">
        <v>449</v>
      </c>
      <c r="C49" s="1704"/>
      <c r="D49" s="1704"/>
      <c r="E49" s="1704"/>
      <c r="F49" s="1704"/>
      <c r="G49" s="1704"/>
      <c r="H49" s="1704"/>
      <c r="I49" s="1704"/>
      <c r="J49" s="1704"/>
      <c r="K49" s="1704"/>
    </row>
    <row r="50" spans="2:11" ht="12.95" customHeight="1" x14ac:dyDescent="0.2">
      <c r="B50" s="1704" t="s">
        <v>450</v>
      </c>
      <c r="C50" s="1704"/>
      <c r="D50" s="1704"/>
      <c r="E50" s="1704"/>
      <c r="F50" s="1704"/>
      <c r="G50" s="1704"/>
      <c r="H50" s="1704"/>
      <c r="I50" s="1704"/>
      <c r="J50" s="1704"/>
      <c r="K50" s="1704"/>
    </row>
    <row r="52" spans="2:11" ht="12.95" customHeight="1" x14ac:dyDescent="0.2">
      <c r="B52" s="1483" t="s">
        <v>451</v>
      </c>
      <c r="G52" s="1504"/>
      <c r="H52" s="1504"/>
      <c r="I52" s="1504"/>
      <c r="J52" s="1504"/>
      <c r="K52" s="1504"/>
    </row>
    <row r="53" spans="2:11" ht="12.95" customHeight="1" x14ac:dyDescent="0.2">
      <c r="B53" s="1483" t="s">
        <v>452</v>
      </c>
      <c r="G53" s="1504"/>
      <c r="H53" s="1504"/>
      <c r="I53" s="1504"/>
      <c r="J53" s="1504"/>
      <c r="K53" s="1504"/>
    </row>
  </sheetData>
  <mergeCells count="11">
    <mergeCell ref="B46:K46"/>
    <mergeCell ref="B47:K47"/>
    <mergeCell ref="B48:K48"/>
    <mergeCell ref="B49:K49"/>
    <mergeCell ref="B50:K50"/>
    <mergeCell ref="B45:K45"/>
    <mergeCell ref="B7:K7"/>
    <mergeCell ref="B39:K39"/>
    <mergeCell ref="B42:K42"/>
    <mergeCell ref="B43:K43"/>
    <mergeCell ref="B44:K44"/>
  </mergeCells>
  <hyperlinks>
    <hyperlink ref="A6" r:id="rId1" xr:uid="{F3ECCACC-D64E-4357-9638-04429CBAABB9}"/>
    <hyperlink ref="A1" r:id="rId2" xr:uid="{DCF87463-7D64-4A18-B3D9-C4F21F395256}"/>
  </hyperlinks>
  <pageMargins left="0.75" right="0.75" top="1" bottom="1" header="0.5" footer="0.5"/>
  <pageSetup orientation="portrait"/>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VehPrice"/>
  <dimension ref="A1:M52"/>
  <sheetViews>
    <sheetView zoomScale="85" zoomScaleNormal="85" workbookViewId="0">
      <selection activeCell="B8" sqref="B8"/>
    </sheetView>
  </sheetViews>
  <sheetFormatPr defaultRowHeight="12.75" x14ac:dyDescent="0.2"/>
  <cols>
    <col min="2" max="13" width="10.5703125" customWidth="1"/>
  </cols>
  <sheetData>
    <row r="1" spans="1:13" ht="15.75" x14ac:dyDescent="0.25">
      <c r="A1" s="1179" t="s">
        <v>329</v>
      </c>
      <c r="B1" s="1180"/>
      <c r="C1" s="1180"/>
      <c r="D1" s="1180"/>
      <c r="E1" s="1180"/>
      <c r="F1" s="1180"/>
      <c r="G1" s="1180"/>
      <c r="H1" s="1180"/>
      <c r="I1" s="1180"/>
      <c r="J1" s="1180"/>
      <c r="K1" s="1180"/>
      <c r="L1" s="1180"/>
      <c r="M1" s="1180"/>
    </row>
    <row r="2" spans="1:13" ht="15" x14ac:dyDescent="0.25">
      <c r="A2" s="1180"/>
      <c r="B2" s="1180"/>
      <c r="C2" s="1180"/>
      <c r="D2" s="1180"/>
      <c r="E2" s="1180"/>
      <c r="F2" s="1180"/>
      <c r="G2" s="1180"/>
      <c r="H2" s="1180"/>
      <c r="I2" s="1180"/>
      <c r="J2" s="1180"/>
      <c r="K2" s="1180"/>
      <c r="L2" s="1180"/>
      <c r="M2" s="1180"/>
    </row>
    <row r="3" spans="1:13" ht="15.75" thickBot="1" x14ac:dyDescent="0.3">
      <c r="A3" s="1180"/>
      <c r="B3" s="1180"/>
      <c r="C3" s="1180"/>
      <c r="D3" s="1180"/>
      <c r="E3" s="1180"/>
      <c r="F3" s="1180"/>
      <c r="G3" s="1180"/>
      <c r="H3" s="1180"/>
      <c r="I3" s="1180"/>
      <c r="J3" s="1180"/>
      <c r="K3" s="1180"/>
      <c r="L3" s="1180"/>
      <c r="M3" s="1180"/>
    </row>
    <row r="4" spans="1:13" ht="15" x14ac:dyDescent="0.25">
      <c r="A4" s="1181"/>
      <c r="B4" s="1679" t="s">
        <v>265</v>
      </c>
      <c r="C4" s="1680"/>
      <c r="D4" s="1680"/>
      <c r="E4" s="1680"/>
      <c r="F4" s="1680"/>
      <c r="G4" s="1681"/>
      <c r="H4" s="1679" t="s">
        <v>266</v>
      </c>
      <c r="I4" s="1680"/>
      <c r="J4" s="1680"/>
      <c r="K4" s="1680"/>
      <c r="L4" s="1680"/>
      <c r="M4" s="1681"/>
    </row>
    <row r="5" spans="1:13" ht="15" x14ac:dyDescent="0.25">
      <c r="A5" s="1182"/>
      <c r="B5" s="1697" t="s">
        <v>133</v>
      </c>
      <c r="C5" s="1698"/>
      <c r="D5" s="1698"/>
      <c r="E5" s="1698"/>
      <c r="F5" s="1698"/>
      <c r="G5" s="1699"/>
      <c r="H5" s="1697" t="s">
        <v>133</v>
      </c>
      <c r="I5" s="1698"/>
      <c r="J5" s="1698"/>
      <c r="K5" s="1698"/>
      <c r="L5" s="1698"/>
      <c r="M5" s="1699"/>
    </row>
    <row r="6" spans="1:13" ht="15" x14ac:dyDescent="0.25">
      <c r="A6" s="1182"/>
      <c r="B6" s="1183" t="s">
        <v>72</v>
      </c>
      <c r="C6" s="1184" t="s">
        <v>68</v>
      </c>
      <c r="D6" s="1184" t="s">
        <v>69</v>
      </c>
      <c r="E6" s="1184" t="s">
        <v>70</v>
      </c>
      <c r="F6" s="1184" t="s">
        <v>178</v>
      </c>
      <c r="G6" s="1185" t="s">
        <v>179</v>
      </c>
      <c r="H6" s="1183" t="s">
        <v>72</v>
      </c>
      <c r="I6" s="1184" t="s">
        <v>68</v>
      </c>
      <c r="J6" s="1184" t="s">
        <v>69</v>
      </c>
      <c r="K6" s="1184" t="s">
        <v>70</v>
      </c>
      <c r="L6" s="1184" t="s">
        <v>178</v>
      </c>
      <c r="M6" s="1185" t="s">
        <v>179</v>
      </c>
    </row>
    <row r="7" spans="1:13" ht="45" x14ac:dyDescent="0.2">
      <c r="A7" s="1186"/>
      <c r="B7" s="1187" t="str">
        <f t="shared" ref="B7:G7" si="0">INDEX(TECH_OPT_DESC_Cls1,MATCH(B6,TECH_OPT_ROWS_Cls1,0))</f>
        <v>Conventional gasoline</v>
      </c>
      <c r="C7" s="1188" t="str">
        <f t="shared" si="0"/>
        <v>not used</v>
      </c>
      <c r="D7" s="1188" t="str">
        <f t="shared" si="0"/>
        <v>not used</v>
      </c>
      <c r="E7" s="1188" t="str">
        <f t="shared" si="0"/>
        <v>not used</v>
      </c>
      <c r="F7" s="1188" t="str">
        <f t="shared" si="0"/>
        <v>not used</v>
      </c>
      <c r="G7" s="1189" t="str">
        <f t="shared" si="0"/>
        <v>not used</v>
      </c>
      <c r="H7" s="1187" t="str">
        <f t="shared" ref="H7:M7" si="1">INDEX(TECH_OPT_DESC_Cls2,MATCH(H6,TECH_OPT_ROWS_Cls2,0))</f>
        <v>Conventional Diesel ICE</v>
      </c>
      <c r="I7" s="1188" t="str">
        <f t="shared" si="1"/>
        <v>Adv Conv</v>
      </c>
      <c r="J7" s="1188" t="str">
        <f t="shared" si="1"/>
        <v>HEV</v>
      </c>
      <c r="K7" s="1188" t="str">
        <f t="shared" si="1"/>
        <v>BEV</v>
      </c>
      <c r="L7" s="1188" t="str">
        <f t="shared" si="1"/>
        <v>FCEV</v>
      </c>
      <c r="M7" s="1189" t="str">
        <f t="shared" si="1"/>
        <v>PHEV</v>
      </c>
    </row>
    <row r="8" spans="1:13" ht="15.75" thickBot="1" x14ac:dyDescent="0.3">
      <c r="A8" s="1190" t="s">
        <v>3</v>
      </c>
      <c r="B8" s="1191" t="str">
        <f t="shared" ref="B8:G8" si="2">INDEX(TECH_OPT_FUEL1_Cls1,MATCH(B6,TECH_OPT_ROWS_Cls1,0))</f>
        <v>Diesel</v>
      </c>
      <c r="C8" s="1192" t="str">
        <f t="shared" si="2"/>
        <v>Diesel</v>
      </c>
      <c r="D8" s="1192" t="str">
        <f t="shared" si="2"/>
        <v>Diesel</v>
      </c>
      <c r="E8" s="1192" t="str">
        <f t="shared" si="2"/>
        <v>Diesel</v>
      </c>
      <c r="F8" s="1192" t="str">
        <f t="shared" si="2"/>
        <v>Electricity</v>
      </c>
      <c r="G8" s="1193" t="str">
        <f t="shared" si="2"/>
        <v>Hydrogen</v>
      </c>
      <c r="H8" s="1194" t="str">
        <f t="shared" ref="H8:M8" si="3">INDEX(TECH_OPT_FUEL1_Cls2,MATCH(H6,TECH_OPT_ROWS_Cls2,0))</f>
        <v>Diesel</v>
      </c>
      <c r="I8" s="1192" t="str">
        <f t="shared" si="3"/>
        <v>Diesel</v>
      </c>
      <c r="J8" s="1192" t="str">
        <f t="shared" si="3"/>
        <v>Diesel</v>
      </c>
      <c r="K8" s="1192" t="str">
        <f t="shared" si="3"/>
        <v>Electricity</v>
      </c>
      <c r="L8" s="1192" t="str">
        <f t="shared" si="3"/>
        <v>Hydrogen</v>
      </c>
      <c r="M8" s="1193" t="str">
        <f t="shared" si="3"/>
        <v>Diesel</v>
      </c>
    </row>
    <row r="9" spans="1:13" ht="15.75" thickTop="1" x14ac:dyDescent="0.25">
      <c r="A9" s="1195">
        <v>2007</v>
      </c>
      <c r="B9" s="1219">
        <f t="shared" ref="B9:B52" si="4">INDEX(COST_Cls1,MATCH($A9,Years,0),MATCH(B$6,TECHOPTS_Cls1,0))</f>
        <v>70000</v>
      </c>
      <c r="C9" s="1220">
        <f t="shared" ref="C9:G18" si="5">$B9+INDEX(COST_Cls1,MATCH($A9,Years,0),MATCH(C$6,TECHOPTS_Cls1,0))</f>
        <v>1070000</v>
      </c>
      <c r="D9" s="1220">
        <f t="shared" si="5"/>
        <v>1070000</v>
      </c>
      <c r="E9" s="1220">
        <f t="shared" si="5"/>
        <v>1070000</v>
      </c>
      <c r="F9" s="1220">
        <f t="shared" si="5"/>
        <v>1070000</v>
      </c>
      <c r="G9" s="1221">
        <f t="shared" si="5"/>
        <v>1070000</v>
      </c>
      <c r="H9" s="1219">
        <f t="shared" ref="H9:H52" si="6">INDEX(COST_Cls2,MATCH($A9,Years,0),MATCH(H$6,TECHOPTS_Cls2,0))</f>
        <v>72485</v>
      </c>
      <c r="I9" s="1220">
        <f t="shared" ref="I9:M18" si="7">$B9+INDEX(COST_Cls2,MATCH($A9,Years,0),MATCH(I$6,TECHOPTS_Cls2,0))</f>
        <v>1070000</v>
      </c>
      <c r="J9" s="1220">
        <f t="shared" si="7"/>
        <v>1070000</v>
      </c>
      <c r="K9" s="1220">
        <f t="shared" si="7"/>
        <v>1070000</v>
      </c>
      <c r="L9" s="1220">
        <f t="shared" si="7"/>
        <v>1070000</v>
      </c>
      <c r="M9" s="1233">
        <f t="shared" si="7"/>
        <v>1070000</v>
      </c>
    </row>
    <row r="10" spans="1:13" ht="15" x14ac:dyDescent="0.25">
      <c r="A10" s="1195">
        <v>2008</v>
      </c>
      <c r="B10" s="1219">
        <f t="shared" si="4"/>
        <v>70000</v>
      </c>
      <c r="C10" s="1222">
        <f t="shared" si="5"/>
        <v>1070000</v>
      </c>
      <c r="D10" s="1222">
        <f t="shared" si="5"/>
        <v>1070000</v>
      </c>
      <c r="E10" s="1222">
        <f t="shared" si="5"/>
        <v>1070000</v>
      </c>
      <c r="F10" s="1222">
        <f t="shared" si="5"/>
        <v>1070000</v>
      </c>
      <c r="G10" s="1223">
        <f t="shared" si="5"/>
        <v>1070000</v>
      </c>
      <c r="H10" s="1219">
        <f t="shared" si="6"/>
        <v>72485</v>
      </c>
      <c r="I10" s="1222">
        <f t="shared" si="7"/>
        <v>1070000</v>
      </c>
      <c r="J10" s="1222">
        <f t="shared" si="7"/>
        <v>1070000</v>
      </c>
      <c r="K10" s="1222">
        <f t="shared" si="7"/>
        <v>1070000</v>
      </c>
      <c r="L10" s="1222">
        <f t="shared" si="7"/>
        <v>1070000</v>
      </c>
      <c r="M10" s="1223">
        <f t="shared" si="7"/>
        <v>1070000</v>
      </c>
    </row>
    <row r="11" spans="1:13" ht="15" x14ac:dyDescent="0.25">
      <c r="A11" s="1195">
        <v>2009</v>
      </c>
      <c r="B11" s="1219">
        <f t="shared" si="4"/>
        <v>70000</v>
      </c>
      <c r="C11" s="1222">
        <f t="shared" si="5"/>
        <v>1070000</v>
      </c>
      <c r="D11" s="1222">
        <f t="shared" si="5"/>
        <v>1070000</v>
      </c>
      <c r="E11" s="1222">
        <f t="shared" si="5"/>
        <v>1070000</v>
      </c>
      <c r="F11" s="1222">
        <f t="shared" si="5"/>
        <v>1070000</v>
      </c>
      <c r="G11" s="1223">
        <f t="shared" si="5"/>
        <v>1070000</v>
      </c>
      <c r="H11" s="1219">
        <f t="shared" si="6"/>
        <v>72485</v>
      </c>
      <c r="I11" s="1222">
        <f t="shared" si="7"/>
        <v>1070000</v>
      </c>
      <c r="J11" s="1222">
        <f t="shared" si="7"/>
        <v>1070000</v>
      </c>
      <c r="K11" s="1222">
        <f t="shared" si="7"/>
        <v>1070000</v>
      </c>
      <c r="L11" s="1222">
        <f t="shared" si="7"/>
        <v>1070000</v>
      </c>
      <c r="M11" s="1223">
        <f t="shared" si="7"/>
        <v>1070000</v>
      </c>
    </row>
    <row r="12" spans="1:13" ht="15" x14ac:dyDescent="0.25">
      <c r="A12" s="1201">
        <v>2010</v>
      </c>
      <c r="B12" s="1224">
        <f t="shared" si="4"/>
        <v>70000</v>
      </c>
      <c r="C12" s="1225">
        <f t="shared" si="5"/>
        <v>1069999</v>
      </c>
      <c r="D12" s="1225">
        <f t="shared" si="5"/>
        <v>1069999</v>
      </c>
      <c r="E12" s="1225">
        <f t="shared" si="5"/>
        <v>1069999</v>
      </c>
      <c r="F12" s="1225">
        <f t="shared" si="5"/>
        <v>1069999</v>
      </c>
      <c r="G12" s="1226">
        <f t="shared" si="5"/>
        <v>1069999</v>
      </c>
      <c r="H12" s="1224">
        <f t="shared" si="6"/>
        <v>72485</v>
      </c>
      <c r="I12" s="1225">
        <f t="shared" si="7"/>
        <v>1070000</v>
      </c>
      <c r="J12" s="1225">
        <f t="shared" si="7"/>
        <v>1070000</v>
      </c>
      <c r="K12" s="1225">
        <f t="shared" si="7"/>
        <v>1070000</v>
      </c>
      <c r="L12" s="1225">
        <f t="shared" si="7"/>
        <v>1070000</v>
      </c>
      <c r="M12" s="1226">
        <f t="shared" si="7"/>
        <v>1070000</v>
      </c>
    </row>
    <row r="13" spans="1:13" ht="15" x14ac:dyDescent="0.25">
      <c r="A13" s="1195">
        <v>2011</v>
      </c>
      <c r="B13" s="1227">
        <f t="shared" si="4"/>
        <v>70000</v>
      </c>
      <c r="C13" s="1228">
        <f t="shared" si="5"/>
        <v>1069999</v>
      </c>
      <c r="D13" s="1228">
        <f t="shared" si="5"/>
        <v>1069999</v>
      </c>
      <c r="E13" s="1228">
        <f t="shared" si="5"/>
        <v>1069999</v>
      </c>
      <c r="F13" s="1228">
        <f t="shared" si="5"/>
        <v>1069999</v>
      </c>
      <c r="G13" s="1229">
        <f t="shared" si="5"/>
        <v>1069999</v>
      </c>
      <c r="H13" s="1227">
        <f t="shared" si="6"/>
        <v>72485</v>
      </c>
      <c r="I13" s="1228">
        <f t="shared" si="7"/>
        <v>1070000</v>
      </c>
      <c r="J13" s="1228">
        <f t="shared" si="7"/>
        <v>1070000</v>
      </c>
      <c r="K13" s="1228">
        <f t="shared" si="7"/>
        <v>1070000</v>
      </c>
      <c r="L13" s="1228">
        <f t="shared" si="7"/>
        <v>1070000</v>
      </c>
      <c r="M13" s="1229">
        <f t="shared" si="7"/>
        <v>1070000</v>
      </c>
    </row>
    <row r="14" spans="1:13" ht="15" x14ac:dyDescent="0.25">
      <c r="A14" s="1195">
        <v>2012</v>
      </c>
      <c r="B14" s="1219">
        <f t="shared" si="4"/>
        <v>70000</v>
      </c>
      <c r="C14" s="1222">
        <f t="shared" si="5"/>
        <v>1069999</v>
      </c>
      <c r="D14" s="1222">
        <f t="shared" si="5"/>
        <v>1069999</v>
      </c>
      <c r="E14" s="1222">
        <f t="shared" si="5"/>
        <v>1069999</v>
      </c>
      <c r="F14" s="1222">
        <f t="shared" si="5"/>
        <v>1069999</v>
      </c>
      <c r="G14" s="1223">
        <f t="shared" si="5"/>
        <v>1069999</v>
      </c>
      <c r="H14" s="1219">
        <f t="shared" si="6"/>
        <v>72485</v>
      </c>
      <c r="I14" s="1222">
        <f t="shared" si="7"/>
        <v>1070000</v>
      </c>
      <c r="J14" s="1222">
        <f t="shared" si="7"/>
        <v>1070000</v>
      </c>
      <c r="K14" s="1222">
        <f t="shared" si="7"/>
        <v>1070000</v>
      </c>
      <c r="L14" s="1222">
        <f t="shared" si="7"/>
        <v>1070000</v>
      </c>
      <c r="M14" s="1223">
        <f t="shared" si="7"/>
        <v>1070000</v>
      </c>
    </row>
    <row r="15" spans="1:13" ht="15" x14ac:dyDescent="0.25">
      <c r="A15" s="1195">
        <v>2013</v>
      </c>
      <c r="B15" s="1219">
        <f t="shared" si="4"/>
        <v>70000</v>
      </c>
      <c r="C15" s="1222">
        <f t="shared" si="5"/>
        <v>1069999</v>
      </c>
      <c r="D15" s="1222">
        <f t="shared" si="5"/>
        <v>1069999</v>
      </c>
      <c r="E15" s="1222">
        <f t="shared" si="5"/>
        <v>1069999</v>
      </c>
      <c r="F15" s="1222">
        <f t="shared" si="5"/>
        <v>1069999</v>
      </c>
      <c r="G15" s="1223">
        <f t="shared" si="5"/>
        <v>1069999</v>
      </c>
      <c r="H15" s="1219">
        <f t="shared" si="6"/>
        <v>72485</v>
      </c>
      <c r="I15" s="1222">
        <f t="shared" si="7"/>
        <v>1070000</v>
      </c>
      <c r="J15" s="1222">
        <f t="shared" si="7"/>
        <v>1070000</v>
      </c>
      <c r="K15" s="1222">
        <f t="shared" si="7"/>
        <v>1070000</v>
      </c>
      <c r="L15" s="1222">
        <f t="shared" si="7"/>
        <v>1070000</v>
      </c>
      <c r="M15" s="1223">
        <f t="shared" si="7"/>
        <v>1070000</v>
      </c>
    </row>
    <row r="16" spans="1:13" ht="15" x14ac:dyDescent="0.25">
      <c r="A16" s="1195">
        <v>2014</v>
      </c>
      <c r="B16" s="1219">
        <f t="shared" si="4"/>
        <v>70000</v>
      </c>
      <c r="C16" s="1222">
        <f t="shared" si="5"/>
        <v>1069999</v>
      </c>
      <c r="D16" s="1222">
        <f t="shared" si="5"/>
        <v>1069999</v>
      </c>
      <c r="E16" s="1222">
        <f t="shared" si="5"/>
        <v>1069999</v>
      </c>
      <c r="F16" s="1222">
        <f t="shared" si="5"/>
        <v>1069999</v>
      </c>
      <c r="G16" s="1223">
        <f t="shared" si="5"/>
        <v>1069999</v>
      </c>
      <c r="H16" s="1219">
        <f t="shared" si="6"/>
        <v>72485</v>
      </c>
      <c r="I16" s="1222">
        <f t="shared" si="7"/>
        <v>1070000</v>
      </c>
      <c r="J16" s="1222">
        <f t="shared" si="7"/>
        <v>1070000</v>
      </c>
      <c r="K16" s="1222">
        <f t="shared" si="7"/>
        <v>1070000</v>
      </c>
      <c r="L16" s="1222">
        <f t="shared" si="7"/>
        <v>1070000</v>
      </c>
      <c r="M16" s="1223">
        <f t="shared" si="7"/>
        <v>1070000</v>
      </c>
    </row>
    <row r="17" spans="1:13" ht="15" x14ac:dyDescent="0.25">
      <c r="A17" s="1201">
        <v>2015</v>
      </c>
      <c r="B17" s="1224">
        <f t="shared" si="4"/>
        <v>70000</v>
      </c>
      <c r="C17" s="1225">
        <f t="shared" si="5"/>
        <v>1069999</v>
      </c>
      <c r="D17" s="1225">
        <f t="shared" si="5"/>
        <v>1069999</v>
      </c>
      <c r="E17" s="1225">
        <f t="shared" si="5"/>
        <v>1069999</v>
      </c>
      <c r="F17" s="1225">
        <f t="shared" si="5"/>
        <v>1069999</v>
      </c>
      <c r="G17" s="1226">
        <f t="shared" si="5"/>
        <v>1069999</v>
      </c>
      <c r="H17" s="1224">
        <f t="shared" si="6"/>
        <v>72485</v>
      </c>
      <c r="I17" s="1225">
        <f t="shared" si="7"/>
        <v>1070000</v>
      </c>
      <c r="J17" s="1225">
        <f t="shared" si="7"/>
        <v>1070000</v>
      </c>
      <c r="K17" s="1225">
        <f t="shared" si="7"/>
        <v>1070000</v>
      </c>
      <c r="L17" s="1225">
        <f t="shared" si="7"/>
        <v>1070000</v>
      </c>
      <c r="M17" s="1226">
        <f t="shared" si="7"/>
        <v>1070000</v>
      </c>
    </row>
    <row r="18" spans="1:13" ht="15" x14ac:dyDescent="0.25">
      <c r="A18" s="1195">
        <v>2016</v>
      </c>
      <c r="B18" s="1227">
        <f t="shared" si="4"/>
        <v>70000</v>
      </c>
      <c r="C18" s="1228">
        <f t="shared" si="5"/>
        <v>1069999</v>
      </c>
      <c r="D18" s="1228">
        <f t="shared" si="5"/>
        <v>1069999</v>
      </c>
      <c r="E18" s="1228">
        <f t="shared" si="5"/>
        <v>1069999</v>
      </c>
      <c r="F18" s="1228">
        <f t="shared" si="5"/>
        <v>1069999</v>
      </c>
      <c r="G18" s="1229">
        <f t="shared" si="5"/>
        <v>1069999</v>
      </c>
      <c r="H18" s="1227">
        <f t="shared" si="6"/>
        <v>72485</v>
      </c>
      <c r="I18" s="1228">
        <f t="shared" si="7"/>
        <v>1070000</v>
      </c>
      <c r="J18" s="1228">
        <f t="shared" si="7"/>
        <v>1070000</v>
      </c>
      <c r="K18" s="1228">
        <f t="shared" si="7"/>
        <v>1070000</v>
      </c>
      <c r="L18" s="1228">
        <f t="shared" si="7"/>
        <v>1070000</v>
      </c>
      <c r="M18" s="1229">
        <f t="shared" si="7"/>
        <v>1070000</v>
      </c>
    </row>
    <row r="19" spans="1:13" ht="15" x14ac:dyDescent="0.25">
      <c r="A19" s="1195">
        <v>2017</v>
      </c>
      <c r="B19" s="1219">
        <f t="shared" si="4"/>
        <v>70000</v>
      </c>
      <c r="C19" s="1222">
        <f t="shared" ref="C19:G28" si="8">$B19+INDEX(COST_Cls1,MATCH($A19,Years,0),MATCH(C$6,TECHOPTS_Cls1,0))</f>
        <v>1069999</v>
      </c>
      <c r="D19" s="1222">
        <f t="shared" si="8"/>
        <v>1069999</v>
      </c>
      <c r="E19" s="1222">
        <f t="shared" si="8"/>
        <v>1069999</v>
      </c>
      <c r="F19" s="1222">
        <f t="shared" si="8"/>
        <v>1069999</v>
      </c>
      <c r="G19" s="1223">
        <f t="shared" si="8"/>
        <v>1069999</v>
      </c>
      <c r="H19" s="1219">
        <f t="shared" si="6"/>
        <v>72485</v>
      </c>
      <c r="I19" s="1222">
        <f t="shared" ref="I19:M28" si="9">$B19+INDEX(COST_Cls2,MATCH($A19,Years,0),MATCH(I$6,TECHOPTS_Cls2,0))</f>
        <v>1070000</v>
      </c>
      <c r="J19" s="1222">
        <f t="shared" si="9"/>
        <v>1070000</v>
      </c>
      <c r="K19" s="1222">
        <f t="shared" si="9"/>
        <v>1070000</v>
      </c>
      <c r="L19" s="1222">
        <f t="shared" si="9"/>
        <v>1070000</v>
      </c>
      <c r="M19" s="1223">
        <f t="shared" si="9"/>
        <v>1070000</v>
      </c>
    </row>
    <row r="20" spans="1:13" ht="15" x14ac:dyDescent="0.25">
      <c r="A20" s="1195">
        <v>2018</v>
      </c>
      <c r="B20" s="1219">
        <f t="shared" si="4"/>
        <v>70000</v>
      </c>
      <c r="C20" s="1222">
        <f t="shared" si="8"/>
        <v>1069999</v>
      </c>
      <c r="D20" s="1222">
        <f t="shared" si="8"/>
        <v>1069999</v>
      </c>
      <c r="E20" s="1222">
        <f t="shared" si="8"/>
        <v>1069999</v>
      </c>
      <c r="F20" s="1222">
        <f t="shared" si="8"/>
        <v>1069999</v>
      </c>
      <c r="G20" s="1223">
        <f t="shared" si="8"/>
        <v>1069999</v>
      </c>
      <c r="H20" s="1219">
        <f t="shared" si="6"/>
        <v>72485</v>
      </c>
      <c r="I20" s="1222">
        <f t="shared" si="9"/>
        <v>1070000</v>
      </c>
      <c r="J20" s="1222">
        <f t="shared" si="9"/>
        <v>1070000</v>
      </c>
      <c r="K20" s="1222">
        <f t="shared" si="9"/>
        <v>1070000</v>
      </c>
      <c r="L20" s="1222">
        <f t="shared" si="9"/>
        <v>1070000</v>
      </c>
      <c r="M20" s="1223">
        <f t="shared" si="9"/>
        <v>1070000</v>
      </c>
    </row>
    <row r="21" spans="1:13" ht="15" x14ac:dyDescent="0.25">
      <c r="A21" s="1195">
        <v>2019</v>
      </c>
      <c r="B21" s="1219">
        <f t="shared" si="4"/>
        <v>70000</v>
      </c>
      <c r="C21" s="1222">
        <f t="shared" si="8"/>
        <v>1069999</v>
      </c>
      <c r="D21" s="1222">
        <f t="shared" si="8"/>
        <v>1069999</v>
      </c>
      <c r="E21" s="1222">
        <f t="shared" si="8"/>
        <v>1069999</v>
      </c>
      <c r="F21" s="1222">
        <f t="shared" si="8"/>
        <v>1069999</v>
      </c>
      <c r="G21" s="1223">
        <f t="shared" si="8"/>
        <v>1069999</v>
      </c>
      <c r="H21" s="1219">
        <f t="shared" si="6"/>
        <v>72485</v>
      </c>
      <c r="I21" s="1222">
        <f t="shared" si="9"/>
        <v>1070000</v>
      </c>
      <c r="J21" s="1222">
        <f t="shared" si="9"/>
        <v>1070000</v>
      </c>
      <c r="K21" s="1222">
        <f t="shared" si="9"/>
        <v>1070000</v>
      </c>
      <c r="L21" s="1222">
        <f t="shared" si="9"/>
        <v>1070000</v>
      </c>
      <c r="M21" s="1223">
        <f t="shared" si="9"/>
        <v>1070000</v>
      </c>
    </row>
    <row r="22" spans="1:13" ht="15" x14ac:dyDescent="0.25">
      <c r="A22" s="1201">
        <v>2020</v>
      </c>
      <c r="B22" s="1224">
        <f t="shared" si="4"/>
        <v>70000</v>
      </c>
      <c r="C22" s="1225">
        <f t="shared" si="8"/>
        <v>1069999</v>
      </c>
      <c r="D22" s="1225">
        <f t="shared" si="8"/>
        <v>1069999</v>
      </c>
      <c r="E22" s="1225">
        <f t="shared" si="8"/>
        <v>1069999</v>
      </c>
      <c r="F22" s="1225">
        <f t="shared" si="8"/>
        <v>1069999</v>
      </c>
      <c r="G22" s="1226">
        <f t="shared" si="8"/>
        <v>1069999</v>
      </c>
      <c r="H22" s="1224">
        <f t="shared" si="6"/>
        <v>72485</v>
      </c>
      <c r="I22" s="1225">
        <f t="shared" si="9"/>
        <v>1070000</v>
      </c>
      <c r="J22" s="1225">
        <f t="shared" si="9"/>
        <v>1070000</v>
      </c>
      <c r="K22" s="1225">
        <f t="shared" si="9"/>
        <v>1070000</v>
      </c>
      <c r="L22" s="1225">
        <f t="shared" si="9"/>
        <v>1070000</v>
      </c>
      <c r="M22" s="1226">
        <f t="shared" si="9"/>
        <v>1070000</v>
      </c>
    </row>
    <row r="23" spans="1:13" ht="15" x14ac:dyDescent="0.25">
      <c r="A23" s="1195">
        <v>2021</v>
      </c>
      <c r="B23" s="1227">
        <f t="shared" si="4"/>
        <v>70000</v>
      </c>
      <c r="C23" s="1228">
        <f t="shared" si="8"/>
        <v>1069999</v>
      </c>
      <c r="D23" s="1228">
        <f t="shared" si="8"/>
        <v>1069999</v>
      </c>
      <c r="E23" s="1228">
        <f t="shared" si="8"/>
        <v>1069999</v>
      </c>
      <c r="F23" s="1228">
        <f t="shared" si="8"/>
        <v>1069999</v>
      </c>
      <c r="G23" s="1229">
        <f t="shared" si="8"/>
        <v>1069999</v>
      </c>
      <c r="H23" s="1227">
        <f t="shared" si="6"/>
        <v>72485</v>
      </c>
      <c r="I23" s="1228">
        <f t="shared" si="9"/>
        <v>70001</v>
      </c>
      <c r="J23" s="1228">
        <f t="shared" si="9"/>
        <v>79418</v>
      </c>
      <c r="K23" s="1228">
        <f t="shared" si="9"/>
        <v>206424</v>
      </c>
      <c r="L23" s="1228">
        <f t="shared" si="9"/>
        <v>135531</v>
      </c>
      <c r="M23" s="1229">
        <f t="shared" si="9"/>
        <v>165332</v>
      </c>
    </row>
    <row r="24" spans="1:13" ht="15" x14ac:dyDescent="0.25">
      <c r="A24" s="1195">
        <v>2022</v>
      </c>
      <c r="B24" s="1219">
        <f t="shared" si="4"/>
        <v>70000</v>
      </c>
      <c r="C24" s="1222">
        <f t="shared" si="8"/>
        <v>1069999</v>
      </c>
      <c r="D24" s="1222">
        <f t="shared" si="8"/>
        <v>1069999</v>
      </c>
      <c r="E24" s="1222">
        <f t="shared" si="8"/>
        <v>1069999</v>
      </c>
      <c r="F24" s="1222">
        <f t="shared" si="8"/>
        <v>1069999</v>
      </c>
      <c r="G24" s="1223">
        <f t="shared" si="8"/>
        <v>1069999</v>
      </c>
      <c r="H24" s="1219">
        <f t="shared" si="6"/>
        <v>72620.744633328519</v>
      </c>
      <c r="I24" s="1222">
        <f t="shared" si="9"/>
        <v>70070.552835889481</v>
      </c>
      <c r="J24" s="1222">
        <f t="shared" si="9"/>
        <v>79114.105643564078</v>
      </c>
      <c r="K24" s="1222">
        <f t="shared" si="9"/>
        <v>200472.26874539544</v>
      </c>
      <c r="L24" s="1222">
        <f t="shared" si="9"/>
        <v>133074.93332056774</v>
      </c>
      <c r="M24" s="1223">
        <f t="shared" si="9"/>
        <v>160823.44126755721</v>
      </c>
    </row>
    <row r="25" spans="1:13" ht="15" x14ac:dyDescent="0.25">
      <c r="A25" s="1195">
        <v>2023</v>
      </c>
      <c r="B25" s="1219">
        <f t="shared" si="4"/>
        <v>70000</v>
      </c>
      <c r="C25" s="1222">
        <f t="shared" si="8"/>
        <v>1069999</v>
      </c>
      <c r="D25" s="1222">
        <f t="shared" si="8"/>
        <v>1069999</v>
      </c>
      <c r="E25" s="1222">
        <f t="shared" si="8"/>
        <v>1069999</v>
      </c>
      <c r="F25" s="1222">
        <f t="shared" si="8"/>
        <v>1069999</v>
      </c>
      <c r="G25" s="1223">
        <f t="shared" si="8"/>
        <v>1069999</v>
      </c>
      <c r="H25" s="1219">
        <f t="shared" si="6"/>
        <v>72796.268589987303</v>
      </c>
      <c r="I25" s="1222">
        <f t="shared" si="9"/>
        <v>70141.633239092873</v>
      </c>
      <c r="J25" s="1222">
        <f t="shared" si="9"/>
        <v>78807.938880536443</v>
      </c>
      <c r="K25" s="1222">
        <f t="shared" si="9"/>
        <v>194476.03270467505</v>
      </c>
      <c r="L25" s="1222">
        <f t="shared" si="9"/>
        <v>130600.50110721288</v>
      </c>
      <c r="M25" s="1223">
        <f t="shared" si="9"/>
        <v>156281.16924506566</v>
      </c>
    </row>
    <row r="26" spans="1:13" ht="15" x14ac:dyDescent="0.25">
      <c r="A26" s="1195">
        <v>2024</v>
      </c>
      <c r="B26" s="1219">
        <f t="shared" si="4"/>
        <v>70000</v>
      </c>
      <c r="C26" s="1222">
        <f t="shared" si="8"/>
        <v>1069999</v>
      </c>
      <c r="D26" s="1222">
        <f t="shared" si="8"/>
        <v>1069999</v>
      </c>
      <c r="E26" s="1222">
        <f t="shared" si="8"/>
        <v>1069999</v>
      </c>
      <c r="F26" s="1222">
        <f t="shared" si="8"/>
        <v>1069999</v>
      </c>
      <c r="G26" s="1223">
        <f t="shared" si="8"/>
        <v>1069999</v>
      </c>
      <c r="H26" s="1219">
        <f t="shared" si="6"/>
        <v>73008.659892584197</v>
      </c>
      <c r="I26" s="1222">
        <f t="shared" si="9"/>
        <v>70251.948283114645</v>
      </c>
      <c r="J26" s="1222">
        <f t="shared" si="9"/>
        <v>78332.775566609344</v>
      </c>
      <c r="K26" s="1222">
        <f t="shared" si="9"/>
        <v>185170.02130088082</v>
      </c>
      <c r="L26" s="1222">
        <f t="shared" si="9"/>
        <v>126760.24294542288</v>
      </c>
      <c r="M26" s="1223">
        <f t="shared" si="9"/>
        <v>149231.67436971673</v>
      </c>
    </row>
    <row r="27" spans="1:13" ht="15" x14ac:dyDescent="0.25">
      <c r="A27" s="1201">
        <v>2025</v>
      </c>
      <c r="B27" s="1224">
        <f t="shared" si="4"/>
        <v>70000</v>
      </c>
      <c r="C27" s="1225">
        <f t="shared" si="8"/>
        <v>1069999</v>
      </c>
      <c r="D27" s="1225">
        <f t="shared" si="8"/>
        <v>1069999</v>
      </c>
      <c r="E27" s="1225">
        <f t="shared" si="8"/>
        <v>1069999</v>
      </c>
      <c r="F27" s="1225">
        <f t="shared" si="8"/>
        <v>1069999</v>
      </c>
      <c r="G27" s="1226">
        <f t="shared" si="8"/>
        <v>1069999</v>
      </c>
      <c r="H27" s="1224">
        <f t="shared" si="6"/>
        <v>73248.90154129338</v>
      </c>
      <c r="I27" s="1225">
        <f t="shared" si="9"/>
        <v>70380.873667459527</v>
      </c>
      <c r="J27" s="1225">
        <f t="shared" si="9"/>
        <v>77777.451372906959</v>
      </c>
      <c r="K27" s="1225">
        <f t="shared" si="9"/>
        <v>174294.06954297662</v>
      </c>
      <c r="L27" s="1225">
        <f t="shared" si="9"/>
        <v>122272.12653407862</v>
      </c>
      <c r="M27" s="1226">
        <f t="shared" si="9"/>
        <v>140992.91741411824</v>
      </c>
    </row>
    <row r="28" spans="1:13" ht="15" x14ac:dyDescent="0.25">
      <c r="A28" s="1195">
        <v>2026</v>
      </c>
      <c r="B28" s="1227">
        <f t="shared" si="4"/>
        <v>70000</v>
      </c>
      <c r="C28" s="1228">
        <f t="shared" si="8"/>
        <v>1069999</v>
      </c>
      <c r="D28" s="1228">
        <f t="shared" si="8"/>
        <v>1069999</v>
      </c>
      <c r="E28" s="1228">
        <f t="shared" si="8"/>
        <v>1069999</v>
      </c>
      <c r="F28" s="1228">
        <f t="shared" si="8"/>
        <v>1069999</v>
      </c>
      <c r="G28" s="1229">
        <f t="shared" si="8"/>
        <v>1069999</v>
      </c>
      <c r="H28" s="1227">
        <f t="shared" si="6"/>
        <v>73485.218560996014</v>
      </c>
      <c r="I28" s="1228">
        <f t="shared" si="9"/>
        <v>70489.800278205046</v>
      </c>
      <c r="J28" s="1228">
        <f t="shared" si="9"/>
        <v>77308.26849947701</v>
      </c>
      <c r="K28" s="1228">
        <f t="shared" si="9"/>
        <v>165105.18428473052</v>
      </c>
      <c r="L28" s="1228">
        <f t="shared" si="9"/>
        <v>118480.20214460882</v>
      </c>
      <c r="M28" s="1229">
        <f t="shared" si="9"/>
        <v>134032.14800094467</v>
      </c>
    </row>
    <row r="29" spans="1:13" ht="15" x14ac:dyDescent="0.25">
      <c r="A29" s="1195">
        <v>2027</v>
      </c>
      <c r="B29" s="1219">
        <f t="shared" si="4"/>
        <v>70000</v>
      </c>
      <c r="C29" s="1222">
        <f t="shared" ref="C29:G38" si="10">$B29+INDEX(COST_Cls1,MATCH($A29,Years,0),MATCH(C$6,TECHOPTS_Cls1,0))</f>
        <v>1069999</v>
      </c>
      <c r="D29" s="1222">
        <f t="shared" si="10"/>
        <v>1069999</v>
      </c>
      <c r="E29" s="1222">
        <f t="shared" si="10"/>
        <v>1069999</v>
      </c>
      <c r="F29" s="1222">
        <f t="shared" si="10"/>
        <v>1069999</v>
      </c>
      <c r="G29" s="1223">
        <f t="shared" si="10"/>
        <v>1069999</v>
      </c>
      <c r="H29" s="1219">
        <f t="shared" si="6"/>
        <v>73740.621908786765</v>
      </c>
      <c r="I29" s="1222">
        <f t="shared" ref="I29:M38" si="11">$B29+INDEX(COST_Cls2,MATCH($A29,Years,0),MATCH(I$6,TECHOPTS_Cls2,0))</f>
        <v>70627.810954393397</v>
      </c>
      <c r="J29" s="1222">
        <f t="shared" si="11"/>
        <v>76713.810954393397</v>
      </c>
      <c r="K29" s="1222">
        <f t="shared" si="11"/>
        <v>153462.81095439341</v>
      </c>
      <c r="L29" s="1222">
        <f t="shared" si="11"/>
        <v>113675.8109543934</v>
      </c>
      <c r="M29" s="1223">
        <f t="shared" si="11"/>
        <v>125212.8109543934</v>
      </c>
    </row>
    <row r="30" spans="1:13" ht="15" x14ac:dyDescent="0.25">
      <c r="A30" s="1195">
        <v>2028</v>
      </c>
      <c r="B30" s="1219">
        <f t="shared" si="4"/>
        <v>70000</v>
      </c>
      <c r="C30" s="1222">
        <f t="shared" si="10"/>
        <v>1069999</v>
      </c>
      <c r="D30" s="1222">
        <f t="shared" si="10"/>
        <v>1069999</v>
      </c>
      <c r="E30" s="1222">
        <f t="shared" si="10"/>
        <v>1069999</v>
      </c>
      <c r="F30" s="1222">
        <f t="shared" si="10"/>
        <v>1069999</v>
      </c>
      <c r="G30" s="1223">
        <f t="shared" si="10"/>
        <v>1069999</v>
      </c>
      <c r="H30" s="1219">
        <f t="shared" si="6"/>
        <v>73882.509578698271</v>
      </c>
      <c r="I30" s="1222">
        <f t="shared" si="11"/>
        <v>70655.857173299897</v>
      </c>
      <c r="J30" s="1222">
        <f t="shared" si="11"/>
        <v>76265.092645717566</v>
      </c>
      <c r="K30" s="1222">
        <f t="shared" si="11"/>
        <v>147895.56271297994</v>
      </c>
      <c r="L30" s="1222">
        <f t="shared" si="11"/>
        <v>112579.56425177027</v>
      </c>
      <c r="M30" s="1223">
        <f t="shared" si="11"/>
        <v>122101.90151332054</v>
      </c>
    </row>
    <row r="31" spans="1:13" ht="15" x14ac:dyDescent="0.25">
      <c r="A31" s="1195">
        <v>2029</v>
      </c>
      <c r="B31" s="1219">
        <f t="shared" si="4"/>
        <v>70000</v>
      </c>
      <c r="C31" s="1222">
        <f t="shared" si="10"/>
        <v>1069999</v>
      </c>
      <c r="D31" s="1222">
        <f t="shared" si="10"/>
        <v>1069999</v>
      </c>
      <c r="E31" s="1222">
        <f t="shared" si="10"/>
        <v>1069999</v>
      </c>
      <c r="F31" s="1222">
        <f t="shared" si="10"/>
        <v>1069999</v>
      </c>
      <c r="G31" s="1223">
        <f t="shared" si="10"/>
        <v>1069999</v>
      </c>
      <c r="H31" s="1219">
        <f t="shared" si="6"/>
        <v>74128.712778923815</v>
      </c>
      <c r="I31" s="1222">
        <f t="shared" si="11"/>
        <v>70673.023350597432</v>
      </c>
      <c r="J31" s="1222">
        <f t="shared" si="11"/>
        <v>75990.446781009145</v>
      </c>
      <c r="K31" s="1222">
        <f t="shared" si="11"/>
        <v>144488.03135589851</v>
      </c>
      <c r="L31" s="1222">
        <f t="shared" si="11"/>
        <v>111908.58734319666</v>
      </c>
      <c r="M31" s="1223">
        <f t="shared" si="11"/>
        <v>120197.81514788033</v>
      </c>
    </row>
    <row r="32" spans="1:13" ht="15" x14ac:dyDescent="0.25">
      <c r="A32" s="1201">
        <v>2030</v>
      </c>
      <c r="B32" s="1224">
        <f t="shared" si="4"/>
        <v>70000</v>
      </c>
      <c r="C32" s="1225">
        <f t="shared" si="10"/>
        <v>1069999</v>
      </c>
      <c r="D32" s="1225">
        <f t="shared" si="10"/>
        <v>1069999</v>
      </c>
      <c r="E32" s="1225">
        <f t="shared" si="10"/>
        <v>1069999</v>
      </c>
      <c r="F32" s="1225">
        <f t="shared" si="10"/>
        <v>1069999</v>
      </c>
      <c r="G32" s="1226">
        <f t="shared" si="10"/>
        <v>1069999</v>
      </c>
      <c r="H32" s="1224">
        <f t="shared" si="6"/>
        <v>74351.18429638313</v>
      </c>
      <c r="I32" s="1225">
        <f t="shared" si="11"/>
        <v>70696.302645446398</v>
      </c>
      <c r="J32" s="1225">
        <f t="shared" si="11"/>
        <v>75617.995655008126</v>
      </c>
      <c r="K32" s="1225">
        <f t="shared" si="11"/>
        <v>139867.03008148965</v>
      </c>
      <c r="L32" s="1225">
        <f t="shared" si="11"/>
        <v>110998.66610559044</v>
      </c>
      <c r="M32" s="1226">
        <f t="shared" si="11"/>
        <v>117615.65680530237</v>
      </c>
    </row>
    <row r="33" spans="1:13" ht="15" x14ac:dyDescent="0.25">
      <c r="A33" s="1195">
        <v>2031</v>
      </c>
      <c r="B33" s="1227">
        <f t="shared" si="4"/>
        <v>70000</v>
      </c>
      <c r="C33" s="1228">
        <f t="shared" si="10"/>
        <v>1069999</v>
      </c>
      <c r="D33" s="1228">
        <f t="shared" si="10"/>
        <v>1069999</v>
      </c>
      <c r="E33" s="1228">
        <f t="shared" si="10"/>
        <v>1069999</v>
      </c>
      <c r="F33" s="1228">
        <f t="shared" si="10"/>
        <v>1069999</v>
      </c>
      <c r="G33" s="1229">
        <f t="shared" si="10"/>
        <v>1069999</v>
      </c>
      <c r="H33" s="1227">
        <f t="shared" si="6"/>
        <v>74555.375417589617</v>
      </c>
      <c r="I33" s="1228">
        <f t="shared" si="11"/>
        <v>70723.726982708133</v>
      </c>
      <c r="J33" s="1228">
        <f t="shared" si="11"/>
        <v>75179.226982708133</v>
      </c>
      <c r="K33" s="1228">
        <f t="shared" si="11"/>
        <v>134423.22698270815</v>
      </c>
      <c r="L33" s="1228">
        <f t="shared" si="11"/>
        <v>109926.72698270813</v>
      </c>
      <c r="M33" s="1229">
        <f t="shared" si="11"/>
        <v>114573.72698270815</v>
      </c>
    </row>
    <row r="34" spans="1:13" ht="15" x14ac:dyDescent="0.25">
      <c r="A34" s="1195">
        <v>2032</v>
      </c>
      <c r="B34" s="1219">
        <f t="shared" si="4"/>
        <v>70000</v>
      </c>
      <c r="C34" s="1222">
        <f t="shared" si="10"/>
        <v>1069999</v>
      </c>
      <c r="D34" s="1222">
        <f t="shared" si="10"/>
        <v>1069999</v>
      </c>
      <c r="E34" s="1222">
        <f t="shared" si="10"/>
        <v>1069999</v>
      </c>
      <c r="F34" s="1222">
        <f t="shared" si="10"/>
        <v>1069999</v>
      </c>
      <c r="G34" s="1223">
        <f t="shared" si="10"/>
        <v>1069999</v>
      </c>
      <c r="H34" s="1219">
        <f t="shared" si="6"/>
        <v>74576.943363239174</v>
      </c>
      <c r="I34" s="1222">
        <f t="shared" si="11"/>
        <v>70751.151319969867</v>
      </c>
      <c r="J34" s="1222">
        <f t="shared" si="11"/>
        <v>74740.458310408139</v>
      </c>
      <c r="K34" s="1222">
        <f t="shared" si="11"/>
        <v>128979.42388392666</v>
      </c>
      <c r="L34" s="1222">
        <f t="shared" si="11"/>
        <v>108854.78785982582</v>
      </c>
      <c r="M34" s="1223">
        <f t="shared" si="11"/>
        <v>111531.7971601139</v>
      </c>
    </row>
    <row r="35" spans="1:13" ht="15" x14ac:dyDescent="0.25">
      <c r="A35" s="1195">
        <v>2033</v>
      </c>
      <c r="B35" s="1219">
        <f t="shared" si="4"/>
        <v>70000</v>
      </c>
      <c r="C35" s="1222">
        <f t="shared" si="10"/>
        <v>1069999</v>
      </c>
      <c r="D35" s="1222">
        <f t="shared" si="10"/>
        <v>1069999</v>
      </c>
      <c r="E35" s="1222">
        <f t="shared" si="10"/>
        <v>1069999</v>
      </c>
      <c r="F35" s="1222">
        <f t="shared" si="10"/>
        <v>1069999</v>
      </c>
      <c r="G35" s="1223">
        <f t="shared" si="10"/>
        <v>1069999</v>
      </c>
      <c r="H35" s="1219">
        <f t="shared" si="6"/>
        <v>74598.511308888716</v>
      </c>
      <c r="I35" s="1222">
        <f t="shared" si="11"/>
        <v>70774.430614818833</v>
      </c>
      <c r="J35" s="1222">
        <f t="shared" si="11"/>
        <v>74368.007184407121</v>
      </c>
      <c r="K35" s="1222">
        <f t="shared" si="11"/>
        <v>124358.42260951771</v>
      </c>
      <c r="L35" s="1222">
        <f t="shared" si="11"/>
        <v>107944.86662221959</v>
      </c>
      <c r="M35" s="1223">
        <f t="shared" si="11"/>
        <v>108949.6388175359</v>
      </c>
    </row>
    <row r="36" spans="1:13" ht="15" x14ac:dyDescent="0.25">
      <c r="A36" s="1195">
        <v>2034</v>
      </c>
      <c r="B36" s="1219">
        <f t="shared" si="4"/>
        <v>70000</v>
      </c>
      <c r="C36" s="1222">
        <f t="shared" si="10"/>
        <v>1069999</v>
      </c>
      <c r="D36" s="1222">
        <f t="shared" si="10"/>
        <v>1069999</v>
      </c>
      <c r="E36" s="1222">
        <f t="shared" si="10"/>
        <v>1069999</v>
      </c>
      <c r="F36" s="1222">
        <f t="shared" si="10"/>
        <v>1069999</v>
      </c>
      <c r="G36" s="1223">
        <f t="shared" si="10"/>
        <v>1069999</v>
      </c>
      <c r="H36" s="1219">
        <f t="shared" si="6"/>
        <v>74620.079254538257</v>
      </c>
      <c r="I36" s="1222">
        <f t="shared" si="11"/>
        <v>70791.596792116368</v>
      </c>
      <c r="J36" s="1222">
        <f t="shared" si="11"/>
        <v>74093.361319698699</v>
      </c>
      <c r="K36" s="1222">
        <f t="shared" si="11"/>
        <v>120950.8912524364</v>
      </c>
      <c r="L36" s="1222">
        <f t="shared" si="11"/>
        <v>107273.88971364601</v>
      </c>
      <c r="M36" s="1223">
        <f t="shared" si="11"/>
        <v>107045.55245209573</v>
      </c>
    </row>
    <row r="37" spans="1:13" ht="15" x14ac:dyDescent="0.25">
      <c r="A37" s="1201">
        <v>2035</v>
      </c>
      <c r="B37" s="1224">
        <f t="shared" si="4"/>
        <v>70000</v>
      </c>
      <c r="C37" s="1225">
        <f t="shared" si="10"/>
        <v>1069999</v>
      </c>
      <c r="D37" s="1225">
        <f t="shared" si="10"/>
        <v>1069999</v>
      </c>
      <c r="E37" s="1225">
        <f t="shared" si="10"/>
        <v>1069999</v>
      </c>
      <c r="F37" s="1225">
        <f t="shared" si="10"/>
        <v>1069999</v>
      </c>
      <c r="G37" s="1226">
        <f t="shared" si="10"/>
        <v>1069999</v>
      </c>
      <c r="H37" s="1224">
        <f t="shared" si="6"/>
        <v>74641.647200187799</v>
      </c>
      <c r="I37" s="1225">
        <f t="shared" si="11"/>
        <v>70819.643011022868</v>
      </c>
      <c r="J37" s="1225">
        <f t="shared" si="11"/>
        <v>73644.643011022868</v>
      </c>
      <c r="K37" s="1225">
        <f t="shared" si="11"/>
        <v>115383.64301102287</v>
      </c>
      <c r="L37" s="1225">
        <f t="shared" si="11"/>
        <v>106177.64301102287</v>
      </c>
      <c r="M37" s="1226">
        <f t="shared" si="11"/>
        <v>103934.64301102287</v>
      </c>
    </row>
    <row r="38" spans="1:13" ht="15" x14ac:dyDescent="0.25">
      <c r="A38" s="1195">
        <v>2036</v>
      </c>
      <c r="B38" s="1227">
        <f t="shared" si="4"/>
        <v>70000</v>
      </c>
      <c r="C38" s="1228">
        <f t="shared" si="10"/>
        <v>1069999</v>
      </c>
      <c r="D38" s="1228">
        <f t="shared" si="10"/>
        <v>1069999</v>
      </c>
      <c r="E38" s="1228">
        <f t="shared" si="10"/>
        <v>1069999</v>
      </c>
      <c r="F38" s="1228">
        <f t="shared" si="10"/>
        <v>1069999</v>
      </c>
      <c r="G38" s="1229">
        <f t="shared" si="10"/>
        <v>1069999</v>
      </c>
      <c r="H38" s="1227">
        <f t="shared" si="6"/>
        <v>74641.647200187799</v>
      </c>
      <c r="I38" s="1228">
        <f t="shared" si="11"/>
        <v>70895.28337343641</v>
      </c>
      <c r="J38" s="1228">
        <f t="shared" si="11"/>
        <v>73354.329587537737</v>
      </c>
      <c r="K38" s="1228">
        <f t="shared" si="11"/>
        <v>111084.88994962003</v>
      </c>
      <c r="L38" s="1228">
        <f t="shared" si="11"/>
        <v>103681.41995889222</v>
      </c>
      <c r="M38" s="1229">
        <f t="shared" si="11"/>
        <v>101624.55258040376</v>
      </c>
    </row>
    <row r="39" spans="1:13" ht="15" x14ac:dyDescent="0.25">
      <c r="A39" s="1195">
        <v>2037</v>
      </c>
      <c r="B39" s="1219">
        <f t="shared" si="4"/>
        <v>70000</v>
      </c>
      <c r="C39" s="1222">
        <f t="shared" ref="C39:G52" si="12">$B39+INDEX(COST_Cls1,MATCH($A39,Years,0),MATCH(C$6,TECHOPTS_Cls1,0))</f>
        <v>1069999</v>
      </c>
      <c r="D39" s="1222">
        <f t="shared" si="12"/>
        <v>1069999</v>
      </c>
      <c r="E39" s="1222">
        <f t="shared" si="12"/>
        <v>1069999</v>
      </c>
      <c r="F39" s="1222">
        <f t="shared" si="12"/>
        <v>1069999</v>
      </c>
      <c r="G39" s="1223">
        <f t="shared" si="12"/>
        <v>1069999</v>
      </c>
      <c r="H39" s="1219">
        <f t="shared" si="6"/>
        <v>74641.647200187799</v>
      </c>
      <c r="I39" s="1222">
        <f t="shared" ref="I39:M52" si="13">$B39+INDEX(COST_Cls2,MATCH($A39,Years,0),MATCH(I$6,TECHOPTS_Cls2,0))</f>
        <v>70928.170128716694</v>
      </c>
      <c r="J39" s="1222">
        <f t="shared" si="13"/>
        <v>73228.107737085273</v>
      </c>
      <c r="K39" s="1222">
        <f t="shared" si="13"/>
        <v>109215.88727129127</v>
      </c>
      <c r="L39" s="1222">
        <f t="shared" si="13"/>
        <v>102596.11742964767</v>
      </c>
      <c r="M39" s="1223">
        <f t="shared" si="13"/>
        <v>100620.17639495249</v>
      </c>
    </row>
    <row r="40" spans="1:13" ht="15" x14ac:dyDescent="0.25">
      <c r="A40" s="1195">
        <v>2038</v>
      </c>
      <c r="B40" s="1219">
        <f t="shared" si="4"/>
        <v>70000</v>
      </c>
      <c r="C40" s="1222">
        <f t="shared" si="12"/>
        <v>1069999</v>
      </c>
      <c r="D40" s="1222">
        <f t="shared" si="12"/>
        <v>1069999</v>
      </c>
      <c r="E40" s="1222">
        <f t="shared" si="12"/>
        <v>1069999</v>
      </c>
      <c r="F40" s="1222">
        <f t="shared" si="12"/>
        <v>1069999</v>
      </c>
      <c r="G40" s="1223">
        <f t="shared" si="12"/>
        <v>1069999</v>
      </c>
      <c r="H40" s="1219">
        <f t="shared" si="6"/>
        <v>74641.647200187799</v>
      </c>
      <c r="I40" s="1222">
        <f t="shared" si="13"/>
        <v>70971.774567343033</v>
      </c>
      <c r="J40" s="1222">
        <f t="shared" si="13"/>
        <v>73060.750608525384</v>
      </c>
      <c r="K40" s="1222">
        <f t="shared" si="13"/>
        <v>106737.7828829104</v>
      </c>
      <c r="L40" s="1222">
        <f t="shared" si="13"/>
        <v>101157.11844284758</v>
      </c>
      <c r="M40" s="1223">
        <f t="shared" si="13"/>
        <v>99288.477376212933</v>
      </c>
    </row>
    <row r="41" spans="1:13" ht="15" x14ac:dyDescent="0.25">
      <c r="A41" s="1195">
        <v>2039</v>
      </c>
      <c r="B41" s="1219">
        <f t="shared" si="4"/>
        <v>70000</v>
      </c>
      <c r="C41" s="1222">
        <f t="shared" si="12"/>
        <v>1069999</v>
      </c>
      <c r="D41" s="1222">
        <f t="shared" si="12"/>
        <v>1069999</v>
      </c>
      <c r="E41" s="1222">
        <f t="shared" si="12"/>
        <v>1069999</v>
      </c>
      <c r="F41" s="1222">
        <f t="shared" si="12"/>
        <v>1069999</v>
      </c>
      <c r="G41" s="1223">
        <f t="shared" si="12"/>
        <v>1069999</v>
      </c>
      <c r="H41" s="1219">
        <f t="shared" si="6"/>
        <v>74641.647200187799</v>
      </c>
      <c r="I41" s="1222">
        <f t="shared" si="13"/>
        <v>71026.588740137289</v>
      </c>
      <c r="J41" s="1222">
        <f t="shared" si="13"/>
        <v>72850.36967364297</v>
      </c>
      <c r="K41" s="1222">
        <f t="shared" si="13"/>
        <v>103622.61281247472</v>
      </c>
      <c r="L41" s="1222">
        <f t="shared" si="13"/>
        <v>99348.184728801803</v>
      </c>
      <c r="M41" s="1223">
        <f t="shared" si="13"/>
        <v>97614.42807245595</v>
      </c>
    </row>
    <row r="42" spans="1:13" ht="15" x14ac:dyDescent="0.25">
      <c r="A42" s="1201">
        <v>2040</v>
      </c>
      <c r="B42" s="1224">
        <f t="shared" si="4"/>
        <v>70000</v>
      </c>
      <c r="C42" s="1225">
        <f t="shared" si="12"/>
        <v>1069999</v>
      </c>
      <c r="D42" s="1225">
        <f t="shared" si="12"/>
        <v>1069999</v>
      </c>
      <c r="E42" s="1225">
        <f t="shared" si="12"/>
        <v>1069999</v>
      </c>
      <c r="F42" s="1225">
        <f t="shared" si="12"/>
        <v>1069999</v>
      </c>
      <c r="G42" s="1226">
        <f t="shared" si="12"/>
        <v>1069999</v>
      </c>
      <c r="H42" s="1234">
        <f t="shared" si="6"/>
        <v>74641.647200187799</v>
      </c>
      <c r="I42" s="1235">
        <f t="shared" si="13"/>
        <v>71091.057740268123</v>
      </c>
      <c r="J42" s="1235">
        <f t="shared" si="13"/>
        <v>72602.93278228704</v>
      </c>
      <c r="K42" s="1235">
        <f t="shared" si="13"/>
        <v>99958.744702446464</v>
      </c>
      <c r="L42" s="1235">
        <f t="shared" si="13"/>
        <v>97220.630085494558</v>
      </c>
      <c r="M42" s="1236">
        <f t="shared" si="13"/>
        <v>95645.516032352694</v>
      </c>
    </row>
    <row r="43" spans="1:13" ht="15" x14ac:dyDescent="0.25">
      <c r="A43" s="1195">
        <v>2041</v>
      </c>
      <c r="B43" s="1227">
        <f t="shared" si="4"/>
        <v>70000</v>
      </c>
      <c r="C43" s="1228">
        <f t="shared" si="12"/>
        <v>1069999</v>
      </c>
      <c r="D43" s="1228">
        <f t="shared" si="12"/>
        <v>1069999</v>
      </c>
      <c r="E43" s="1228">
        <f t="shared" si="12"/>
        <v>1069999</v>
      </c>
      <c r="F43" s="1228">
        <f t="shared" si="12"/>
        <v>1069999</v>
      </c>
      <c r="G43" s="1229">
        <f t="shared" si="12"/>
        <v>1069999</v>
      </c>
      <c r="H43" s="1227">
        <f t="shared" si="6"/>
        <v>74641.647200187799</v>
      </c>
      <c r="I43" s="1228">
        <f t="shared" si="13"/>
        <v>71161.204442287839</v>
      </c>
      <c r="J43" s="1228">
        <f t="shared" si="13"/>
        <v>72333.704442287853</v>
      </c>
      <c r="K43" s="1228">
        <f t="shared" si="13"/>
        <v>95972.204442287868</v>
      </c>
      <c r="L43" s="1228">
        <f t="shared" si="13"/>
        <v>94905.704442287853</v>
      </c>
      <c r="M43" s="1229">
        <f t="shared" si="13"/>
        <v>93503.204442287839</v>
      </c>
    </row>
    <row r="44" spans="1:13" ht="15" x14ac:dyDescent="0.25">
      <c r="A44" s="1195">
        <v>2042</v>
      </c>
      <c r="B44" s="1219">
        <f t="shared" si="4"/>
        <v>70000</v>
      </c>
      <c r="C44" s="1222">
        <f t="shared" si="12"/>
        <v>1069999</v>
      </c>
      <c r="D44" s="1222">
        <f t="shared" si="12"/>
        <v>1069999</v>
      </c>
      <c r="E44" s="1222">
        <f t="shared" si="12"/>
        <v>1069999</v>
      </c>
      <c r="F44" s="1222">
        <f t="shared" si="12"/>
        <v>1069999</v>
      </c>
      <c r="G44" s="1223">
        <f t="shared" si="12"/>
        <v>1069999</v>
      </c>
      <c r="H44" s="1219">
        <f t="shared" si="6"/>
        <v>74641.647200187799</v>
      </c>
      <c r="I44" s="1222">
        <f t="shared" si="13"/>
        <v>71231.351144307569</v>
      </c>
      <c r="J44" s="1222">
        <f t="shared" si="13"/>
        <v>72064.476102288652</v>
      </c>
      <c r="K44" s="1222">
        <f t="shared" si="13"/>
        <v>91985.664182129316</v>
      </c>
      <c r="L44" s="1222">
        <f t="shared" si="13"/>
        <v>92590.778799081163</v>
      </c>
      <c r="M44" s="1223">
        <f t="shared" si="13"/>
        <v>91360.892852223013</v>
      </c>
    </row>
    <row r="45" spans="1:13" ht="15" x14ac:dyDescent="0.25">
      <c r="A45" s="1195">
        <v>2043</v>
      </c>
      <c r="B45" s="1219">
        <f t="shared" si="4"/>
        <v>70000</v>
      </c>
      <c r="C45" s="1222">
        <f t="shared" si="12"/>
        <v>1069999</v>
      </c>
      <c r="D45" s="1222">
        <f t="shared" si="12"/>
        <v>1069999</v>
      </c>
      <c r="E45" s="1222">
        <f t="shared" si="12"/>
        <v>1069999</v>
      </c>
      <c r="F45" s="1222">
        <f t="shared" si="12"/>
        <v>1069999</v>
      </c>
      <c r="G45" s="1223">
        <f t="shared" si="12"/>
        <v>1069999</v>
      </c>
      <c r="H45" s="1219">
        <f t="shared" si="6"/>
        <v>74641.647200187799</v>
      </c>
      <c r="I45" s="1222">
        <f t="shared" si="13"/>
        <v>71295.820144438403</v>
      </c>
      <c r="J45" s="1222">
        <f t="shared" si="13"/>
        <v>71817.039210932722</v>
      </c>
      <c r="K45" s="1222">
        <f t="shared" si="13"/>
        <v>88321.796072101031</v>
      </c>
      <c r="L45" s="1222">
        <f t="shared" si="13"/>
        <v>90463.224155773903</v>
      </c>
      <c r="M45" s="1223">
        <f t="shared" si="13"/>
        <v>89391.980812119742</v>
      </c>
    </row>
    <row r="46" spans="1:13" ht="15" x14ac:dyDescent="0.25">
      <c r="A46" s="1195">
        <v>2044</v>
      </c>
      <c r="B46" s="1219">
        <f t="shared" si="4"/>
        <v>70000</v>
      </c>
      <c r="C46" s="1222">
        <f t="shared" si="12"/>
        <v>1069999</v>
      </c>
      <c r="D46" s="1222">
        <f t="shared" si="12"/>
        <v>1069999</v>
      </c>
      <c r="E46" s="1222">
        <f t="shared" si="12"/>
        <v>1069999</v>
      </c>
      <c r="F46" s="1222">
        <f t="shared" si="12"/>
        <v>1069999</v>
      </c>
      <c r="G46" s="1223">
        <f t="shared" si="12"/>
        <v>1069999</v>
      </c>
      <c r="H46" s="1219">
        <f t="shared" si="6"/>
        <v>74641.647200187799</v>
      </c>
      <c r="I46" s="1222">
        <f t="shared" si="13"/>
        <v>71350.63431723266</v>
      </c>
      <c r="J46" s="1222">
        <f t="shared" si="13"/>
        <v>71606.658276050308</v>
      </c>
      <c r="K46" s="1222">
        <f t="shared" si="13"/>
        <v>85206.626001665325</v>
      </c>
      <c r="L46" s="1222">
        <f t="shared" si="13"/>
        <v>88654.29044172811</v>
      </c>
      <c r="M46" s="1223">
        <f t="shared" si="13"/>
        <v>87717.931508362759</v>
      </c>
    </row>
    <row r="47" spans="1:13" ht="15" x14ac:dyDescent="0.25">
      <c r="A47" s="1201">
        <v>2045</v>
      </c>
      <c r="B47" s="1224">
        <f t="shared" si="4"/>
        <v>70000</v>
      </c>
      <c r="C47" s="1225">
        <f t="shared" si="12"/>
        <v>1069999</v>
      </c>
      <c r="D47" s="1225">
        <f t="shared" si="12"/>
        <v>1069999</v>
      </c>
      <c r="E47" s="1225">
        <f t="shared" si="12"/>
        <v>1069999</v>
      </c>
      <c r="F47" s="1225">
        <f t="shared" si="12"/>
        <v>1069999</v>
      </c>
      <c r="G47" s="1226">
        <f t="shared" si="12"/>
        <v>1069999</v>
      </c>
      <c r="H47" s="1224">
        <f t="shared" si="6"/>
        <v>74641.647200187799</v>
      </c>
      <c r="I47" s="1225">
        <f t="shared" si="13"/>
        <v>71394.238755858998</v>
      </c>
      <c r="J47" s="1225">
        <f t="shared" si="13"/>
        <v>71439.30114749042</v>
      </c>
      <c r="K47" s="1225">
        <f t="shared" si="13"/>
        <v>82728.521613284422</v>
      </c>
      <c r="L47" s="1225">
        <f t="shared" si="13"/>
        <v>87215.291454927981</v>
      </c>
      <c r="M47" s="1226">
        <f t="shared" si="13"/>
        <v>86386.232489623188</v>
      </c>
    </row>
    <row r="48" spans="1:13" ht="15" x14ac:dyDescent="0.25">
      <c r="A48" s="1195">
        <v>2046</v>
      </c>
      <c r="B48" s="1227">
        <f t="shared" si="4"/>
        <v>70000</v>
      </c>
      <c r="C48" s="1228">
        <f t="shared" si="12"/>
        <v>1069999</v>
      </c>
      <c r="D48" s="1228">
        <f t="shared" si="12"/>
        <v>1069999</v>
      </c>
      <c r="E48" s="1228">
        <f t="shared" si="12"/>
        <v>1069999</v>
      </c>
      <c r="F48" s="1228">
        <f t="shared" si="12"/>
        <v>1069999</v>
      </c>
      <c r="G48" s="1229">
        <f t="shared" si="12"/>
        <v>1069999</v>
      </c>
      <c r="H48" s="1227">
        <f t="shared" si="6"/>
        <v>74641.647200187799</v>
      </c>
      <c r="I48" s="1228">
        <f t="shared" si="13"/>
        <v>71427.125511139282</v>
      </c>
      <c r="J48" s="1228">
        <f t="shared" si="13"/>
        <v>71313.079297037955</v>
      </c>
      <c r="K48" s="1228">
        <f t="shared" si="13"/>
        <v>80859.518934955617</v>
      </c>
      <c r="L48" s="1228">
        <f t="shared" si="13"/>
        <v>86129.988925683458</v>
      </c>
      <c r="M48" s="1229">
        <f t="shared" si="13"/>
        <v>85381.856304171903</v>
      </c>
    </row>
    <row r="49" spans="1:13" ht="15" x14ac:dyDescent="0.25">
      <c r="A49" s="1195">
        <v>2047</v>
      </c>
      <c r="B49" s="1219">
        <f t="shared" si="4"/>
        <v>70000</v>
      </c>
      <c r="C49" s="1222">
        <f t="shared" si="12"/>
        <v>1069999</v>
      </c>
      <c r="D49" s="1222">
        <f t="shared" si="12"/>
        <v>1069999</v>
      </c>
      <c r="E49" s="1222">
        <f t="shared" si="12"/>
        <v>1069999</v>
      </c>
      <c r="F49" s="1222">
        <f t="shared" si="12"/>
        <v>1069999</v>
      </c>
      <c r="G49" s="1223">
        <f t="shared" si="12"/>
        <v>1069999</v>
      </c>
      <c r="H49" s="1219">
        <f t="shared" si="6"/>
        <v>74641.647200187799</v>
      </c>
      <c r="I49" s="1222">
        <f t="shared" si="13"/>
        <v>71450.945416470393</v>
      </c>
      <c r="J49" s="1222">
        <f t="shared" si="13"/>
        <v>71221.656701440603</v>
      </c>
      <c r="K49" s="1222">
        <f t="shared" si="13"/>
        <v>79505.798676389648</v>
      </c>
      <c r="L49" s="1222">
        <f t="shared" si="13"/>
        <v>85343.903363823803</v>
      </c>
      <c r="M49" s="1223">
        <f t="shared" si="13"/>
        <v>84654.385763208105</v>
      </c>
    </row>
    <row r="50" spans="1:13" ht="15" x14ac:dyDescent="0.25">
      <c r="A50" s="1195">
        <v>2048</v>
      </c>
      <c r="B50" s="1219">
        <f t="shared" si="4"/>
        <v>70000</v>
      </c>
      <c r="C50" s="1222">
        <f t="shared" si="12"/>
        <v>1069999</v>
      </c>
      <c r="D50" s="1222">
        <f t="shared" si="12"/>
        <v>1069999</v>
      </c>
      <c r="E50" s="1222">
        <f t="shared" si="12"/>
        <v>1069999</v>
      </c>
      <c r="F50" s="1222">
        <f t="shared" si="12"/>
        <v>1069999</v>
      </c>
      <c r="G50" s="1223">
        <f t="shared" si="12"/>
        <v>1069999</v>
      </c>
      <c r="H50" s="1219">
        <f t="shared" si="6"/>
        <v>74641.647200187799</v>
      </c>
      <c r="I50" s="1222">
        <f t="shared" si="13"/>
        <v>71467.697219609647</v>
      </c>
      <c r="J50" s="1222">
        <f t="shared" si="13"/>
        <v>71157.362015855761</v>
      </c>
      <c r="K50" s="1222">
        <f t="shared" si="13"/>
        <v>78553.769062423307</v>
      </c>
      <c r="L50" s="1222">
        <f t="shared" si="13"/>
        <v>84791.07368629906</v>
      </c>
      <c r="M50" s="1223">
        <f t="shared" si="13"/>
        <v>84142.778218072228</v>
      </c>
    </row>
    <row r="51" spans="1:13" ht="15" x14ac:dyDescent="0.25">
      <c r="A51" s="1195">
        <v>2049</v>
      </c>
      <c r="B51" s="1219">
        <f t="shared" si="4"/>
        <v>70000</v>
      </c>
      <c r="C51" s="1222">
        <f t="shared" si="12"/>
        <v>1069999</v>
      </c>
      <c r="D51" s="1222">
        <f t="shared" si="12"/>
        <v>1069999</v>
      </c>
      <c r="E51" s="1222">
        <f t="shared" si="12"/>
        <v>1069999</v>
      </c>
      <c r="F51" s="1222">
        <f t="shared" si="12"/>
        <v>1069999</v>
      </c>
      <c r="G51" s="1223">
        <f t="shared" si="12"/>
        <v>1069999</v>
      </c>
      <c r="H51" s="1219">
        <f t="shared" si="6"/>
        <v>74641.647200187799</v>
      </c>
      <c r="I51" s="1222">
        <f t="shared" si="13"/>
        <v>71479.235572888923</v>
      </c>
      <c r="J51" s="1222">
        <f t="shared" si="13"/>
        <v>71113.07694456575</v>
      </c>
      <c r="K51" s="1222">
        <f t="shared" si="13"/>
        <v>77898.027472878253</v>
      </c>
      <c r="L51" s="1222">
        <f t="shared" si="13"/>
        <v>84410.294132627983</v>
      </c>
      <c r="M51" s="1223">
        <f t="shared" si="13"/>
        <v>83790.391758713085</v>
      </c>
    </row>
    <row r="52" spans="1:13" ht="15.75" thickBot="1" x14ac:dyDescent="0.3">
      <c r="A52" s="1211">
        <v>2050</v>
      </c>
      <c r="B52" s="1230">
        <f t="shared" si="4"/>
        <v>70000</v>
      </c>
      <c r="C52" s="1231">
        <f t="shared" si="12"/>
        <v>1069999</v>
      </c>
      <c r="D52" s="1231">
        <f t="shared" si="12"/>
        <v>1069999</v>
      </c>
      <c r="E52" s="1231">
        <f t="shared" si="12"/>
        <v>1069999</v>
      </c>
      <c r="F52" s="1231">
        <f t="shared" si="12"/>
        <v>1069999</v>
      </c>
      <c r="G52" s="1232">
        <f t="shared" si="12"/>
        <v>1069999</v>
      </c>
      <c r="H52" s="1230">
        <f t="shared" si="6"/>
        <v>74641.647200187799</v>
      </c>
      <c r="I52" s="1231">
        <f t="shared" si="13"/>
        <v>71502.765873552824</v>
      </c>
      <c r="J52" s="1231">
        <f t="shared" si="13"/>
        <v>71022.765873552824</v>
      </c>
      <c r="K52" s="1231">
        <f t="shared" si="13"/>
        <v>76560.765873552824</v>
      </c>
      <c r="L52" s="1231">
        <f t="shared" si="13"/>
        <v>83633.765873552824</v>
      </c>
      <c r="M52" s="1232">
        <f t="shared" si="13"/>
        <v>83071.765873552824</v>
      </c>
    </row>
  </sheetData>
  <mergeCells count="4">
    <mergeCell ref="B4:G4"/>
    <mergeCell ref="H4:M4"/>
    <mergeCell ref="B5:G5"/>
    <mergeCell ref="H5:M5"/>
  </mergeCells>
  <conditionalFormatting sqref="B6:M52">
    <cfRule type="expression" dxfId="0" priority="1">
      <formula>B$7="not used"</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ktData"/>
  <dimension ref="A1:AD155"/>
  <sheetViews>
    <sheetView view="pageBreakPreview" topLeftCell="A106" zoomScale="60" zoomScaleNormal="60" workbookViewId="0">
      <selection activeCell="N129" sqref="N129"/>
    </sheetView>
  </sheetViews>
  <sheetFormatPr defaultColWidth="14.7109375" defaultRowHeight="12.75" x14ac:dyDescent="0.2"/>
  <cols>
    <col min="1" max="12" width="14.7109375" style="47"/>
    <col min="13" max="13" width="19.140625" style="47" bestFit="1" customWidth="1"/>
    <col min="14" max="15" width="14.7109375" style="47"/>
    <col min="16" max="16" width="15.7109375" style="47" customWidth="1"/>
    <col min="17" max="17" width="14.7109375" style="47"/>
    <col min="18" max="18" width="17.140625" style="47" customWidth="1"/>
    <col min="19" max="16384" width="14.7109375" style="47"/>
  </cols>
  <sheetData>
    <row r="1" spans="1:29" ht="23.25" x14ac:dyDescent="0.35">
      <c r="A1" s="73" t="s">
        <v>257</v>
      </c>
      <c r="J1" s="1117"/>
      <c r="K1" s="73" t="s">
        <v>258</v>
      </c>
      <c r="U1" s="73" t="s">
        <v>303</v>
      </c>
    </row>
    <row r="2" spans="1:29" x14ac:dyDescent="0.2">
      <c r="A2" s="49" t="s">
        <v>9</v>
      </c>
      <c r="K2" s="49" t="s">
        <v>9</v>
      </c>
      <c r="U2" s="49"/>
    </row>
    <row r="3" spans="1:29" x14ac:dyDescent="0.2">
      <c r="A3" s="48" t="s">
        <v>204</v>
      </c>
      <c r="K3" s="48" t="s">
        <v>204</v>
      </c>
      <c r="U3" s="48"/>
    </row>
    <row r="4" spans="1:29" ht="13.5" thickBot="1" x14ac:dyDescent="0.25"/>
    <row r="5" spans="1:29" ht="18.75" x14ac:dyDescent="0.3">
      <c r="A5" s="74"/>
      <c r="B5" s="1711" t="s">
        <v>10</v>
      </c>
      <c r="C5" s="1710"/>
      <c r="D5" s="1710"/>
      <c r="E5" s="1712"/>
      <c r="F5" s="1711" t="s">
        <v>11</v>
      </c>
      <c r="G5" s="1710"/>
      <c r="H5" s="1710"/>
      <c r="I5" s="1712"/>
      <c r="J5" s="76"/>
      <c r="K5" s="74"/>
      <c r="L5" s="1711" t="s">
        <v>10</v>
      </c>
      <c r="M5" s="1710"/>
      <c r="N5" s="1710"/>
      <c r="O5" s="1712"/>
      <c r="P5" s="1711" t="s">
        <v>11</v>
      </c>
      <c r="Q5" s="1710"/>
      <c r="R5" s="1710"/>
      <c r="S5" s="1712"/>
      <c r="T5" s="76"/>
      <c r="U5" s="74"/>
      <c r="V5" s="1710" t="s">
        <v>10</v>
      </c>
      <c r="W5" s="1710"/>
      <c r="X5" s="1710"/>
      <c r="Y5" s="1710"/>
      <c r="Z5" s="1711" t="s">
        <v>11</v>
      </c>
      <c r="AA5" s="1710"/>
      <c r="AB5" s="1712"/>
      <c r="AC5" s="75"/>
    </row>
    <row r="6" spans="1:29" ht="32.25" customHeight="1" thickBot="1" x14ac:dyDescent="0.25">
      <c r="A6" s="77" t="s">
        <v>12</v>
      </c>
      <c r="B6" s="422" t="s">
        <v>13</v>
      </c>
      <c r="C6" s="60" t="s">
        <v>14</v>
      </c>
      <c r="D6" s="423" t="s">
        <v>15</v>
      </c>
      <c r="E6" s="61" t="s">
        <v>16</v>
      </c>
      <c r="F6" s="422" t="s">
        <v>13</v>
      </c>
      <c r="G6" s="60" t="s">
        <v>17</v>
      </c>
      <c r="H6" s="423" t="s">
        <v>15</v>
      </c>
      <c r="I6" s="61" t="s">
        <v>18</v>
      </c>
      <c r="J6" s="3"/>
      <c r="K6" s="77" t="s">
        <v>12</v>
      </c>
      <c r="L6" s="422" t="s">
        <v>13</v>
      </c>
      <c r="M6" s="60" t="s">
        <v>14</v>
      </c>
      <c r="N6" s="423" t="s">
        <v>15</v>
      </c>
      <c r="O6" s="61" t="s">
        <v>16</v>
      </c>
      <c r="P6" s="422" t="s">
        <v>13</v>
      </c>
      <c r="Q6" s="60" t="s">
        <v>14</v>
      </c>
      <c r="R6" s="423" t="s">
        <v>15</v>
      </c>
      <c r="S6" s="61" t="s">
        <v>16</v>
      </c>
      <c r="T6" s="3"/>
      <c r="U6" s="77" t="s">
        <v>12</v>
      </c>
      <c r="V6" s="78" t="s">
        <v>13</v>
      </c>
      <c r="W6" s="79" t="s">
        <v>14</v>
      </c>
      <c r="X6" s="78" t="s">
        <v>15</v>
      </c>
      <c r="Y6" s="79" t="s">
        <v>16</v>
      </c>
      <c r="Z6" s="80" t="s">
        <v>13</v>
      </c>
      <c r="AA6" s="79" t="s">
        <v>14</v>
      </c>
      <c r="AB6" s="81" t="s">
        <v>15</v>
      </c>
      <c r="AC6" s="82" t="s">
        <v>16</v>
      </c>
    </row>
    <row r="7" spans="1:29" ht="18.75" x14ac:dyDescent="0.3">
      <c r="A7" s="430">
        <v>0</v>
      </c>
      <c r="B7" s="433">
        <v>307.89659999999998</v>
      </c>
      <c r="C7" s="84">
        <v>1038.502</v>
      </c>
      <c r="D7" s="83">
        <v>1347.8175000000001</v>
      </c>
      <c r="E7" s="434">
        <v>5479.741</v>
      </c>
      <c r="F7" s="85">
        <f t="shared" ref="F7:F48" si="0">IF(C$51=0,0,B7/C$51)</f>
        <v>2.0204177178062239E-2</v>
      </c>
      <c r="G7" s="86">
        <f t="shared" ref="G7:G48" si="1">IF(E$51=0,0,C7/E$51)</f>
        <v>3.5302933275133627E-3</v>
      </c>
      <c r="H7" s="419">
        <f t="shared" ref="H7:H48" si="2">IF(C$51=0,0,D7/C$51)</f>
        <v>8.8443794357238453E-2</v>
      </c>
      <c r="I7" s="87">
        <f t="shared" ref="I7:I48" si="3">IF(E$51=0,0,E7/E$51)</f>
        <v>1.8627882362095984E-2</v>
      </c>
      <c r="J7" s="3"/>
      <c r="K7" s="89">
        <v>0</v>
      </c>
      <c r="L7" s="433">
        <v>2232.094399999999</v>
      </c>
      <c r="M7" s="84">
        <v>7679.3960000000006</v>
      </c>
      <c r="N7" s="83">
        <v>7153.5371999999998</v>
      </c>
      <c r="O7" s="434">
        <v>22812.955000000002</v>
      </c>
      <c r="P7" s="85">
        <f t="shared" ref="P7:P48" si="4">IF(M$51=0,0,L7/M$51)</f>
        <v>1.6373288127481712E-2</v>
      </c>
      <c r="Q7" s="86">
        <f t="shared" ref="Q7:Q48" si="5">IF(O$51=0,0,M7/O$51)</f>
        <v>2.0862818140819847E-3</v>
      </c>
      <c r="R7" s="419">
        <f t="shared" ref="R7:R48" si="6">IF(M$51=0,0,N7/M$51)</f>
        <v>5.2474001864015615E-2</v>
      </c>
      <c r="S7" s="87">
        <f t="shared" ref="S7:S48" si="7">IF(O$51=0,0,O7/O$51)</f>
        <v>6.1976557976656868E-3</v>
      </c>
      <c r="T7" s="3"/>
      <c r="U7" s="89">
        <v>0</v>
      </c>
      <c r="V7" s="83"/>
      <c r="W7" s="84"/>
      <c r="X7" s="83"/>
      <c r="Y7" s="90"/>
      <c r="Z7" s="85">
        <f t="shared" ref="Z7:Z48" si="8">IF(W$51=0,0,V7/W$51)</f>
        <v>0</v>
      </c>
      <c r="AA7" s="86">
        <f t="shared" ref="AA7:AA48" si="9">IF(Y$51=0,0,W7/Y$51)</f>
        <v>0</v>
      </c>
      <c r="AB7" s="87">
        <f t="shared" ref="AB7:AB48" si="10">IF(W$51=0,0,X7/W$51)</f>
        <v>0</v>
      </c>
      <c r="AC7" s="88">
        <f t="shared" ref="AC7:AC48" si="11">IF(Y$51=0,0,Y7/Y$51)</f>
        <v>0</v>
      </c>
    </row>
    <row r="8" spans="1:29" ht="18.75" x14ac:dyDescent="0.3">
      <c r="A8" s="431">
        <v>5</v>
      </c>
      <c r="B8" s="435">
        <v>1452.9093</v>
      </c>
      <c r="C8" s="92">
        <v>10838.298000000001</v>
      </c>
      <c r="D8" s="91">
        <v>1074.5976000000001</v>
      </c>
      <c r="E8" s="436">
        <v>8156.5409999999993</v>
      </c>
      <c r="F8" s="93">
        <f t="shared" si="0"/>
        <v>9.5339919053521155E-2</v>
      </c>
      <c r="G8" s="94">
        <f t="shared" si="1"/>
        <v>3.6843810711006265E-2</v>
      </c>
      <c r="H8" s="420">
        <f t="shared" si="2"/>
        <v>7.0515102490642814E-2</v>
      </c>
      <c r="I8" s="95">
        <f t="shared" si="3"/>
        <v>2.772742110067113E-2</v>
      </c>
      <c r="J8" s="3"/>
      <c r="K8" s="97">
        <v>5</v>
      </c>
      <c r="L8" s="435">
        <v>6397.7198000000017</v>
      </c>
      <c r="M8" s="92">
        <v>51262.797999999988</v>
      </c>
      <c r="N8" s="91">
        <v>10042.9113</v>
      </c>
      <c r="O8" s="436">
        <v>78432.220999999961</v>
      </c>
      <c r="P8" s="93">
        <f t="shared" si="4"/>
        <v>4.6929784709954361E-2</v>
      </c>
      <c r="Q8" s="94">
        <f t="shared" si="5"/>
        <v>1.3926699861077394E-2</v>
      </c>
      <c r="R8" s="420">
        <f t="shared" si="6"/>
        <v>7.3668694457385858E-2</v>
      </c>
      <c r="S8" s="95">
        <f t="shared" si="7"/>
        <v>2.1307888837918898E-2</v>
      </c>
      <c r="T8" s="3"/>
      <c r="U8" s="97">
        <v>5</v>
      </c>
      <c r="V8" s="91"/>
      <c r="W8" s="92"/>
      <c r="X8" s="91"/>
      <c r="Y8" s="98"/>
      <c r="Z8" s="93">
        <f t="shared" si="8"/>
        <v>0</v>
      </c>
      <c r="AA8" s="94">
        <f t="shared" si="9"/>
        <v>0</v>
      </c>
      <c r="AB8" s="95">
        <f t="shared" si="10"/>
        <v>0</v>
      </c>
      <c r="AC8" s="96">
        <f t="shared" si="11"/>
        <v>0</v>
      </c>
    </row>
    <row r="9" spans="1:29" ht="18.75" x14ac:dyDescent="0.3">
      <c r="A9" s="431">
        <f t="shared" ref="A9:A40" si="12">+A8+5</f>
        <v>10</v>
      </c>
      <c r="B9" s="435">
        <v>1045.3891000000001</v>
      </c>
      <c r="C9" s="92">
        <v>12797.549000000001</v>
      </c>
      <c r="D9" s="91">
        <v>1104.2838999999999</v>
      </c>
      <c r="E9" s="436">
        <v>14000.615</v>
      </c>
      <c r="F9" s="93">
        <f t="shared" si="0"/>
        <v>6.8598440503776351E-2</v>
      </c>
      <c r="G9" s="94">
        <f t="shared" si="1"/>
        <v>4.3504106726058603E-2</v>
      </c>
      <c r="H9" s="420">
        <f t="shared" si="2"/>
        <v>7.2463117717056838E-2</v>
      </c>
      <c r="I9" s="95">
        <f t="shared" si="3"/>
        <v>4.7593820440965447E-2</v>
      </c>
      <c r="J9" s="3"/>
      <c r="K9" s="97">
        <f t="shared" ref="K9:K40" si="13">+K8+5</f>
        <v>10</v>
      </c>
      <c r="L9" s="435">
        <v>4966.5615000000007</v>
      </c>
      <c r="M9" s="92">
        <v>65419.015000000007</v>
      </c>
      <c r="N9" s="91">
        <v>12741.691999999999</v>
      </c>
      <c r="O9" s="436">
        <v>159821.49299999999</v>
      </c>
      <c r="P9" s="93">
        <f t="shared" si="4"/>
        <v>3.6431677102168172E-2</v>
      </c>
      <c r="Q9" s="94">
        <f t="shared" si="5"/>
        <v>1.7772556759627522E-2</v>
      </c>
      <c r="R9" s="420">
        <f t="shared" si="6"/>
        <v>9.3465309687452647E-2</v>
      </c>
      <c r="S9" s="95">
        <f t="shared" si="7"/>
        <v>4.3419127538849564E-2</v>
      </c>
      <c r="T9" s="3"/>
      <c r="U9" s="97">
        <f t="shared" ref="U9:U40" si="14">+U8+5</f>
        <v>10</v>
      </c>
      <c r="V9" s="91"/>
      <c r="W9" s="92"/>
      <c r="X9" s="91"/>
      <c r="Y9" s="98"/>
      <c r="Z9" s="93">
        <f t="shared" si="8"/>
        <v>0</v>
      </c>
      <c r="AA9" s="94">
        <f t="shared" si="9"/>
        <v>0</v>
      </c>
      <c r="AB9" s="95">
        <f t="shared" si="10"/>
        <v>0</v>
      </c>
      <c r="AC9" s="96">
        <f t="shared" si="11"/>
        <v>0</v>
      </c>
    </row>
    <row r="10" spans="1:29" ht="18.75" x14ac:dyDescent="0.3">
      <c r="A10" s="431">
        <f t="shared" si="12"/>
        <v>15</v>
      </c>
      <c r="B10" s="435">
        <v>142.76070000000001</v>
      </c>
      <c r="C10" s="92">
        <v>2604.5439999999999</v>
      </c>
      <c r="D10" s="91">
        <v>1165.3213000000001</v>
      </c>
      <c r="E10" s="436">
        <v>22002.768</v>
      </c>
      <c r="F10" s="93">
        <f t="shared" si="0"/>
        <v>9.367958193965735E-3</v>
      </c>
      <c r="G10" s="94">
        <f t="shared" si="1"/>
        <v>8.8539110222368017E-3</v>
      </c>
      <c r="H10" s="420">
        <f t="shared" si="2"/>
        <v>7.6468392358245665E-2</v>
      </c>
      <c r="I10" s="95">
        <f t="shared" si="3"/>
        <v>7.4796413542992254E-2</v>
      </c>
      <c r="J10" s="3"/>
      <c r="K10" s="97">
        <f t="shared" si="13"/>
        <v>15</v>
      </c>
      <c r="L10" s="435">
        <v>5900.0424000000003</v>
      </c>
      <c r="M10" s="92">
        <v>106049.567</v>
      </c>
      <c r="N10" s="91">
        <v>13915.89960000001</v>
      </c>
      <c r="O10" s="436">
        <v>252509.76399999991</v>
      </c>
      <c r="P10" s="93">
        <f t="shared" si="4"/>
        <v>4.3279125730326974E-2</v>
      </c>
      <c r="Q10" s="94">
        <f t="shared" si="5"/>
        <v>2.8810766240387781E-2</v>
      </c>
      <c r="R10" s="420">
        <f t="shared" si="6"/>
        <v>0.10207858310289554</v>
      </c>
      <c r="S10" s="95">
        <f t="shared" si="7"/>
        <v>6.8599995170366732E-2</v>
      </c>
      <c r="T10" s="3"/>
      <c r="U10" s="97">
        <f t="shared" si="14"/>
        <v>15</v>
      </c>
      <c r="V10" s="91"/>
      <c r="W10" s="92"/>
      <c r="X10" s="91"/>
      <c r="Y10" s="98"/>
      <c r="Z10" s="93">
        <f t="shared" si="8"/>
        <v>0</v>
      </c>
      <c r="AA10" s="94">
        <f t="shared" si="9"/>
        <v>0</v>
      </c>
      <c r="AB10" s="95">
        <f t="shared" si="10"/>
        <v>0</v>
      </c>
      <c r="AC10" s="96">
        <f t="shared" si="11"/>
        <v>0</v>
      </c>
    </row>
    <row r="11" spans="1:29" ht="18.75" x14ac:dyDescent="0.3">
      <c r="A11" s="431">
        <f>+A10+5</f>
        <v>20</v>
      </c>
      <c r="B11" s="435">
        <v>2309.2212</v>
      </c>
      <c r="C11" s="92">
        <v>48379.73</v>
      </c>
      <c r="D11" s="91">
        <v>578.58269999999993</v>
      </c>
      <c r="E11" s="436">
        <v>13956.39</v>
      </c>
      <c r="F11" s="93">
        <f t="shared" si="0"/>
        <v>0.1515311122894423</v>
      </c>
      <c r="G11" s="94">
        <f t="shared" si="1"/>
        <v>0.16446250272594379</v>
      </c>
      <c r="H11" s="420">
        <f t="shared" si="2"/>
        <v>3.7966601069844973E-2</v>
      </c>
      <c r="I11" s="95">
        <f t="shared" si="3"/>
        <v>4.7443481565923054E-2</v>
      </c>
      <c r="J11" s="3"/>
      <c r="K11" s="97">
        <f>+K10+5</f>
        <v>20</v>
      </c>
      <c r="L11" s="435">
        <v>6347.3179999999966</v>
      </c>
      <c r="M11" s="92">
        <v>146598.18299999999</v>
      </c>
      <c r="N11" s="91">
        <v>9118.1386999999922</v>
      </c>
      <c r="O11" s="436">
        <v>211657.8109999999</v>
      </c>
      <c r="P11" s="93">
        <f t="shared" si="4"/>
        <v>4.6560067733134834E-2</v>
      </c>
      <c r="Q11" s="94">
        <f t="shared" si="5"/>
        <v>3.9826715951405911E-2</v>
      </c>
      <c r="R11" s="420">
        <f t="shared" si="6"/>
        <v>6.6885124626199263E-2</v>
      </c>
      <c r="S11" s="95">
        <f t="shared" si="7"/>
        <v>5.7501637094597234E-2</v>
      </c>
      <c r="T11" s="3"/>
      <c r="U11" s="97">
        <f>+U10+5</f>
        <v>20</v>
      </c>
      <c r="V11" s="91"/>
      <c r="W11" s="92"/>
      <c r="X11" s="91"/>
      <c r="Y11" s="98"/>
      <c r="Z11" s="93">
        <f t="shared" si="8"/>
        <v>0</v>
      </c>
      <c r="AA11" s="94">
        <f t="shared" si="9"/>
        <v>0</v>
      </c>
      <c r="AB11" s="95">
        <f t="shared" si="10"/>
        <v>0</v>
      </c>
      <c r="AC11" s="96">
        <f t="shared" si="11"/>
        <v>0</v>
      </c>
    </row>
    <row r="12" spans="1:29" ht="18.75" x14ac:dyDescent="0.3">
      <c r="A12" s="431">
        <f t="shared" si="12"/>
        <v>25</v>
      </c>
      <c r="B12" s="435">
        <v>155.84039999999999</v>
      </c>
      <c r="C12" s="92">
        <v>4032.2170000000001</v>
      </c>
      <c r="D12" s="91">
        <v>1098.4427000000001</v>
      </c>
      <c r="E12" s="436">
        <v>30500.403999999999</v>
      </c>
      <c r="F12" s="93">
        <f t="shared" si="0"/>
        <v>1.0226248205079532E-2</v>
      </c>
      <c r="G12" s="94">
        <f t="shared" si="1"/>
        <v>1.3707155855439806E-2</v>
      </c>
      <c r="H12" s="420">
        <f t="shared" si="2"/>
        <v>7.2079818129687265E-2</v>
      </c>
      <c r="I12" s="95">
        <f t="shared" si="3"/>
        <v>0.10368335614920518</v>
      </c>
      <c r="J12" s="3"/>
      <c r="K12" s="97">
        <f t="shared" si="13"/>
        <v>25</v>
      </c>
      <c r="L12" s="435">
        <v>5328.1863999999996</v>
      </c>
      <c r="M12" s="92">
        <v>149044.44699999999</v>
      </c>
      <c r="N12" s="91">
        <v>10821.664600000009</v>
      </c>
      <c r="O12" s="436">
        <v>300732.66599999991</v>
      </c>
      <c r="P12" s="93">
        <f t="shared" si="4"/>
        <v>3.9084337617678516E-2</v>
      </c>
      <c r="Q12" s="94">
        <f t="shared" si="5"/>
        <v>4.0491298959710653E-2</v>
      </c>
      <c r="R12" s="420">
        <f t="shared" si="6"/>
        <v>7.9381155436243814E-2</v>
      </c>
      <c r="S12" s="95">
        <f t="shared" si="7"/>
        <v>8.170083844825704E-2</v>
      </c>
      <c r="T12" s="3"/>
      <c r="U12" s="97">
        <f t="shared" si="14"/>
        <v>25</v>
      </c>
      <c r="V12" s="91"/>
      <c r="W12" s="92"/>
      <c r="X12" s="91"/>
      <c r="Y12" s="98"/>
      <c r="Z12" s="93">
        <f t="shared" si="8"/>
        <v>0</v>
      </c>
      <c r="AA12" s="94">
        <f t="shared" si="9"/>
        <v>0</v>
      </c>
      <c r="AB12" s="95">
        <f t="shared" si="10"/>
        <v>0</v>
      </c>
      <c r="AC12" s="96">
        <f t="shared" si="11"/>
        <v>0</v>
      </c>
    </row>
    <row r="13" spans="1:29" ht="18.75" x14ac:dyDescent="0.3">
      <c r="A13" s="431">
        <f t="shared" si="12"/>
        <v>30</v>
      </c>
      <c r="B13" s="435">
        <v>1347.0456999999999</v>
      </c>
      <c r="C13" s="92">
        <v>42434.637000000002</v>
      </c>
      <c r="D13" s="91">
        <v>1168.4133999999999</v>
      </c>
      <c r="E13" s="436">
        <v>36776.651000000013</v>
      </c>
      <c r="F13" s="93">
        <f t="shared" si="0"/>
        <v>8.8393148835508001E-2</v>
      </c>
      <c r="G13" s="94">
        <f t="shared" si="1"/>
        <v>0.14425269846042826</v>
      </c>
      <c r="H13" s="420">
        <f t="shared" si="2"/>
        <v>7.6671295983203797E-2</v>
      </c>
      <c r="I13" s="95">
        <f t="shared" si="3"/>
        <v>0.12501888839269226</v>
      </c>
      <c r="J13" s="3"/>
      <c r="K13" s="97">
        <f t="shared" si="13"/>
        <v>30</v>
      </c>
      <c r="L13" s="435">
        <v>7727.8747000000003</v>
      </c>
      <c r="M13" s="92">
        <v>244575.99699999989</v>
      </c>
      <c r="N13" s="91">
        <v>7270.1951999999992</v>
      </c>
      <c r="O13" s="436">
        <v>234005.318</v>
      </c>
      <c r="P13" s="93">
        <f t="shared" si="4"/>
        <v>5.6686992752715278E-2</v>
      </c>
      <c r="Q13" s="94">
        <f t="shared" si="5"/>
        <v>6.6444607714209528E-2</v>
      </c>
      <c r="R13" s="420">
        <f t="shared" si="6"/>
        <v>5.3329734061711091E-2</v>
      </c>
      <c r="S13" s="95">
        <f t="shared" si="7"/>
        <v>6.3572843403553042E-2</v>
      </c>
      <c r="T13" s="3"/>
      <c r="U13" s="97">
        <f t="shared" si="14"/>
        <v>30</v>
      </c>
      <c r="V13" s="91"/>
      <c r="W13" s="92"/>
      <c r="X13" s="91"/>
      <c r="Y13" s="98"/>
      <c r="Z13" s="93">
        <f t="shared" si="8"/>
        <v>0</v>
      </c>
      <c r="AA13" s="94">
        <f t="shared" si="9"/>
        <v>0</v>
      </c>
      <c r="AB13" s="95">
        <f t="shared" si="10"/>
        <v>0</v>
      </c>
      <c r="AC13" s="96">
        <f t="shared" si="11"/>
        <v>0</v>
      </c>
    </row>
    <row r="14" spans="1:29" ht="18.75" x14ac:dyDescent="0.3">
      <c r="A14" s="431">
        <f t="shared" si="12"/>
        <v>35</v>
      </c>
      <c r="B14" s="435">
        <v>0</v>
      </c>
      <c r="C14" s="92">
        <v>0</v>
      </c>
      <c r="D14" s="91">
        <v>366.05340000000001</v>
      </c>
      <c r="E14" s="436">
        <v>14374.195</v>
      </c>
      <c r="F14" s="93">
        <f t="shared" si="0"/>
        <v>0</v>
      </c>
      <c r="G14" s="94">
        <f t="shared" si="1"/>
        <v>0</v>
      </c>
      <c r="H14" s="420">
        <f t="shared" si="2"/>
        <v>2.4020426825863254E-2</v>
      </c>
      <c r="I14" s="95">
        <f t="shared" si="3"/>
        <v>4.8863771756699495E-2</v>
      </c>
      <c r="J14" s="3"/>
      <c r="K14" s="97">
        <f t="shared" si="13"/>
        <v>35</v>
      </c>
      <c r="L14" s="435">
        <v>2302.3960000000011</v>
      </c>
      <c r="M14" s="92">
        <v>90084.787999999986</v>
      </c>
      <c r="N14" s="91">
        <v>4079.393599999999</v>
      </c>
      <c r="O14" s="436">
        <v>156197.40900000001</v>
      </c>
      <c r="P14" s="93">
        <f t="shared" si="4"/>
        <v>1.6888977944463916E-2</v>
      </c>
      <c r="Q14" s="94">
        <f t="shared" si="5"/>
        <v>2.4473572521827362E-2</v>
      </c>
      <c r="R14" s="420">
        <f t="shared" si="6"/>
        <v>2.9923952498695797E-2</v>
      </c>
      <c r="S14" s="95">
        <f t="shared" si="7"/>
        <v>4.2434563057228161E-2</v>
      </c>
      <c r="T14" s="3"/>
      <c r="U14" s="97">
        <f t="shared" si="14"/>
        <v>35</v>
      </c>
      <c r="V14" s="91"/>
      <c r="W14" s="92"/>
      <c r="X14" s="91"/>
      <c r="Y14" s="98"/>
      <c r="Z14" s="93">
        <f t="shared" si="8"/>
        <v>0</v>
      </c>
      <c r="AA14" s="94">
        <f t="shared" si="9"/>
        <v>0</v>
      </c>
      <c r="AB14" s="95">
        <f t="shared" si="10"/>
        <v>0</v>
      </c>
      <c r="AC14" s="96">
        <f t="shared" si="11"/>
        <v>0</v>
      </c>
    </row>
    <row r="15" spans="1:29" ht="18.75" x14ac:dyDescent="0.3">
      <c r="A15" s="431">
        <f t="shared" si="12"/>
        <v>40</v>
      </c>
      <c r="B15" s="435">
        <v>63.853299999999997</v>
      </c>
      <c r="C15" s="92">
        <v>2692.8870000000002</v>
      </c>
      <c r="D15" s="91">
        <v>223.60220000000001</v>
      </c>
      <c r="E15" s="436">
        <v>9741.9069999999992</v>
      </c>
      <c r="F15" s="93">
        <f t="shared" si="0"/>
        <v>4.1900540200962323E-3</v>
      </c>
      <c r="G15" s="94">
        <f t="shared" si="1"/>
        <v>9.1542250355295205E-3</v>
      </c>
      <c r="H15" s="420">
        <f t="shared" si="2"/>
        <v>1.4672778024195489E-2</v>
      </c>
      <c r="I15" s="95">
        <f t="shared" si="3"/>
        <v>3.311672898016154E-2</v>
      </c>
      <c r="J15" s="3"/>
      <c r="K15" s="97">
        <f t="shared" si="13"/>
        <v>40</v>
      </c>
      <c r="L15" s="435">
        <v>1100.8607999999999</v>
      </c>
      <c r="M15" s="92">
        <v>47263.399999999987</v>
      </c>
      <c r="N15" s="91">
        <v>1637.8539000000001</v>
      </c>
      <c r="O15" s="436">
        <v>70358.877000000008</v>
      </c>
      <c r="P15" s="93">
        <f t="shared" si="4"/>
        <v>8.0752458617565758E-3</v>
      </c>
      <c r="Q15" s="94">
        <f t="shared" si="5"/>
        <v>1.2840172832822065E-2</v>
      </c>
      <c r="R15" s="420">
        <f t="shared" si="6"/>
        <v>1.2014300925363925E-2</v>
      </c>
      <c r="S15" s="95">
        <f t="shared" si="7"/>
        <v>1.9114582129158494E-2</v>
      </c>
      <c r="T15" s="3"/>
      <c r="U15" s="97">
        <f t="shared" si="14"/>
        <v>40</v>
      </c>
      <c r="V15" s="91"/>
      <c r="W15" s="92"/>
      <c r="X15" s="91"/>
      <c r="Y15" s="98"/>
      <c r="Z15" s="93">
        <f t="shared" si="8"/>
        <v>0</v>
      </c>
      <c r="AA15" s="94">
        <f t="shared" si="9"/>
        <v>0</v>
      </c>
      <c r="AB15" s="95">
        <f t="shared" si="10"/>
        <v>0</v>
      </c>
      <c r="AC15" s="96">
        <f t="shared" si="11"/>
        <v>0</v>
      </c>
    </row>
    <row r="16" spans="1:29" ht="18.75" x14ac:dyDescent="0.3">
      <c r="A16" s="431">
        <f t="shared" si="12"/>
        <v>45</v>
      </c>
      <c r="B16" s="435">
        <v>0</v>
      </c>
      <c r="C16" s="92">
        <v>0</v>
      </c>
      <c r="D16" s="91">
        <v>287.22359999999998</v>
      </c>
      <c r="E16" s="436">
        <v>14361.181</v>
      </c>
      <c r="F16" s="93">
        <f t="shared" si="0"/>
        <v>0</v>
      </c>
      <c r="G16" s="94">
        <f t="shared" si="1"/>
        <v>0</v>
      </c>
      <c r="H16" s="420">
        <f t="shared" si="2"/>
        <v>1.8847614764569913E-2</v>
      </c>
      <c r="I16" s="95">
        <f t="shared" si="3"/>
        <v>4.8819531844437165E-2</v>
      </c>
      <c r="J16" s="3"/>
      <c r="K16" s="97">
        <f t="shared" si="13"/>
        <v>45</v>
      </c>
      <c r="L16" s="435">
        <v>1599.1147000000001</v>
      </c>
      <c r="M16" s="92">
        <v>77084.588000000018</v>
      </c>
      <c r="N16" s="91">
        <v>2612.3629999999998</v>
      </c>
      <c r="O16" s="436">
        <v>127122.955</v>
      </c>
      <c r="P16" s="93">
        <f t="shared" si="4"/>
        <v>1.1730133695058549E-2</v>
      </c>
      <c r="Q16" s="94">
        <f t="shared" si="5"/>
        <v>2.0941773817941205E-2</v>
      </c>
      <c r="R16" s="420">
        <f t="shared" si="6"/>
        <v>1.9162707496856998E-2</v>
      </c>
      <c r="S16" s="95">
        <f t="shared" si="7"/>
        <v>3.4535829272101935E-2</v>
      </c>
      <c r="T16" s="3"/>
      <c r="U16" s="97">
        <f t="shared" si="14"/>
        <v>45</v>
      </c>
      <c r="V16" s="91"/>
      <c r="W16" s="92"/>
      <c r="X16" s="91"/>
      <c r="Y16" s="98"/>
      <c r="Z16" s="93">
        <f t="shared" si="8"/>
        <v>0</v>
      </c>
      <c r="AA16" s="94">
        <f t="shared" si="9"/>
        <v>0</v>
      </c>
      <c r="AB16" s="95">
        <f t="shared" si="10"/>
        <v>0</v>
      </c>
      <c r="AC16" s="96">
        <f t="shared" si="11"/>
        <v>0</v>
      </c>
    </row>
    <row r="17" spans="1:30" ht="18.75" x14ac:dyDescent="0.3">
      <c r="A17" s="431">
        <f t="shared" si="12"/>
        <v>50</v>
      </c>
      <c r="B17" s="435">
        <v>0</v>
      </c>
      <c r="C17" s="92">
        <v>0</v>
      </c>
      <c r="D17" s="435">
        <v>0</v>
      </c>
      <c r="E17" s="92">
        <v>0</v>
      </c>
      <c r="F17" s="93">
        <f t="shared" si="0"/>
        <v>0</v>
      </c>
      <c r="G17" s="94">
        <f t="shared" si="1"/>
        <v>0</v>
      </c>
      <c r="H17" s="420">
        <f t="shared" si="2"/>
        <v>0</v>
      </c>
      <c r="I17" s="95">
        <f t="shared" si="3"/>
        <v>0</v>
      </c>
      <c r="J17" s="3"/>
      <c r="K17" s="97">
        <f t="shared" si="13"/>
        <v>50</v>
      </c>
      <c r="L17" s="435">
        <v>779.29240000000004</v>
      </c>
      <c r="M17" s="92">
        <v>41262.512999999999</v>
      </c>
      <c r="N17" s="91">
        <v>968.11699999999996</v>
      </c>
      <c r="O17" s="436">
        <v>51934.915000000001</v>
      </c>
      <c r="P17" s="93">
        <f t="shared" si="4"/>
        <v>5.716415488859582E-3</v>
      </c>
      <c r="Q17" s="94">
        <f t="shared" si="5"/>
        <v>1.1209895996406679E-2</v>
      </c>
      <c r="R17" s="420">
        <f t="shared" si="6"/>
        <v>7.1015180102209025E-3</v>
      </c>
      <c r="S17" s="95">
        <f t="shared" si="7"/>
        <v>1.4109295663408121E-2</v>
      </c>
      <c r="T17" s="3"/>
      <c r="U17" s="97">
        <f t="shared" si="14"/>
        <v>50</v>
      </c>
      <c r="V17" s="91"/>
      <c r="W17" s="92"/>
      <c r="X17" s="91"/>
      <c r="Y17" s="98"/>
      <c r="Z17" s="93">
        <f t="shared" si="8"/>
        <v>0</v>
      </c>
      <c r="AA17" s="94">
        <f t="shared" si="9"/>
        <v>0</v>
      </c>
      <c r="AB17" s="95">
        <f t="shared" si="10"/>
        <v>0</v>
      </c>
      <c r="AC17" s="96">
        <f t="shared" si="11"/>
        <v>0</v>
      </c>
    </row>
    <row r="18" spans="1:30" ht="18.75" x14ac:dyDescent="0.3">
      <c r="A18" s="431">
        <f t="shared" si="12"/>
        <v>55</v>
      </c>
      <c r="B18" s="435">
        <v>0</v>
      </c>
      <c r="C18" s="92">
        <v>0</v>
      </c>
      <c r="D18" s="435">
        <v>0</v>
      </c>
      <c r="E18" s="92">
        <v>0</v>
      </c>
      <c r="F18" s="93">
        <f t="shared" si="0"/>
        <v>0</v>
      </c>
      <c r="G18" s="94">
        <f t="shared" si="1"/>
        <v>0</v>
      </c>
      <c r="H18" s="420">
        <f t="shared" si="2"/>
        <v>0</v>
      </c>
      <c r="I18" s="95">
        <f t="shared" si="3"/>
        <v>0</v>
      </c>
      <c r="J18" s="3"/>
      <c r="K18" s="97">
        <f t="shared" si="13"/>
        <v>55</v>
      </c>
      <c r="L18" s="435">
        <v>604.45489999999995</v>
      </c>
      <c r="M18" s="92">
        <v>34861.065000000002</v>
      </c>
      <c r="N18" s="91">
        <v>860.30010000000004</v>
      </c>
      <c r="O18" s="436">
        <v>50540.103999999999</v>
      </c>
      <c r="P18" s="93">
        <f t="shared" si="4"/>
        <v>4.4339138334687587E-3</v>
      </c>
      <c r="Q18" s="94">
        <f t="shared" si="5"/>
        <v>9.4707976941194316E-3</v>
      </c>
      <c r="R18" s="420">
        <f t="shared" si="6"/>
        <v>6.3106387495982866E-3</v>
      </c>
      <c r="S18" s="95">
        <f t="shared" si="7"/>
        <v>1.3730363671441368E-2</v>
      </c>
      <c r="T18" s="3"/>
      <c r="U18" s="97">
        <f t="shared" si="14"/>
        <v>55</v>
      </c>
      <c r="V18" s="91"/>
      <c r="W18" s="92"/>
      <c r="X18" s="91"/>
      <c r="Y18" s="98"/>
      <c r="Z18" s="93">
        <f t="shared" si="8"/>
        <v>0</v>
      </c>
      <c r="AA18" s="94">
        <f t="shared" si="9"/>
        <v>0</v>
      </c>
      <c r="AB18" s="95">
        <f t="shared" si="10"/>
        <v>0</v>
      </c>
      <c r="AC18" s="96">
        <f t="shared" si="11"/>
        <v>0</v>
      </c>
    </row>
    <row r="19" spans="1:30" ht="18.75" x14ac:dyDescent="0.3">
      <c r="A19" s="431">
        <f t="shared" si="12"/>
        <v>60</v>
      </c>
      <c r="B19" s="435">
        <v>0</v>
      </c>
      <c r="C19" s="92">
        <v>0</v>
      </c>
      <c r="D19" s="435">
        <v>0</v>
      </c>
      <c r="E19" s="92">
        <v>0</v>
      </c>
      <c r="F19" s="93">
        <f t="shared" si="0"/>
        <v>0</v>
      </c>
      <c r="G19" s="94">
        <f t="shared" si="1"/>
        <v>0</v>
      </c>
      <c r="H19" s="420">
        <f t="shared" si="2"/>
        <v>0</v>
      </c>
      <c r="I19" s="95">
        <f t="shared" si="3"/>
        <v>0</v>
      </c>
      <c r="J19" s="3"/>
      <c r="K19" s="97">
        <f t="shared" si="13"/>
        <v>60</v>
      </c>
      <c r="L19" s="435">
        <v>723.76319999999998</v>
      </c>
      <c r="M19" s="92">
        <v>44492.434999999998</v>
      </c>
      <c r="N19" s="91">
        <v>920.37349999999992</v>
      </c>
      <c r="O19" s="436">
        <v>57821.183999999987</v>
      </c>
      <c r="P19" s="93">
        <f t="shared" si="4"/>
        <v>5.3090870214396743E-3</v>
      </c>
      <c r="Q19" s="94">
        <f t="shared" si="5"/>
        <v>1.208737744540388E-2</v>
      </c>
      <c r="R19" s="420">
        <f t="shared" si="6"/>
        <v>6.7513007068154447E-3</v>
      </c>
      <c r="S19" s="95">
        <f t="shared" si="7"/>
        <v>1.5708433924736812E-2</v>
      </c>
      <c r="T19" s="3"/>
      <c r="U19" s="97">
        <f t="shared" si="14"/>
        <v>60</v>
      </c>
      <c r="V19" s="91"/>
      <c r="W19" s="92"/>
      <c r="X19" s="91"/>
      <c r="Y19" s="98"/>
      <c r="Z19" s="93">
        <f t="shared" si="8"/>
        <v>0</v>
      </c>
      <c r="AA19" s="94">
        <f t="shared" si="9"/>
        <v>0</v>
      </c>
      <c r="AB19" s="95">
        <f t="shared" si="10"/>
        <v>0</v>
      </c>
      <c r="AC19" s="96">
        <f t="shared" si="11"/>
        <v>0</v>
      </c>
    </row>
    <row r="20" spans="1:30" ht="18.75" x14ac:dyDescent="0.3">
      <c r="A20" s="431">
        <f t="shared" si="12"/>
        <v>65</v>
      </c>
      <c r="B20" s="435">
        <v>0</v>
      </c>
      <c r="C20" s="92">
        <v>0</v>
      </c>
      <c r="D20" s="435">
        <v>0</v>
      </c>
      <c r="E20" s="92">
        <v>0</v>
      </c>
      <c r="F20" s="93">
        <f t="shared" si="0"/>
        <v>0</v>
      </c>
      <c r="G20" s="94">
        <f t="shared" si="1"/>
        <v>0</v>
      </c>
      <c r="H20" s="420">
        <f t="shared" si="2"/>
        <v>0</v>
      </c>
      <c r="I20" s="95">
        <f t="shared" si="3"/>
        <v>0</v>
      </c>
      <c r="J20" s="3"/>
      <c r="K20" s="97">
        <f t="shared" si="13"/>
        <v>65</v>
      </c>
      <c r="L20" s="435">
        <v>126.37569999999999</v>
      </c>
      <c r="M20" s="92">
        <v>8613.8780000000006</v>
      </c>
      <c r="N20" s="91">
        <v>816.97250000000008</v>
      </c>
      <c r="O20" s="436">
        <v>55048.938999999998</v>
      </c>
      <c r="P20" s="93">
        <f t="shared" si="4"/>
        <v>9.2701533967926779E-4</v>
      </c>
      <c r="Q20" s="94">
        <f t="shared" si="5"/>
        <v>2.3401550096024347E-3</v>
      </c>
      <c r="R20" s="420">
        <f t="shared" si="6"/>
        <v>5.9928138051549527E-3</v>
      </c>
      <c r="S20" s="95">
        <f t="shared" si="7"/>
        <v>1.4955290796334569E-2</v>
      </c>
      <c r="T20" s="3"/>
      <c r="U20" s="97">
        <f t="shared" si="14"/>
        <v>65</v>
      </c>
      <c r="V20" s="91"/>
      <c r="W20" s="92"/>
      <c r="X20" s="91"/>
      <c r="Y20" s="98"/>
      <c r="Z20" s="93">
        <f t="shared" si="8"/>
        <v>0</v>
      </c>
      <c r="AA20" s="94">
        <f t="shared" si="9"/>
        <v>0</v>
      </c>
      <c r="AB20" s="95">
        <f t="shared" si="10"/>
        <v>0</v>
      </c>
      <c r="AC20" s="96">
        <f t="shared" si="11"/>
        <v>0</v>
      </c>
    </row>
    <row r="21" spans="1:30" ht="18.75" x14ac:dyDescent="0.3">
      <c r="A21" s="431">
        <f t="shared" si="12"/>
        <v>70</v>
      </c>
      <c r="B21" s="435">
        <v>0</v>
      </c>
      <c r="C21" s="92">
        <v>0</v>
      </c>
      <c r="D21" s="435">
        <v>0</v>
      </c>
      <c r="E21" s="92">
        <v>0</v>
      </c>
      <c r="F21" s="93">
        <f t="shared" si="0"/>
        <v>0</v>
      </c>
      <c r="G21" s="94">
        <f t="shared" si="1"/>
        <v>0</v>
      </c>
      <c r="H21" s="420">
        <f t="shared" si="2"/>
        <v>0</v>
      </c>
      <c r="I21" s="95">
        <f t="shared" si="3"/>
        <v>0</v>
      </c>
      <c r="J21" s="3"/>
      <c r="K21" s="97">
        <f t="shared" si="13"/>
        <v>70</v>
      </c>
      <c r="L21" s="435">
        <v>544.72579999999994</v>
      </c>
      <c r="M21" s="92">
        <v>38624.392999999996</v>
      </c>
      <c r="N21" s="91">
        <v>721.98379999999997</v>
      </c>
      <c r="O21" s="436">
        <v>52864.85</v>
      </c>
      <c r="P21" s="93">
        <f t="shared" si="4"/>
        <v>3.995777451828642E-3</v>
      </c>
      <c r="Q21" s="94">
        <f t="shared" si="5"/>
        <v>1.0493190961353666E-2</v>
      </c>
      <c r="R21" s="420">
        <f t="shared" si="6"/>
        <v>5.2960344243389241E-3</v>
      </c>
      <c r="S21" s="95">
        <f t="shared" si="7"/>
        <v>1.4361933563417226E-2</v>
      </c>
      <c r="T21" s="3"/>
      <c r="U21" s="97">
        <f t="shared" si="14"/>
        <v>70</v>
      </c>
      <c r="V21" s="91"/>
      <c r="W21" s="92"/>
      <c r="X21" s="91"/>
      <c r="Y21" s="98"/>
      <c r="Z21" s="93">
        <f t="shared" si="8"/>
        <v>0</v>
      </c>
      <c r="AA21" s="94">
        <f t="shared" si="9"/>
        <v>0</v>
      </c>
      <c r="AB21" s="95">
        <f t="shared" si="10"/>
        <v>0</v>
      </c>
      <c r="AC21" s="96">
        <f t="shared" si="11"/>
        <v>0</v>
      </c>
    </row>
    <row r="22" spans="1:30" ht="18.75" x14ac:dyDescent="0.3">
      <c r="A22" s="431">
        <f t="shared" si="12"/>
        <v>75</v>
      </c>
      <c r="B22" s="435">
        <v>0</v>
      </c>
      <c r="C22" s="92">
        <v>0</v>
      </c>
      <c r="D22" s="435">
        <v>0</v>
      </c>
      <c r="E22" s="92">
        <v>0</v>
      </c>
      <c r="F22" s="93">
        <f t="shared" si="0"/>
        <v>0</v>
      </c>
      <c r="G22" s="94">
        <f t="shared" si="1"/>
        <v>0</v>
      </c>
      <c r="H22" s="420">
        <f t="shared" si="2"/>
        <v>0</v>
      </c>
      <c r="I22" s="95">
        <f t="shared" si="3"/>
        <v>0</v>
      </c>
      <c r="J22" s="99"/>
      <c r="K22" s="97">
        <f t="shared" si="13"/>
        <v>75</v>
      </c>
      <c r="L22" s="435">
        <v>248.11109999999999</v>
      </c>
      <c r="M22" s="92">
        <v>18990.672999999999</v>
      </c>
      <c r="N22" s="91">
        <v>976.55410000000006</v>
      </c>
      <c r="O22" s="436">
        <v>76589.323000000004</v>
      </c>
      <c r="P22" s="93">
        <f t="shared" si="4"/>
        <v>1.8199922583589786E-3</v>
      </c>
      <c r="Q22" s="94">
        <f t="shared" si="5"/>
        <v>5.1592463413890569E-3</v>
      </c>
      <c r="R22" s="420">
        <f t="shared" si="6"/>
        <v>7.1634074487949961E-3</v>
      </c>
      <c r="S22" s="95">
        <f t="shared" si="7"/>
        <v>2.0807223866011217E-2</v>
      </c>
      <c r="T22" s="99"/>
      <c r="U22" s="97">
        <f t="shared" si="14"/>
        <v>75</v>
      </c>
      <c r="V22" s="91"/>
      <c r="W22" s="92"/>
      <c r="X22" s="91"/>
      <c r="Y22" s="98"/>
      <c r="Z22" s="93">
        <f t="shared" si="8"/>
        <v>0</v>
      </c>
      <c r="AA22" s="94">
        <f t="shared" si="9"/>
        <v>0</v>
      </c>
      <c r="AB22" s="95">
        <f t="shared" si="10"/>
        <v>0</v>
      </c>
      <c r="AC22" s="96">
        <f t="shared" si="11"/>
        <v>0</v>
      </c>
    </row>
    <row r="23" spans="1:30" ht="18.75" x14ac:dyDescent="0.3">
      <c r="A23" s="431">
        <f t="shared" si="12"/>
        <v>80</v>
      </c>
      <c r="B23" s="435">
        <v>0</v>
      </c>
      <c r="C23" s="92">
        <v>0</v>
      </c>
      <c r="D23" s="435">
        <v>0</v>
      </c>
      <c r="E23" s="92">
        <v>0</v>
      </c>
      <c r="F23" s="93">
        <f t="shared" si="0"/>
        <v>0</v>
      </c>
      <c r="G23" s="94">
        <f t="shared" si="1"/>
        <v>0</v>
      </c>
      <c r="H23" s="420">
        <f t="shared" si="2"/>
        <v>0</v>
      </c>
      <c r="I23" s="95">
        <f t="shared" si="3"/>
        <v>0</v>
      </c>
      <c r="J23" s="3"/>
      <c r="K23" s="97">
        <f t="shared" si="13"/>
        <v>80</v>
      </c>
      <c r="L23" s="435">
        <v>75.343000000000004</v>
      </c>
      <c r="M23" s="92">
        <v>6288.3530000000001</v>
      </c>
      <c r="N23" s="91">
        <v>220.42910000000001</v>
      </c>
      <c r="O23" s="436">
        <v>18187.484</v>
      </c>
      <c r="P23" s="93">
        <f t="shared" si="4"/>
        <v>5.5267046384277268E-4</v>
      </c>
      <c r="Q23" s="94">
        <f t="shared" si="5"/>
        <v>1.7083734846370586E-3</v>
      </c>
      <c r="R23" s="420">
        <f t="shared" si="6"/>
        <v>1.6169339280549609E-3</v>
      </c>
      <c r="S23" s="95">
        <f t="shared" si="7"/>
        <v>4.9410418622906106E-3</v>
      </c>
      <c r="T23" s="3"/>
      <c r="U23" s="97">
        <f t="shared" si="14"/>
        <v>80</v>
      </c>
      <c r="V23" s="91"/>
      <c r="W23" s="92"/>
      <c r="X23" s="91"/>
      <c r="Y23" s="98"/>
      <c r="Z23" s="93">
        <f t="shared" si="8"/>
        <v>0</v>
      </c>
      <c r="AA23" s="94">
        <f t="shared" si="9"/>
        <v>0</v>
      </c>
      <c r="AB23" s="95">
        <f t="shared" si="10"/>
        <v>0</v>
      </c>
      <c r="AC23" s="96">
        <f t="shared" si="11"/>
        <v>0</v>
      </c>
    </row>
    <row r="24" spans="1:30" ht="18.75" x14ac:dyDescent="0.3">
      <c r="A24" s="431">
        <f t="shared" si="12"/>
        <v>85</v>
      </c>
      <c r="B24" s="435">
        <v>0</v>
      </c>
      <c r="C24" s="92">
        <v>0</v>
      </c>
      <c r="D24" s="435">
        <v>0</v>
      </c>
      <c r="E24" s="92">
        <v>0</v>
      </c>
      <c r="F24" s="93">
        <f t="shared" si="0"/>
        <v>0</v>
      </c>
      <c r="G24" s="94">
        <f t="shared" si="1"/>
        <v>0</v>
      </c>
      <c r="H24" s="420">
        <f t="shared" si="2"/>
        <v>0</v>
      </c>
      <c r="I24" s="95">
        <f t="shared" si="3"/>
        <v>0</v>
      </c>
      <c r="J24" s="3"/>
      <c r="K24" s="97">
        <f t="shared" si="13"/>
        <v>85</v>
      </c>
      <c r="L24" s="435"/>
      <c r="M24" s="92"/>
      <c r="N24" s="91">
        <v>380.62959999999998</v>
      </c>
      <c r="O24" s="436">
        <v>33383.370999999999</v>
      </c>
      <c r="P24" s="93">
        <f t="shared" si="4"/>
        <v>0</v>
      </c>
      <c r="Q24" s="94">
        <f t="shared" si="5"/>
        <v>0</v>
      </c>
      <c r="R24" s="420">
        <f t="shared" si="6"/>
        <v>2.7920674460041278E-3</v>
      </c>
      <c r="S24" s="95">
        <f t="shared" si="7"/>
        <v>9.0693486584168745E-3</v>
      </c>
      <c r="T24" s="3"/>
      <c r="U24" s="97">
        <f t="shared" si="14"/>
        <v>85</v>
      </c>
      <c r="V24" s="91"/>
      <c r="W24" s="92"/>
      <c r="X24" s="91"/>
      <c r="Y24" s="98"/>
      <c r="Z24" s="93">
        <f t="shared" si="8"/>
        <v>0</v>
      </c>
      <c r="AA24" s="94">
        <f t="shared" si="9"/>
        <v>0</v>
      </c>
      <c r="AB24" s="95">
        <f t="shared" si="10"/>
        <v>0</v>
      </c>
      <c r="AC24" s="96">
        <f t="shared" si="11"/>
        <v>0</v>
      </c>
      <c r="AD24" s="100"/>
    </row>
    <row r="25" spans="1:30" ht="18.75" x14ac:dyDescent="0.3">
      <c r="A25" s="431">
        <f t="shared" si="12"/>
        <v>90</v>
      </c>
      <c r="B25" s="435">
        <v>0</v>
      </c>
      <c r="C25" s="92">
        <v>0</v>
      </c>
      <c r="D25" s="435">
        <v>0</v>
      </c>
      <c r="E25" s="92">
        <v>0</v>
      </c>
      <c r="F25" s="93">
        <f t="shared" si="0"/>
        <v>0</v>
      </c>
      <c r="G25" s="94">
        <f t="shared" si="1"/>
        <v>0</v>
      </c>
      <c r="H25" s="420">
        <f t="shared" si="2"/>
        <v>0</v>
      </c>
      <c r="I25" s="95">
        <f t="shared" si="3"/>
        <v>0</v>
      </c>
      <c r="J25" s="3"/>
      <c r="K25" s="97">
        <f t="shared" si="13"/>
        <v>90</v>
      </c>
      <c r="L25" s="435"/>
      <c r="M25" s="92"/>
      <c r="N25" s="91">
        <v>306.65960000000001</v>
      </c>
      <c r="O25" s="436">
        <v>28552.463</v>
      </c>
      <c r="P25" s="93">
        <f t="shared" si="4"/>
        <v>0</v>
      </c>
      <c r="Q25" s="94">
        <f t="shared" si="5"/>
        <v>0</v>
      </c>
      <c r="R25" s="420">
        <f t="shared" si="6"/>
        <v>2.2494684758217632E-3</v>
      </c>
      <c r="S25" s="95">
        <f t="shared" si="7"/>
        <v>7.7569231101181323E-3</v>
      </c>
      <c r="T25" s="3"/>
      <c r="U25" s="97">
        <f t="shared" si="14"/>
        <v>90</v>
      </c>
      <c r="V25" s="91"/>
      <c r="W25" s="92"/>
      <c r="X25" s="91"/>
      <c r="Y25" s="98"/>
      <c r="Z25" s="93">
        <f t="shared" si="8"/>
        <v>0</v>
      </c>
      <c r="AA25" s="94">
        <f t="shared" si="9"/>
        <v>0</v>
      </c>
      <c r="AB25" s="95">
        <f t="shared" si="10"/>
        <v>0</v>
      </c>
      <c r="AC25" s="96">
        <f t="shared" si="11"/>
        <v>0</v>
      </c>
      <c r="AD25" s="100"/>
    </row>
    <row r="26" spans="1:30" ht="18.75" x14ac:dyDescent="0.3">
      <c r="A26" s="431">
        <f t="shared" si="12"/>
        <v>95</v>
      </c>
      <c r="B26" s="435">
        <v>0</v>
      </c>
      <c r="C26" s="92">
        <v>0</v>
      </c>
      <c r="D26" s="435">
        <v>0</v>
      </c>
      <c r="E26" s="92">
        <v>0</v>
      </c>
      <c r="F26" s="93">
        <f t="shared" si="0"/>
        <v>0</v>
      </c>
      <c r="G26" s="94">
        <f t="shared" si="1"/>
        <v>0</v>
      </c>
      <c r="H26" s="420">
        <f t="shared" si="2"/>
        <v>0</v>
      </c>
      <c r="I26" s="95">
        <f t="shared" si="3"/>
        <v>0</v>
      </c>
      <c r="J26" s="3"/>
      <c r="K26" s="97">
        <f t="shared" si="13"/>
        <v>95</v>
      </c>
      <c r="L26" s="435">
        <v>266.86079999999998</v>
      </c>
      <c r="M26" s="92">
        <v>26686.09</v>
      </c>
      <c r="N26" s="91">
        <v>682.24120000000005</v>
      </c>
      <c r="O26" s="436">
        <v>67746.654999999999</v>
      </c>
      <c r="P26" s="93">
        <f t="shared" si="4"/>
        <v>1.9575286638102195E-3</v>
      </c>
      <c r="Q26" s="94">
        <f t="shared" si="5"/>
        <v>7.2498806228973095E-3</v>
      </c>
      <c r="R26" s="420">
        <f t="shared" si="6"/>
        <v>5.0045068613759711E-3</v>
      </c>
      <c r="S26" s="95">
        <f t="shared" si="7"/>
        <v>1.8404912872234527E-2</v>
      </c>
      <c r="T26" s="3"/>
      <c r="U26" s="97">
        <f t="shared" si="14"/>
        <v>95</v>
      </c>
      <c r="V26" s="91"/>
      <c r="W26" s="92"/>
      <c r="X26" s="91"/>
      <c r="Y26" s="98"/>
      <c r="Z26" s="93">
        <f t="shared" si="8"/>
        <v>0</v>
      </c>
      <c r="AA26" s="94">
        <f t="shared" si="9"/>
        <v>0</v>
      </c>
      <c r="AB26" s="95">
        <f t="shared" si="10"/>
        <v>0</v>
      </c>
      <c r="AC26" s="96">
        <f t="shared" si="11"/>
        <v>0</v>
      </c>
    </row>
    <row r="27" spans="1:30" ht="18.75" x14ac:dyDescent="0.3">
      <c r="A27" s="431">
        <f t="shared" si="12"/>
        <v>100</v>
      </c>
      <c r="B27" s="435">
        <v>0</v>
      </c>
      <c r="C27" s="92">
        <v>0</v>
      </c>
      <c r="D27" s="435">
        <v>0</v>
      </c>
      <c r="E27" s="92">
        <v>0</v>
      </c>
      <c r="F27" s="93">
        <f t="shared" si="0"/>
        <v>0</v>
      </c>
      <c r="G27" s="94">
        <f t="shared" si="1"/>
        <v>0</v>
      </c>
      <c r="H27" s="420">
        <f t="shared" si="2"/>
        <v>0</v>
      </c>
      <c r="I27" s="95">
        <f t="shared" si="3"/>
        <v>0</v>
      </c>
      <c r="J27" s="3"/>
      <c r="K27" s="97">
        <f t="shared" si="13"/>
        <v>100</v>
      </c>
      <c r="L27" s="435">
        <v>332.8537</v>
      </c>
      <c r="M27" s="92">
        <v>33708.974000000002</v>
      </c>
      <c r="N27" s="91">
        <v>411.84609999999998</v>
      </c>
      <c r="O27" s="436">
        <v>42101.336000000003</v>
      </c>
      <c r="P27" s="93">
        <f t="shared" si="4"/>
        <v>2.4416124758873826E-3</v>
      </c>
      <c r="Q27" s="94">
        <f t="shared" si="5"/>
        <v>9.1578060862550197E-3</v>
      </c>
      <c r="R27" s="420">
        <f t="shared" si="6"/>
        <v>3.0210527204761811E-3</v>
      </c>
      <c r="S27" s="95">
        <f t="shared" si="7"/>
        <v>1.143778125849418E-2</v>
      </c>
      <c r="T27" s="3"/>
      <c r="U27" s="97">
        <f t="shared" si="14"/>
        <v>100</v>
      </c>
      <c r="V27" s="91"/>
      <c r="W27" s="92"/>
      <c r="X27" s="91"/>
      <c r="Y27" s="98"/>
      <c r="Z27" s="93">
        <f t="shared" si="8"/>
        <v>0</v>
      </c>
      <c r="AA27" s="94">
        <f t="shared" si="9"/>
        <v>0</v>
      </c>
      <c r="AB27" s="95">
        <f t="shared" si="10"/>
        <v>0</v>
      </c>
      <c r="AC27" s="96">
        <f t="shared" si="11"/>
        <v>0</v>
      </c>
      <c r="AD27" s="100"/>
    </row>
    <row r="28" spans="1:30" ht="18.75" x14ac:dyDescent="0.3">
      <c r="A28" s="431">
        <f t="shared" si="12"/>
        <v>105</v>
      </c>
      <c r="B28" s="435">
        <v>0</v>
      </c>
      <c r="C28" s="92">
        <v>0</v>
      </c>
      <c r="D28" s="435">
        <v>0</v>
      </c>
      <c r="E28" s="92">
        <v>0</v>
      </c>
      <c r="F28" s="93">
        <f t="shared" si="0"/>
        <v>0</v>
      </c>
      <c r="G28" s="94">
        <f t="shared" si="1"/>
        <v>0</v>
      </c>
      <c r="H28" s="420">
        <f t="shared" si="2"/>
        <v>0</v>
      </c>
      <c r="I28" s="95">
        <f t="shared" si="3"/>
        <v>0</v>
      </c>
      <c r="J28" s="3"/>
      <c r="K28" s="97">
        <f t="shared" si="13"/>
        <v>105</v>
      </c>
      <c r="L28" s="435">
        <v>608.90949999999998</v>
      </c>
      <c r="M28" s="92">
        <v>66980.047000000006</v>
      </c>
      <c r="N28" s="91"/>
      <c r="O28" s="436"/>
      <c r="P28" s="93">
        <f t="shared" si="4"/>
        <v>4.4665900721138092E-3</v>
      </c>
      <c r="Q28" s="94">
        <f t="shared" si="5"/>
        <v>1.8196646450118811E-2</v>
      </c>
      <c r="R28" s="420">
        <f t="shared" si="6"/>
        <v>0</v>
      </c>
      <c r="S28" s="95">
        <f t="shared" si="7"/>
        <v>0</v>
      </c>
      <c r="T28" s="3"/>
      <c r="U28" s="97">
        <f t="shared" si="14"/>
        <v>105</v>
      </c>
      <c r="V28" s="91"/>
      <c r="W28" s="92"/>
      <c r="X28" s="91"/>
      <c r="Y28" s="98"/>
      <c r="Z28" s="93">
        <f t="shared" si="8"/>
        <v>0</v>
      </c>
      <c r="AA28" s="94">
        <f t="shared" si="9"/>
        <v>0</v>
      </c>
      <c r="AB28" s="95">
        <f t="shared" si="10"/>
        <v>0</v>
      </c>
      <c r="AC28" s="96">
        <f t="shared" si="11"/>
        <v>0</v>
      </c>
      <c r="AD28" s="100"/>
    </row>
    <row r="29" spans="1:30" ht="18.75" x14ac:dyDescent="0.3">
      <c r="A29" s="431">
        <f t="shared" si="12"/>
        <v>110</v>
      </c>
      <c r="B29" s="435">
        <v>0</v>
      </c>
      <c r="C29" s="92">
        <v>0</v>
      </c>
      <c r="D29" s="435">
        <v>0</v>
      </c>
      <c r="E29" s="92">
        <v>0</v>
      </c>
      <c r="F29" s="93">
        <f t="shared" si="0"/>
        <v>0</v>
      </c>
      <c r="G29" s="94">
        <f t="shared" si="1"/>
        <v>0</v>
      </c>
      <c r="H29" s="420">
        <f t="shared" si="2"/>
        <v>0</v>
      </c>
      <c r="I29" s="95">
        <f t="shared" si="3"/>
        <v>0</v>
      </c>
      <c r="J29" s="3"/>
      <c r="K29" s="97">
        <f t="shared" si="13"/>
        <v>110</v>
      </c>
      <c r="L29" s="435"/>
      <c r="M29" s="92"/>
      <c r="N29" s="91"/>
      <c r="O29" s="436"/>
      <c r="P29" s="93">
        <f t="shared" si="4"/>
        <v>0</v>
      </c>
      <c r="Q29" s="94">
        <f t="shared" si="5"/>
        <v>0</v>
      </c>
      <c r="R29" s="420">
        <f t="shared" si="6"/>
        <v>0</v>
      </c>
      <c r="S29" s="95">
        <f t="shared" si="7"/>
        <v>0</v>
      </c>
      <c r="T29" s="3"/>
      <c r="U29" s="97">
        <f t="shared" si="14"/>
        <v>110</v>
      </c>
      <c r="V29" s="91"/>
      <c r="W29" s="92"/>
      <c r="X29" s="91"/>
      <c r="Y29" s="98"/>
      <c r="Z29" s="93">
        <f t="shared" si="8"/>
        <v>0</v>
      </c>
      <c r="AA29" s="94">
        <f t="shared" si="9"/>
        <v>0</v>
      </c>
      <c r="AB29" s="95">
        <f t="shared" si="10"/>
        <v>0</v>
      </c>
      <c r="AC29" s="96">
        <f t="shared" si="11"/>
        <v>0</v>
      </c>
      <c r="AD29" s="100"/>
    </row>
    <row r="30" spans="1:30" ht="18.75" x14ac:dyDescent="0.3">
      <c r="A30" s="431">
        <f t="shared" si="12"/>
        <v>115</v>
      </c>
      <c r="B30" s="435">
        <v>0</v>
      </c>
      <c r="C30" s="92">
        <v>0</v>
      </c>
      <c r="D30" s="435">
        <v>0</v>
      </c>
      <c r="E30" s="92">
        <v>0</v>
      </c>
      <c r="F30" s="93">
        <f t="shared" si="0"/>
        <v>0</v>
      </c>
      <c r="G30" s="94">
        <f t="shared" si="1"/>
        <v>0</v>
      </c>
      <c r="H30" s="420">
        <f t="shared" si="2"/>
        <v>0</v>
      </c>
      <c r="I30" s="95">
        <f t="shared" si="3"/>
        <v>0</v>
      </c>
      <c r="J30" s="3"/>
      <c r="K30" s="97">
        <f t="shared" si="13"/>
        <v>115</v>
      </c>
      <c r="L30" s="435"/>
      <c r="M30" s="92"/>
      <c r="N30" s="91">
        <v>142.61789999999999</v>
      </c>
      <c r="O30" s="436">
        <v>16736.355</v>
      </c>
      <c r="P30" s="93">
        <f t="shared" si="4"/>
        <v>0</v>
      </c>
      <c r="Q30" s="94">
        <f t="shared" si="5"/>
        <v>0</v>
      </c>
      <c r="R30" s="420">
        <f t="shared" si="6"/>
        <v>1.0461582488788892E-3</v>
      </c>
      <c r="S30" s="95">
        <f t="shared" si="7"/>
        <v>4.5468098103705152E-3</v>
      </c>
      <c r="T30" s="3"/>
      <c r="U30" s="97">
        <f t="shared" si="14"/>
        <v>115</v>
      </c>
      <c r="V30" s="91"/>
      <c r="W30" s="92"/>
      <c r="X30" s="91"/>
      <c r="Y30" s="98"/>
      <c r="Z30" s="93">
        <f t="shared" si="8"/>
        <v>0</v>
      </c>
      <c r="AA30" s="94">
        <f t="shared" si="9"/>
        <v>0</v>
      </c>
      <c r="AB30" s="95">
        <f t="shared" si="10"/>
        <v>0</v>
      </c>
      <c r="AC30" s="96">
        <f t="shared" si="11"/>
        <v>0</v>
      </c>
      <c r="AD30" s="101"/>
    </row>
    <row r="31" spans="1:30" ht="18.75" x14ac:dyDescent="0.3">
      <c r="A31" s="431">
        <f t="shared" si="12"/>
        <v>120</v>
      </c>
      <c r="B31" s="435">
        <v>0</v>
      </c>
      <c r="C31" s="92">
        <v>0</v>
      </c>
      <c r="D31" s="435">
        <v>0</v>
      </c>
      <c r="E31" s="92">
        <v>0</v>
      </c>
      <c r="F31" s="93">
        <f t="shared" si="0"/>
        <v>0</v>
      </c>
      <c r="G31" s="94">
        <f t="shared" si="1"/>
        <v>0</v>
      </c>
      <c r="H31" s="420">
        <f t="shared" si="2"/>
        <v>0</v>
      </c>
      <c r="I31" s="95">
        <f t="shared" si="3"/>
        <v>0</v>
      </c>
      <c r="J31" s="3"/>
      <c r="K31" s="97">
        <f t="shared" si="13"/>
        <v>120</v>
      </c>
      <c r="L31" s="435"/>
      <c r="M31" s="92"/>
      <c r="N31" s="91"/>
      <c r="O31" s="436"/>
      <c r="P31" s="93">
        <f t="shared" si="4"/>
        <v>0</v>
      </c>
      <c r="Q31" s="94">
        <f t="shared" si="5"/>
        <v>0</v>
      </c>
      <c r="R31" s="420">
        <f t="shared" si="6"/>
        <v>0</v>
      </c>
      <c r="S31" s="95">
        <f t="shared" si="7"/>
        <v>0</v>
      </c>
      <c r="T31" s="3"/>
      <c r="U31" s="97">
        <f t="shared" si="14"/>
        <v>120</v>
      </c>
      <c r="V31" s="91"/>
      <c r="W31" s="92"/>
      <c r="X31" s="91"/>
      <c r="Y31" s="98"/>
      <c r="Z31" s="93">
        <f t="shared" si="8"/>
        <v>0</v>
      </c>
      <c r="AA31" s="94">
        <f t="shared" si="9"/>
        <v>0</v>
      </c>
      <c r="AB31" s="95">
        <f t="shared" si="10"/>
        <v>0</v>
      </c>
      <c r="AC31" s="96">
        <f t="shared" si="11"/>
        <v>0</v>
      </c>
      <c r="AD31" s="101"/>
    </row>
    <row r="32" spans="1:30" ht="18.75" x14ac:dyDescent="0.3">
      <c r="A32" s="431">
        <f t="shared" si="12"/>
        <v>125</v>
      </c>
      <c r="B32" s="435">
        <v>0</v>
      </c>
      <c r="C32" s="92">
        <v>0</v>
      </c>
      <c r="D32" s="435">
        <v>0</v>
      </c>
      <c r="E32" s="92">
        <v>0</v>
      </c>
      <c r="F32" s="93">
        <f t="shared" si="0"/>
        <v>0</v>
      </c>
      <c r="G32" s="94">
        <f t="shared" si="1"/>
        <v>0</v>
      </c>
      <c r="H32" s="420">
        <f t="shared" si="2"/>
        <v>0</v>
      </c>
      <c r="I32" s="95">
        <f t="shared" si="3"/>
        <v>0</v>
      </c>
      <c r="J32" s="3"/>
      <c r="K32" s="97">
        <f t="shared" si="13"/>
        <v>125</v>
      </c>
      <c r="L32" s="435"/>
      <c r="M32" s="92"/>
      <c r="N32" s="91"/>
      <c r="O32" s="436"/>
      <c r="P32" s="93">
        <f t="shared" si="4"/>
        <v>0</v>
      </c>
      <c r="Q32" s="94">
        <f t="shared" si="5"/>
        <v>0</v>
      </c>
      <c r="R32" s="420">
        <f t="shared" si="6"/>
        <v>0</v>
      </c>
      <c r="S32" s="95">
        <f t="shared" si="7"/>
        <v>0</v>
      </c>
      <c r="T32" s="3"/>
      <c r="U32" s="97">
        <f t="shared" si="14"/>
        <v>125</v>
      </c>
      <c r="V32" s="91"/>
      <c r="W32" s="92"/>
      <c r="X32" s="91"/>
      <c r="Y32" s="98"/>
      <c r="Z32" s="93">
        <f t="shared" si="8"/>
        <v>0</v>
      </c>
      <c r="AA32" s="94">
        <f t="shared" si="9"/>
        <v>0</v>
      </c>
      <c r="AB32" s="95">
        <f t="shared" si="10"/>
        <v>0</v>
      </c>
      <c r="AC32" s="96">
        <f t="shared" si="11"/>
        <v>0</v>
      </c>
      <c r="AD32" s="101"/>
    </row>
    <row r="33" spans="1:29" ht="18.75" x14ac:dyDescent="0.3">
      <c r="A33" s="431">
        <f t="shared" si="12"/>
        <v>130</v>
      </c>
      <c r="B33" s="435">
        <v>0</v>
      </c>
      <c r="C33" s="92">
        <v>0</v>
      </c>
      <c r="D33" s="435">
        <v>0</v>
      </c>
      <c r="E33" s="92">
        <v>0</v>
      </c>
      <c r="F33" s="93">
        <f t="shared" si="0"/>
        <v>0</v>
      </c>
      <c r="G33" s="94">
        <f t="shared" si="1"/>
        <v>0</v>
      </c>
      <c r="H33" s="420">
        <f t="shared" si="2"/>
        <v>0</v>
      </c>
      <c r="I33" s="95">
        <f t="shared" si="3"/>
        <v>0</v>
      </c>
      <c r="J33" s="3"/>
      <c r="K33" s="97">
        <f t="shared" si="13"/>
        <v>130</v>
      </c>
      <c r="L33" s="435"/>
      <c r="M33" s="92"/>
      <c r="N33" s="91"/>
      <c r="O33" s="436"/>
      <c r="P33" s="93">
        <f t="shared" si="4"/>
        <v>0</v>
      </c>
      <c r="Q33" s="94">
        <f t="shared" si="5"/>
        <v>0</v>
      </c>
      <c r="R33" s="420">
        <f t="shared" si="6"/>
        <v>0</v>
      </c>
      <c r="S33" s="95">
        <f t="shared" si="7"/>
        <v>0</v>
      </c>
      <c r="T33" s="3"/>
      <c r="U33" s="97">
        <f t="shared" si="14"/>
        <v>130</v>
      </c>
      <c r="V33" s="91"/>
      <c r="W33" s="92"/>
      <c r="X33" s="91"/>
      <c r="Y33" s="98"/>
      <c r="Z33" s="93">
        <f t="shared" si="8"/>
        <v>0</v>
      </c>
      <c r="AA33" s="94">
        <f t="shared" si="9"/>
        <v>0</v>
      </c>
      <c r="AB33" s="95">
        <f t="shared" si="10"/>
        <v>0</v>
      </c>
      <c r="AC33" s="96">
        <f t="shared" si="11"/>
        <v>0</v>
      </c>
    </row>
    <row r="34" spans="1:29" ht="18.75" x14ac:dyDescent="0.3">
      <c r="A34" s="431">
        <f t="shared" si="12"/>
        <v>135</v>
      </c>
      <c r="B34" s="435">
        <v>0</v>
      </c>
      <c r="C34" s="92">
        <v>0</v>
      </c>
      <c r="D34" s="435">
        <v>0</v>
      </c>
      <c r="E34" s="92">
        <v>0</v>
      </c>
      <c r="F34" s="93">
        <f t="shared" si="0"/>
        <v>0</v>
      </c>
      <c r="G34" s="94">
        <f t="shared" si="1"/>
        <v>0</v>
      </c>
      <c r="H34" s="420">
        <f t="shared" si="2"/>
        <v>0</v>
      </c>
      <c r="I34" s="95">
        <f t="shared" si="3"/>
        <v>0</v>
      </c>
      <c r="J34" s="3"/>
      <c r="K34" s="97">
        <f t="shared" si="13"/>
        <v>135</v>
      </c>
      <c r="L34" s="435"/>
      <c r="M34" s="92"/>
      <c r="N34" s="91"/>
      <c r="O34" s="436"/>
      <c r="P34" s="93">
        <f t="shared" si="4"/>
        <v>0</v>
      </c>
      <c r="Q34" s="94">
        <f t="shared" si="5"/>
        <v>0</v>
      </c>
      <c r="R34" s="420">
        <f t="shared" si="6"/>
        <v>0</v>
      </c>
      <c r="S34" s="95">
        <f t="shared" si="7"/>
        <v>0</v>
      </c>
      <c r="T34" s="3"/>
      <c r="U34" s="97">
        <f t="shared" si="14"/>
        <v>135</v>
      </c>
      <c r="V34" s="91"/>
      <c r="W34" s="92"/>
      <c r="X34" s="91"/>
      <c r="Y34" s="98"/>
      <c r="Z34" s="93">
        <f t="shared" si="8"/>
        <v>0</v>
      </c>
      <c r="AA34" s="94">
        <f t="shared" si="9"/>
        <v>0</v>
      </c>
      <c r="AB34" s="95">
        <f t="shared" si="10"/>
        <v>0</v>
      </c>
      <c r="AC34" s="96">
        <f t="shared" si="11"/>
        <v>0</v>
      </c>
    </row>
    <row r="35" spans="1:29" ht="18.75" x14ac:dyDescent="0.3">
      <c r="A35" s="431">
        <f t="shared" si="12"/>
        <v>140</v>
      </c>
      <c r="B35" s="435">
        <v>0</v>
      </c>
      <c r="C35" s="92">
        <v>0</v>
      </c>
      <c r="D35" s="435">
        <v>0</v>
      </c>
      <c r="E35" s="92">
        <v>0</v>
      </c>
      <c r="F35" s="93">
        <f t="shared" si="0"/>
        <v>0</v>
      </c>
      <c r="G35" s="94">
        <f t="shared" si="1"/>
        <v>0</v>
      </c>
      <c r="H35" s="420">
        <f t="shared" si="2"/>
        <v>0</v>
      </c>
      <c r="I35" s="95">
        <f t="shared" si="3"/>
        <v>0</v>
      </c>
      <c r="J35" s="3"/>
      <c r="K35" s="97">
        <f t="shared" si="13"/>
        <v>140</v>
      </c>
      <c r="L35" s="435">
        <v>215.0821</v>
      </c>
      <c r="M35" s="92">
        <v>30219.465</v>
      </c>
      <c r="N35" s="91"/>
      <c r="O35" s="436"/>
      <c r="P35" s="93">
        <f t="shared" si="4"/>
        <v>1.5777115853002615E-3</v>
      </c>
      <c r="Q35" s="94">
        <f t="shared" si="5"/>
        <v>8.2098019506725572E-3</v>
      </c>
      <c r="R35" s="420">
        <f t="shared" si="6"/>
        <v>0</v>
      </c>
      <c r="S35" s="95">
        <f t="shared" si="7"/>
        <v>0</v>
      </c>
      <c r="T35" s="3"/>
      <c r="U35" s="97">
        <f t="shared" si="14"/>
        <v>140</v>
      </c>
      <c r="V35" s="91"/>
      <c r="W35" s="92"/>
      <c r="X35" s="91"/>
      <c r="Y35" s="98"/>
      <c r="Z35" s="93">
        <f t="shared" si="8"/>
        <v>0</v>
      </c>
      <c r="AA35" s="94">
        <f t="shared" si="9"/>
        <v>0</v>
      </c>
      <c r="AB35" s="95">
        <f t="shared" si="10"/>
        <v>0</v>
      </c>
      <c r="AC35" s="96">
        <f t="shared" si="11"/>
        <v>0</v>
      </c>
    </row>
    <row r="36" spans="1:29" ht="18.75" x14ac:dyDescent="0.3">
      <c r="A36" s="431">
        <f t="shared" si="12"/>
        <v>145</v>
      </c>
      <c r="B36" s="435">
        <v>0</v>
      </c>
      <c r="C36" s="92">
        <v>0</v>
      </c>
      <c r="D36" s="435">
        <v>0</v>
      </c>
      <c r="E36" s="92">
        <v>0</v>
      </c>
      <c r="F36" s="93">
        <f t="shared" si="0"/>
        <v>0</v>
      </c>
      <c r="G36" s="94">
        <f t="shared" si="1"/>
        <v>0</v>
      </c>
      <c r="H36" s="420">
        <f t="shared" si="2"/>
        <v>0</v>
      </c>
      <c r="I36" s="95">
        <f t="shared" si="3"/>
        <v>0</v>
      </c>
      <c r="J36" s="3"/>
      <c r="K36" s="97">
        <f t="shared" si="13"/>
        <v>145</v>
      </c>
      <c r="L36" s="435">
        <v>262.77640000000002</v>
      </c>
      <c r="M36" s="92">
        <v>39200.987999999998</v>
      </c>
      <c r="N36" s="91"/>
      <c r="O36" s="436"/>
      <c r="P36" s="93">
        <f t="shared" si="4"/>
        <v>1.9275679874033948E-3</v>
      </c>
      <c r="Q36" s="94">
        <f t="shared" si="5"/>
        <v>1.0649836049403638E-2</v>
      </c>
      <c r="R36" s="420">
        <f t="shared" si="6"/>
        <v>0</v>
      </c>
      <c r="S36" s="95">
        <f t="shared" si="7"/>
        <v>0</v>
      </c>
      <c r="T36" s="3"/>
      <c r="U36" s="97">
        <f t="shared" si="14"/>
        <v>145</v>
      </c>
      <c r="V36" s="91"/>
      <c r="W36" s="92"/>
      <c r="X36" s="91"/>
      <c r="Y36" s="98"/>
      <c r="Z36" s="93">
        <f t="shared" si="8"/>
        <v>0</v>
      </c>
      <c r="AA36" s="94">
        <f t="shared" si="9"/>
        <v>0</v>
      </c>
      <c r="AB36" s="95">
        <f t="shared" si="10"/>
        <v>0</v>
      </c>
      <c r="AC36" s="96">
        <f t="shared" si="11"/>
        <v>0</v>
      </c>
    </row>
    <row r="37" spans="1:29" ht="18.75" x14ac:dyDescent="0.3">
      <c r="A37" s="431">
        <f t="shared" si="12"/>
        <v>150</v>
      </c>
      <c r="B37" s="435">
        <v>0</v>
      </c>
      <c r="C37" s="92">
        <v>0</v>
      </c>
      <c r="D37" s="435">
        <v>0</v>
      </c>
      <c r="E37" s="92">
        <v>0</v>
      </c>
      <c r="F37" s="93">
        <f t="shared" si="0"/>
        <v>0</v>
      </c>
      <c r="G37" s="94">
        <f t="shared" si="1"/>
        <v>0</v>
      </c>
      <c r="H37" s="420">
        <f t="shared" si="2"/>
        <v>0</v>
      </c>
      <c r="I37" s="95">
        <f t="shared" si="3"/>
        <v>0</v>
      </c>
      <c r="J37" s="3"/>
      <c r="K37" s="97">
        <f t="shared" si="13"/>
        <v>150</v>
      </c>
      <c r="L37" s="435">
        <v>215.0821</v>
      </c>
      <c r="M37" s="92">
        <v>33051.451999999997</v>
      </c>
      <c r="N37" s="91"/>
      <c r="O37" s="436"/>
      <c r="P37" s="93">
        <f t="shared" si="4"/>
        <v>1.5777115853002615E-3</v>
      </c>
      <c r="Q37" s="94">
        <f t="shared" si="5"/>
        <v>8.9791753461605089E-3</v>
      </c>
      <c r="R37" s="420">
        <f t="shared" si="6"/>
        <v>0</v>
      </c>
      <c r="S37" s="95">
        <f t="shared" si="7"/>
        <v>0</v>
      </c>
      <c r="T37" s="3"/>
      <c r="U37" s="97">
        <f t="shared" si="14"/>
        <v>150</v>
      </c>
      <c r="V37" s="91"/>
      <c r="W37" s="92"/>
      <c r="X37" s="91"/>
      <c r="Y37" s="98"/>
      <c r="Z37" s="93">
        <f t="shared" si="8"/>
        <v>0</v>
      </c>
      <c r="AA37" s="94">
        <f t="shared" si="9"/>
        <v>0</v>
      </c>
      <c r="AB37" s="95">
        <f t="shared" si="10"/>
        <v>0</v>
      </c>
      <c r="AC37" s="96">
        <f t="shared" si="11"/>
        <v>0</v>
      </c>
    </row>
    <row r="38" spans="1:29" ht="18.75" x14ac:dyDescent="0.3">
      <c r="A38" s="431">
        <f t="shared" si="12"/>
        <v>155</v>
      </c>
      <c r="B38" s="435">
        <v>0</v>
      </c>
      <c r="C38" s="92">
        <v>0</v>
      </c>
      <c r="D38" s="435">
        <v>0</v>
      </c>
      <c r="E38" s="92">
        <v>0</v>
      </c>
      <c r="F38" s="93">
        <f t="shared" si="0"/>
        <v>0</v>
      </c>
      <c r="G38" s="94">
        <f t="shared" si="1"/>
        <v>0</v>
      </c>
      <c r="H38" s="420">
        <f t="shared" si="2"/>
        <v>0</v>
      </c>
      <c r="I38" s="95">
        <f t="shared" si="3"/>
        <v>0</v>
      </c>
      <c r="J38" s="3"/>
      <c r="K38" s="97">
        <f t="shared" si="13"/>
        <v>155</v>
      </c>
      <c r="L38" s="435"/>
      <c r="M38" s="92"/>
      <c r="N38" s="91"/>
      <c r="O38" s="436"/>
      <c r="P38" s="93">
        <f t="shared" si="4"/>
        <v>0</v>
      </c>
      <c r="Q38" s="94">
        <f t="shared" si="5"/>
        <v>0</v>
      </c>
      <c r="R38" s="420">
        <f t="shared" si="6"/>
        <v>0</v>
      </c>
      <c r="S38" s="95">
        <f t="shared" si="7"/>
        <v>0</v>
      </c>
      <c r="T38" s="3"/>
      <c r="U38" s="97">
        <f t="shared" si="14"/>
        <v>155</v>
      </c>
      <c r="V38" s="91"/>
      <c r="W38" s="92"/>
      <c r="X38" s="91"/>
      <c r="Y38" s="98"/>
      <c r="Z38" s="93">
        <f t="shared" si="8"/>
        <v>0</v>
      </c>
      <c r="AA38" s="94">
        <f t="shared" si="9"/>
        <v>0</v>
      </c>
      <c r="AB38" s="95">
        <f t="shared" si="10"/>
        <v>0</v>
      </c>
      <c r="AC38" s="96">
        <f t="shared" si="11"/>
        <v>0</v>
      </c>
    </row>
    <row r="39" spans="1:29" ht="18.75" x14ac:dyDescent="0.3">
      <c r="A39" s="431">
        <f t="shared" si="12"/>
        <v>160</v>
      </c>
      <c r="B39" s="435">
        <v>0</v>
      </c>
      <c r="C39" s="92">
        <v>0</v>
      </c>
      <c r="D39" s="435">
        <v>0</v>
      </c>
      <c r="E39" s="92">
        <v>0</v>
      </c>
      <c r="F39" s="93">
        <f t="shared" si="0"/>
        <v>0</v>
      </c>
      <c r="G39" s="94">
        <f t="shared" si="1"/>
        <v>0</v>
      </c>
      <c r="H39" s="420">
        <f t="shared" si="2"/>
        <v>0</v>
      </c>
      <c r="I39" s="95">
        <f t="shared" si="3"/>
        <v>0</v>
      </c>
      <c r="J39" s="3"/>
      <c r="K39" s="97">
        <f t="shared" si="13"/>
        <v>160</v>
      </c>
      <c r="L39" s="435">
        <v>139.32859999999999</v>
      </c>
      <c r="M39" s="92">
        <v>22789.007000000001</v>
      </c>
      <c r="N39" s="91"/>
      <c r="O39" s="436"/>
      <c r="P39" s="93">
        <f t="shared" si="4"/>
        <v>1.0220299429086195E-3</v>
      </c>
      <c r="Q39" s="94">
        <f t="shared" si="5"/>
        <v>6.1911497811920424E-3</v>
      </c>
      <c r="R39" s="420">
        <f t="shared" si="6"/>
        <v>0</v>
      </c>
      <c r="S39" s="95">
        <f t="shared" si="7"/>
        <v>0</v>
      </c>
      <c r="T39" s="3"/>
      <c r="U39" s="97">
        <f t="shared" si="14"/>
        <v>160</v>
      </c>
      <c r="V39" s="91"/>
      <c r="W39" s="92"/>
      <c r="X39" s="91"/>
      <c r="Y39" s="98"/>
      <c r="Z39" s="93">
        <f t="shared" si="8"/>
        <v>0</v>
      </c>
      <c r="AA39" s="94">
        <f t="shared" si="9"/>
        <v>0</v>
      </c>
      <c r="AB39" s="95">
        <f t="shared" si="10"/>
        <v>0</v>
      </c>
      <c r="AC39" s="96">
        <f t="shared" si="11"/>
        <v>0</v>
      </c>
    </row>
    <row r="40" spans="1:29" ht="18.75" x14ac:dyDescent="0.3">
      <c r="A40" s="431">
        <f t="shared" si="12"/>
        <v>165</v>
      </c>
      <c r="B40" s="435">
        <v>0</v>
      </c>
      <c r="C40" s="92">
        <v>0</v>
      </c>
      <c r="D40" s="435">
        <v>0</v>
      </c>
      <c r="E40" s="92">
        <v>0</v>
      </c>
      <c r="F40" s="93">
        <f t="shared" si="0"/>
        <v>0</v>
      </c>
      <c r="G40" s="94">
        <f t="shared" si="1"/>
        <v>0</v>
      </c>
      <c r="H40" s="420">
        <f t="shared" si="2"/>
        <v>0</v>
      </c>
      <c r="I40" s="95">
        <f t="shared" si="3"/>
        <v>0</v>
      </c>
      <c r="J40" s="3"/>
      <c r="K40" s="97">
        <f t="shared" si="13"/>
        <v>165</v>
      </c>
      <c r="L40" s="435">
        <v>215.0821</v>
      </c>
      <c r="M40" s="92">
        <v>36549.116999999998</v>
      </c>
      <c r="N40" s="91"/>
      <c r="O40" s="436"/>
      <c r="P40" s="93">
        <f t="shared" si="4"/>
        <v>1.5777115853002615E-3</v>
      </c>
      <c r="Q40" s="94">
        <f t="shared" si="5"/>
        <v>9.9293952438257761E-3</v>
      </c>
      <c r="R40" s="420">
        <f t="shared" si="6"/>
        <v>0</v>
      </c>
      <c r="S40" s="95">
        <f t="shared" si="7"/>
        <v>0</v>
      </c>
      <c r="T40" s="3"/>
      <c r="U40" s="97">
        <f t="shared" si="14"/>
        <v>165</v>
      </c>
      <c r="V40" s="91"/>
      <c r="W40" s="92"/>
      <c r="X40" s="91"/>
      <c r="Y40" s="98"/>
      <c r="Z40" s="93">
        <f t="shared" si="8"/>
        <v>0</v>
      </c>
      <c r="AA40" s="94">
        <f t="shared" si="9"/>
        <v>0</v>
      </c>
      <c r="AB40" s="95">
        <f t="shared" si="10"/>
        <v>0</v>
      </c>
      <c r="AC40" s="96">
        <f t="shared" si="11"/>
        <v>0</v>
      </c>
    </row>
    <row r="41" spans="1:29" ht="18.75" x14ac:dyDescent="0.3">
      <c r="A41" s="431">
        <f>+A40+5</f>
        <v>170</v>
      </c>
      <c r="B41" s="435">
        <v>0</v>
      </c>
      <c r="C41" s="92">
        <v>0</v>
      </c>
      <c r="D41" s="435">
        <v>0</v>
      </c>
      <c r="E41" s="92">
        <v>0</v>
      </c>
      <c r="F41" s="93">
        <f t="shared" si="0"/>
        <v>0</v>
      </c>
      <c r="G41" s="94">
        <f t="shared" si="1"/>
        <v>0</v>
      </c>
      <c r="H41" s="420">
        <f t="shared" si="2"/>
        <v>0</v>
      </c>
      <c r="I41" s="95">
        <f t="shared" si="3"/>
        <v>0</v>
      </c>
      <c r="J41" s="3"/>
      <c r="K41" s="97">
        <f>+K40+5</f>
        <v>170</v>
      </c>
      <c r="L41" s="435"/>
      <c r="M41" s="92"/>
      <c r="N41" s="91"/>
      <c r="O41" s="436"/>
      <c r="P41" s="93">
        <f t="shared" si="4"/>
        <v>0</v>
      </c>
      <c r="Q41" s="94">
        <f t="shared" si="5"/>
        <v>0</v>
      </c>
      <c r="R41" s="420">
        <f t="shared" si="6"/>
        <v>0</v>
      </c>
      <c r="S41" s="95">
        <f t="shared" si="7"/>
        <v>0</v>
      </c>
      <c r="T41" s="3"/>
      <c r="U41" s="97">
        <f>+U40+5</f>
        <v>170</v>
      </c>
      <c r="V41" s="91"/>
      <c r="W41" s="92"/>
      <c r="X41" s="91"/>
      <c r="Y41" s="98"/>
      <c r="Z41" s="93">
        <f t="shared" si="8"/>
        <v>0</v>
      </c>
      <c r="AA41" s="94">
        <f t="shared" si="9"/>
        <v>0</v>
      </c>
      <c r="AB41" s="95">
        <f t="shared" si="10"/>
        <v>0</v>
      </c>
      <c r="AC41" s="96">
        <f t="shared" si="11"/>
        <v>0</v>
      </c>
    </row>
    <row r="42" spans="1:29" ht="18.75" x14ac:dyDescent="0.3">
      <c r="A42" s="431">
        <f>+A41+5</f>
        <v>175</v>
      </c>
      <c r="B42" s="435">
        <v>0</v>
      </c>
      <c r="C42" s="92">
        <v>0</v>
      </c>
      <c r="D42" s="435">
        <v>0</v>
      </c>
      <c r="E42" s="92">
        <v>0</v>
      </c>
      <c r="F42" s="93">
        <f t="shared" si="0"/>
        <v>0</v>
      </c>
      <c r="G42" s="94">
        <f t="shared" si="1"/>
        <v>0</v>
      </c>
      <c r="H42" s="420">
        <f t="shared" si="2"/>
        <v>0</v>
      </c>
      <c r="I42" s="95">
        <f t="shared" si="3"/>
        <v>0</v>
      </c>
      <c r="J42" s="3"/>
      <c r="K42" s="97">
        <f>+K41+5</f>
        <v>175</v>
      </c>
      <c r="L42" s="435">
        <v>215.0821</v>
      </c>
      <c r="M42" s="92">
        <v>38714.777999999998</v>
      </c>
      <c r="N42" s="91"/>
      <c r="O42" s="436"/>
      <c r="P42" s="93">
        <f t="shared" si="4"/>
        <v>1.5777115853002615E-3</v>
      </c>
      <c r="Q42" s="94">
        <f t="shared" si="5"/>
        <v>1.0517746093263234E-2</v>
      </c>
      <c r="R42" s="420">
        <f t="shared" si="6"/>
        <v>0</v>
      </c>
      <c r="S42" s="95">
        <f t="shared" si="7"/>
        <v>0</v>
      </c>
      <c r="T42" s="3"/>
      <c r="U42" s="97">
        <f>+U41+5</f>
        <v>175</v>
      </c>
      <c r="V42" s="91"/>
      <c r="W42" s="92"/>
      <c r="X42" s="91"/>
      <c r="Y42" s="98"/>
      <c r="Z42" s="93">
        <f t="shared" si="8"/>
        <v>0</v>
      </c>
      <c r="AA42" s="94">
        <f t="shared" si="9"/>
        <v>0</v>
      </c>
      <c r="AB42" s="95">
        <f t="shared" si="10"/>
        <v>0</v>
      </c>
      <c r="AC42" s="96">
        <f t="shared" si="11"/>
        <v>0</v>
      </c>
    </row>
    <row r="43" spans="1:29" ht="18.75" x14ac:dyDescent="0.3">
      <c r="A43" s="431">
        <f>+A42+5</f>
        <v>180</v>
      </c>
      <c r="B43" s="435">
        <v>0</v>
      </c>
      <c r="C43" s="92">
        <v>0</v>
      </c>
      <c r="D43" s="435">
        <v>0</v>
      </c>
      <c r="E43" s="92">
        <v>0</v>
      </c>
      <c r="F43" s="93">
        <f t="shared" si="0"/>
        <v>0</v>
      </c>
      <c r="G43" s="94">
        <f t="shared" si="1"/>
        <v>0</v>
      </c>
      <c r="H43" s="420">
        <f t="shared" si="2"/>
        <v>0</v>
      </c>
      <c r="I43" s="95">
        <f t="shared" si="3"/>
        <v>0</v>
      </c>
      <c r="J43" s="3"/>
      <c r="K43" s="97">
        <f>+K42+5</f>
        <v>180</v>
      </c>
      <c r="L43" s="435"/>
      <c r="M43" s="92"/>
      <c r="N43" s="91"/>
      <c r="O43" s="436"/>
      <c r="P43" s="93">
        <f t="shared" si="4"/>
        <v>0</v>
      </c>
      <c r="Q43" s="94">
        <f t="shared" si="5"/>
        <v>0</v>
      </c>
      <c r="R43" s="420">
        <f t="shared" si="6"/>
        <v>0</v>
      </c>
      <c r="S43" s="95">
        <f t="shared" si="7"/>
        <v>0</v>
      </c>
      <c r="T43" s="3"/>
      <c r="U43" s="97">
        <f>+U42+5</f>
        <v>180</v>
      </c>
      <c r="V43" s="91"/>
      <c r="W43" s="92"/>
      <c r="X43" s="91"/>
      <c r="Y43" s="98"/>
      <c r="Z43" s="93">
        <f t="shared" si="8"/>
        <v>0</v>
      </c>
      <c r="AA43" s="94">
        <f t="shared" si="9"/>
        <v>0</v>
      </c>
      <c r="AB43" s="95">
        <f t="shared" si="10"/>
        <v>0</v>
      </c>
      <c r="AC43" s="96">
        <f t="shared" si="11"/>
        <v>0</v>
      </c>
    </row>
    <row r="44" spans="1:29" ht="18.75" x14ac:dyDescent="0.3">
      <c r="A44" s="431">
        <f>+A43+5</f>
        <v>185</v>
      </c>
      <c r="B44" s="435">
        <v>0</v>
      </c>
      <c r="C44" s="92">
        <v>0</v>
      </c>
      <c r="D44" s="435">
        <v>0</v>
      </c>
      <c r="E44" s="92">
        <v>0</v>
      </c>
      <c r="F44" s="93">
        <f t="shared" si="0"/>
        <v>0</v>
      </c>
      <c r="G44" s="94">
        <f t="shared" si="1"/>
        <v>0</v>
      </c>
      <c r="H44" s="420">
        <f t="shared" si="2"/>
        <v>0</v>
      </c>
      <c r="I44" s="95">
        <f t="shared" si="3"/>
        <v>0</v>
      </c>
      <c r="J44" s="3"/>
      <c r="K44" s="97">
        <f>+K43+5</f>
        <v>185</v>
      </c>
      <c r="L44" s="435"/>
      <c r="M44" s="92"/>
      <c r="N44" s="91"/>
      <c r="O44" s="436"/>
      <c r="P44" s="93">
        <f t="shared" si="4"/>
        <v>0</v>
      </c>
      <c r="Q44" s="94">
        <f t="shared" si="5"/>
        <v>0</v>
      </c>
      <c r="R44" s="420">
        <f t="shared" si="6"/>
        <v>0</v>
      </c>
      <c r="S44" s="95">
        <f t="shared" si="7"/>
        <v>0</v>
      </c>
      <c r="T44" s="3"/>
      <c r="U44" s="97">
        <f>+U43+5</f>
        <v>185</v>
      </c>
      <c r="V44" s="91"/>
      <c r="W44" s="92"/>
      <c r="X44" s="91"/>
      <c r="Y44" s="98"/>
      <c r="Z44" s="93">
        <f t="shared" si="8"/>
        <v>0</v>
      </c>
      <c r="AA44" s="94">
        <f t="shared" si="9"/>
        <v>0</v>
      </c>
      <c r="AB44" s="95">
        <f t="shared" si="10"/>
        <v>0</v>
      </c>
      <c r="AC44" s="96">
        <f t="shared" si="11"/>
        <v>0</v>
      </c>
    </row>
    <row r="45" spans="1:29" ht="18.75" x14ac:dyDescent="0.3">
      <c r="A45" s="431">
        <v>190</v>
      </c>
      <c r="B45" s="435">
        <v>0</v>
      </c>
      <c r="C45" s="92">
        <v>0</v>
      </c>
      <c r="D45" s="435">
        <v>0</v>
      </c>
      <c r="E45" s="92">
        <v>0</v>
      </c>
      <c r="F45" s="93">
        <f t="shared" si="0"/>
        <v>0</v>
      </c>
      <c r="G45" s="94">
        <f t="shared" si="1"/>
        <v>0</v>
      </c>
      <c r="H45" s="420">
        <f t="shared" si="2"/>
        <v>0</v>
      </c>
      <c r="I45" s="95">
        <f t="shared" si="3"/>
        <v>0</v>
      </c>
      <c r="J45" s="3"/>
      <c r="K45" s="97">
        <v>190</v>
      </c>
      <c r="L45" s="435"/>
      <c r="M45" s="92"/>
      <c r="N45" s="91"/>
      <c r="O45" s="436"/>
      <c r="P45" s="93">
        <f t="shared" si="4"/>
        <v>0</v>
      </c>
      <c r="Q45" s="94">
        <f t="shared" si="5"/>
        <v>0</v>
      </c>
      <c r="R45" s="420">
        <f t="shared" si="6"/>
        <v>0</v>
      </c>
      <c r="S45" s="95">
        <f t="shared" si="7"/>
        <v>0</v>
      </c>
      <c r="T45" s="3"/>
      <c r="U45" s="97">
        <v>190</v>
      </c>
      <c r="V45" s="91"/>
      <c r="W45" s="92"/>
      <c r="X45" s="91"/>
      <c r="Y45" s="98"/>
      <c r="Z45" s="93">
        <f t="shared" si="8"/>
        <v>0</v>
      </c>
      <c r="AA45" s="94">
        <f t="shared" si="9"/>
        <v>0</v>
      </c>
      <c r="AB45" s="95">
        <f t="shared" si="10"/>
        <v>0</v>
      </c>
      <c r="AC45" s="96">
        <f t="shared" si="11"/>
        <v>0</v>
      </c>
    </row>
    <row r="46" spans="1:29" ht="18.75" x14ac:dyDescent="0.3">
      <c r="A46" s="431">
        <f>+A45+5</f>
        <v>195</v>
      </c>
      <c r="B46" s="435">
        <v>0</v>
      </c>
      <c r="C46" s="92">
        <v>0</v>
      </c>
      <c r="D46" s="435">
        <v>0</v>
      </c>
      <c r="E46" s="92">
        <v>0</v>
      </c>
      <c r="F46" s="93">
        <f t="shared" si="0"/>
        <v>0</v>
      </c>
      <c r="G46" s="94">
        <f t="shared" si="1"/>
        <v>0</v>
      </c>
      <c r="H46" s="420">
        <f t="shared" si="2"/>
        <v>0</v>
      </c>
      <c r="I46" s="95">
        <f t="shared" si="3"/>
        <v>0</v>
      </c>
      <c r="J46" s="3"/>
      <c r="K46" s="97">
        <f>+K45+5</f>
        <v>195</v>
      </c>
      <c r="L46" s="435">
        <v>47.694299999999998</v>
      </c>
      <c r="M46" s="92">
        <v>9646.7540000000008</v>
      </c>
      <c r="N46" s="91"/>
      <c r="O46" s="436"/>
      <c r="P46" s="93">
        <f t="shared" si="4"/>
        <v>3.4985640210313297E-4</v>
      </c>
      <c r="Q46" s="94">
        <f t="shared" si="5"/>
        <v>2.6207591632366194E-3</v>
      </c>
      <c r="R46" s="420">
        <f t="shared" si="6"/>
        <v>0</v>
      </c>
      <c r="S46" s="95">
        <f t="shared" si="7"/>
        <v>0</v>
      </c>
      <c r="T46" s="3"/>
      <c r="U46" s="97">
        <f>+U45+5</f>
        <v>195</v>
      </c>
      <c r="V46" s="91"/>
      <c r="W46" s="92"/>
      <c r="X46" s="91"/>
      <c r="Y46" s="98"/>
      <c r="Z46" s="93">
        <f t="shared" si="8"/>
        <v>0</v>
      </c>
      <c r="AA46" s="94">
        <f t="shared" si="9"/>
        <v>0</v>
      </c>
      <c r="AB46" s="95">
        <f t="shared" si="10"/>
        <v>0</v>
      </c>
      <c r="AC46" s="96">
        <f t="shared" si="11"/>
        <v>0</v>
      </c>
    </row>
    <row r="47" spans="1:29" ht="18.75" x14ac:dyDescent="0.3">
      <c r="A47" s="431">
        <v>200</v>
      </c>
      <c r="B47" s="435">
        <v>0</v>
      </c>
      <c r="C47" s="92">
        <v>0</v>
      </c>
      <c r="D47" s="435">
        <v>0</v>
      </c>
      <c r="E47" s="92">
        <v>0</v>
      </c>
      <c r="F47" s="93">
        <f t="shared" si="0"/>
        <v>0</v>
      </c>
      <c r="G47" s="94">
        <f t="shared" si="1"/>
        <v>0</v>
      </c>
      <c r="H47" s="420">
        <f t="shared" si="2"/>
        <v>0</v>
      </c>
      <c r="I47" s="95">
        <f t="shared" si="3"/>
        <v>0</v>
      </c>
      <c r="J47" s="3"/>
      <c r="K47" s="97">
        <v>200</v>
      </c>
      <c r="L47" s="435"/>
      <c r="M47" s="92"/>
      <c r="N47" s="91"/>
      <c r="O47" s="436"/>
      <c r="P47" s="93">
        <f t="shared" si="4"/>
        <v>0</v>
      </c>
      <c r="Q47" s="94">
        <f t="shared" si="5"/>
        <v>0</v>
      </c>
      <c r="R47" s="420">
        <f t="shared" si="6"/>
        <v>0</v>
      </c>
      <c r="S47" s="95">
        <f t="shared" si="7"/>
        <v>0</v>
      </c>
      <c r="T47" s="3"/>
      <c r="U47" s="97">
        <v>200</v>
      </c>
      <c r="V47" s="91"/>
      <c r="W47" s="92"/>
      <c r="X47" s="91"/>
      <c r="Y47" s="98"/>
      <c r="Z47" s="93">
        <f t="shared" si="8"/>
        <v>0</v>
      </c>
      <c r="AA47" s="94">
        <f t="shared" si="9"/>
        <v>0</v>
      </c>
      <c r="AB47" s="95">
        <f t="shared" si="10"/>
        <v>0</v>
      </c>
      <c r="AC47" s="96">
        <f t="shared" si="11"/>
        <v>0</v>
      </c>
    </row>
    <row r="48" spans="1:29" ht="19.5" thickBot="1" x14ac:dyDescent="0.35">
      <c r="A48" s="432">
        <v>212.5</v>
      </c>
      <c r="B48" s="435">
        <v>0</v>
      </c>
      <c r="C48" s="92">
        <v>0</v>
      </c>
      <c r="D48" s="435">
        <v>0</v>
      </c>
      <c r="E48" s="92">
        <v>0</v>
      </c>
      <c r="F48" s="104">
        <f t="shared" si="0"/>
        <v>0</v>
      </c>
      <c r="G48" s="105">
        <f t="shared" si="1"/>
        <v>0</v>
      </c>
      <c r="H48" s="421">
        <f t="shared" si="2"/>
        <v>0</v>
      </c>
      <c r="I48" s="106">
        <f t="shared" si="3"/>
        <v>0</v>
      </c>
      <c r="J48" s="3"/>
      <c r="K48" s="108">
        <v>212.5</v>
      </c>
      <c r="L48" s="437"/>
      <c r="M48" s="103"/>
      <c r="N48" s="102"/>
      <c r="O48" s="438"/>
      <c r="P48" s="104">
        <f t="shared" si="4"/>
        <v>0</v>
      </c>
      <c r="Q48" s="105">
        <f t="shared" si="5"/>
        <v>0</v>
      </c>
      <c r="R48" s="421">
        <f t="shared" si="6"/>
        <v>0</v>
      </c>
      <c r="S48" s="106">
        <f t="shared" si="7"/>
        <v>0</v>
      </c>
      <c r="T48" s="3"/>
      <c r="U48" s="108">
        <v>212.5</v>
      </c>
      <c r="V48" s="102"/>
      <c r="W48" s="103"/>
      <c r="X48" s="102"/>
      <c r="Y48" s="109"/>
      <c r="Z48" s="104">
        <f t="shared" si="8"/>
        <v>0</v>
      </c>
      <c r="AA48" s="105">
        <f t="shared" si="9"/>
        <v>0</v>
      </c>
      <c r="AB48" s="106">
        <f t="shared" si="10"/>
        <v>0</v>
      </c>
      <c r="AC48" s="107">
        <f t="shared" si="11"/>
        <v>0</v>
      </c>
    </row>
    <row r="49" spans="1:29" ht="20.25" thickTop="1" thickBot="1" x14ac:dyDescent="0.35">
      <c r="A49" s="110"/>
      <c r="B49" s="427">
        <f t="shared" ref="B49:I49" si="15">SUM(B7:B48)</f>
        <v>6824.9162999999999</v>
      </c>
      <c r="C49" s="428">
        <f t="shared" si="15"/>
        <v>124818.36400000002</v>
      </c>
      <c r="D49" s="428">
        <f t="shared" si="15"/>
        <v>8414.3382999999994</v>
      </c>
      <c r="E49" s="429">
        <f t="shared" si="15"/>
        <v>169350.39300000001</v>
      </c>
      <c r="F49" s="424">
        <f t="shared" si="15"/>
        <v>0.44785105827945154</v>
      </c>
      <c r="G49" s="425">
        <f t="shared" si="15"/>
        <v>0.42430870386415642</v>
      </c>
      <c r="H49" s="425">
        <f t="shared" si="15"/>
        <v>0.5521489417205484</v>
      </c>
      <c r="I49" s="426">
        <f t="shared" si="15"/>
        <v>0.57569129613584358</v>
      </c>
      <c r="K49" s="110"/>
      <c r="L49" s="427">
        <f t="shared" ref="L49:S49" si="16">SUM(L7:L48)</f>
        <v>49522.986500000006</v>
      </c>
      <c r="M49" s="428">
        <f t="shared" si="16"/>
        <v>1515742.1609999996</v>
      </c>
      <c r="N49" s="428">
        <f t="shared" si="16"/>
        <v>86802.373599999977</v>
      </c>
      <c r="O49" s="429">
        <f t="shared" si="16"/>
        <v>2165158.4479999999</v>
      </c>
      <c r="P49" s="424">
        <f t="shared" si="16"/>
        <v>0.36327053501764406</v>
      </c>
      <c r="Q49" s="425">
        <f t="shared" si="16"/>
        <v>0.41178568019302914</v>
      </c>
      <c r="R49" s="425">
        <f t="shared" si="16"/>
        <v>0.63672946498235572</v>
      </c>
      <c r="S49" s="426">
        <f t="shared" si="16"/>
        <v>0.58821431980697092</v>
      </c>
      <c r="U49" s="110"/>
      <c r="V49" s="111">
        <f t="shared" ref="V49:AC49" si="17">SUM(V7:V48)</f>
        <v>0</v>
      </c>
      <c r="W49" s="111">
        <f t="shared" si="17"/>
        <v>0</v>
      </c>
      <c r="X49" s="111">
        <f t="shared" si="17"/>
        <v>0</v>
      </c>
      <c r="Y49" s="111">
        <f t="shared" si="17"/>
        <v>0</v>
      </c>
      <c r="Z49" s="112">
        <f t="shared" si="17"/>
        <v>0</v>
      </c>
      <c r="AA49" s="113">
        <f t="shared" si="17"/>
        <v>0</v>
      </c>
      <c r="AB49" s="113">
        <f t="shared" si="17"/>
        <v>0</v>
      </c>
      <c r="AC49" s="114">
        <f t="shared" si="17"/>
        <v>0</v>
      </c>
    </row>
    <row r="50" spans="1:29" ht="18.75" x14ac:dyDescent="0.3">
      <c r="A50" s="115"/>
      <c r="B50" s="116"/>
      <c r="C50" s="117" t="s">
        <v>10</v>
      </c>
      <c r="D50" s="118"/>
      <c r="E50" s="117" t="s">
        <v>19</v>
      </c>
      <c r="F50" s="119"/>
      <c r="G50" s="119"/>
      <c r="H50" s="119"/>
      <c r="I50" s="119"/>
      <c r="K50" s="115"/>
      <c r="L50" s="116"/>
      <c r="M50" s="117" t="s">
        <v>10</v>
      </c>
      <c r="N50" s="118"/>
      <c r="O50" s="117" t="s">
        <v>19</v>
      </c>
      <c r="P50" s="119"/>
      <c r="Q50" s="119"/>
      <c r="R50" s="119"/>
      <c r="S50" s="119"/>
      <c r="U50" s="115"/>
      <c r="V50" s="116"/>
      <c r="W50" s="117" t="s">
        <v>10</v>
      </c>
      <c r="X50" s="118"/>
      <c r="Y50" s="117" t="s">
        <v>19</v>
      </c>
      <c r="Z50" s="119"/>
      <c r="AA50" s="119"/>
      <c r="AB50" s="119"/>
      <c r="AC50" s="119"/>
    </row>
    <row r="51" spans="1:29" ht="15.75" x14ac:dyDescent="0.25">
      <c r="A51" s="120" t="s">
        <v>20</v>
      </c>
      <c r="C51" s="121">
        <f>B49+D49</f>
        <v>15239.2546</v>
      </c>
      <c r="E51" s="121">
        <f>C49+E49</f>
        <v>294168.75700000004</v>
      </c>
      <c r="G51" s="120" t="s">
        <v>21</v>
      </c>
      <c r="H51" s="121">
        <f>(E51*1000)/C51</f>
        <v>19303.35601847613</v>
      </c>
      <c r="I51" s="122"/>
      <c r="K51" s="120" t="s">
        <v>20</v>
      </c>
      <c r="M51" s="121">
        <f>+L49+N49</f>
        <v>136325.36009999999</v>
      </c>
      <c r="O51" s="121">
        <f>+M49+O49</f>
        <v>3680900.6089999992</v>
      </c>
      <c r="Q51" s="120" t="s">
        <v>21</v>
      </c>
      <c r="R51" s="121">
        <f>(O51*1000)/M51</f>
        <v>27000.850071475434</v>
      </c>
      <c r="S51" s="122"/>
      <c r="U51" s="120" t="s">
        <v>20</v>
      </c>
      <c r="W51" s="121">
        <f>+V49+X49</f>
        <v>0</v>
      </c>
      <c r="Y51" s="121">
        <f>W49+Y49</f>
        <v>0</v>
      </c>
      <c r="AA51" s="120" t="s">
        <v>21</v>
      </c>
      <c r="AB51" s="121" t="e">
        <f>(Y51*1000)/W51</f>
        <v>#DIV/0!</v>
      </c>
      <c r="AC51" s="122"/>
    </row>
    <row r="52" spans="1:29" ht="15.75" x14ac:dyDescent="0.25">
      <c r="A52" s="122"/>
      <c r="C52" s="123">
        <f>C51/($C51+$M51+$W51)</f>
        <v>0.10054625632878676</v>
      </c>
      <c r="D52" s="124"/>
      <c r="E52" s="125">
        <f>E51/($E51+$O51+$Y51)</f>
        <v>7.400342734044256E-2</v>
      </c>
      <c r="F52" s="122"/>
      <c r="G52" s="122"/>
      <c r="H52" s="122"/>
      <c r="I52" s="122"/>
      <c r="K52" s="122"/>
      <c r="M52" s="123">
        <f>M51/($C51+$M51+$W51)</f>
        <v>0.89945374367121333</v>
      </c>
      <c r="N52" s="124"/>
      <c r="O52" s="125">
        <f>O51/($E51+$O51+$Y51)</f>
        <v>0.92599657265955737</v>
      </c>
      <c r="P52" s="122"/>
      <c r="Q52" s="122"/>
      <c r="R52" s="122"/>
      <c r="S52" s="122"/>
      <c r="U52" s="122"/>
      <c r="W52" s="123">
        <f>W51/($C51+$M51+$W51)</f>
        <v>0</v>
      </c>
      <c r="X52" s="124"/>
      <c r="Y52" s="125">
        <f>Y51/($E51+$O51+$Y51)</f>
        <v>0</v>
      </c>
      <c r="Z52" s="122"/>
      <c r="AA52" s="122"/>
      <c r="AB52" s="122"/>
      <c r="AC52" s="122"/>
    </row>
    <row r="53" spans="1:29" ht="24" thickBot="1" x14ac:dyDescent="0.4">
      <c r="A53" s="73" t="s">
        <v>257</v>
      </c>
      <c r="J53" s="1117"/>
      <c r="K53" s="73" t="s">
        <v>258</v>
      </c>
      <c r="U53" s="73" t="s">
        <v>259</v>
      </c>
    </row>
    <row r="54" spans="1:29" s="122" customFormat="1" ht="18.75" customHeight="1" x14ac:dyDescent="0.25">
      <c r="A54" s="127" t="str">
        <f>A2</f>
        <v>Vehicle Age 2 or Less</v>
      </c>
      <c r="B54" s="128"/>
      <c r="C54" s="129"/>
      <c r="D54" s="130"/>
      <c r="E54" s="130"/>
      <c r="F54" s="130"/>
      <c r="G54" s="130"/>
      <c r="H54" s="131"/>
      <c r="K54" s="127" t="str">
        <f>K2</f>
        <v>Vehicle Age 2 or Less</v>
      </c>
      <c r="L54" s="128"/>
      <c r="M54" s="129"/>
      <c r="N54" s="130"/>
      <c r="O54" s="130"/>
      <c r="P54" s="130"/>
      <c r="Q54" s="130"/>
      <c r="R54" s="131"/>
      <c r="U54" s="127">
        <f>U2</f>
        <v>0</v>
      </c>
      <c r="V54" s="128"/>
      <c r="W54" s="129"/>
      <c r="X54" s="130"/>
      <c r="Y54" s="130"/>
      <c r="Z54" s="130"/>
      <c r="AA54" s="130"/>
      <c r="AB54" s="131"/>
    </row>
    <row r="55" spans="1:29" ht="25.5" x14ac:dyDescent="0.2">
      <c r="A55" s="132" t="s">
        <v>12</v>
      </c>
      <c r="B55" s="133" t="s">
        <v>22</v>
      </c>
      <c r="C55" s="134"/>
      <c r="D55" s="135" t="s">
        <v>23</v>
      </c>
      <c r="E55" s="134"/>
      <c r="F55" s="133" t="s">
        <v>24</v>
      </c>
      <c r="G55" s="134"/>
      <c r="H55" s="136" t="s">
        <v>25</v>
      </c>
      <c r="K55" s="132" t="s">
        <v>12</v>
      </c>
      <c r="L55" s="133" t="s">
        <v>22</v>
      </c>
      <c r="M55" s="134"/>
      <c r="N55" s="135" t="s">
        <v>23</v>
      </c>
      <c r="O55" s="134"/>
      <c r="P55" s="133" t="s">
        <v>24</v>
      </c>
      <c r="Q55" s="134"/>
      <c r="R55" s="136" t="s">
        <v>25</v>
      </c>
      <c r="U55" s="132" t="s">
        <v>12</v>
      </c>
      <c r="V55" s="133" t="s">
        <v>22</v>
      </c>
      <c r="W55" s="134"/>
      <c r="X55" s="135" t="s">
        <v>23</v>
      </c>
      <c r="Y55" s="134"/>
      <c r="Z55" s="133" t="s">
        <v>24</v>
      </c>
      <c r="AA55" s="134"/>
      <c r="AB55" s="136" t="s">
        <v>25</v>
      </c>
    </row>
    <row r="56" spans="1:29" ht="15.75" x14ac:dyDescent="0.25">
      <c r="A56" s="137">
        <v>0</v>
      </c>
      <c r="B56" s="138">
        <f>+IF(B$60=0,0,B7/B$60)</f>
        <v>0.10440868948963865</v>
      </c>
      <c r="C56" s="138"/>
      <c r="D56" s="138">
        <f>+IF(D$60=0,0,D7/D$60)</f>
        <v>0.28725738889066615</v>
      </c>
      <c r="E56" s="138"/>
      <c r="F56" s="139">
        <f>+$A56*B56</f>
        <v>0</v>
      </c>
      <c r="G56" s="139"/>
      <c r="H56" s="140">
        <f>$A56*D56</f>
        <v>0</v>
      </c>
      <c r="I56" s="141"/>
      <c r="K56" s="137">
        <v>0</v>
      </c>
      <c r="L56" s="138">
        <f>+IF(L$60=0,0,L7/L$60)</f>
        <v>0.1144874093564909</v>
      </c>
      <c r="M56" s="138"/>
      <c r="N56" s="138">
        <f>+IF(N$60=0,0,N7/N$60)</f>
        <v>0.16312150907163508</v>
      </c>
      <c r="O56" s="138"/>
      <c r="P56" s="139">
        <f>$A56*L56</f>
        <v>0</v>
      </c>
      <c r="Q56" s="139"/>
      <c r="R56" s="140">
        <f>$A56*N56</f>
        <v>0</v>
      </c>
      <c r="S56" s="141"/>
      <c r="U56" s="137">
        <v>0</v>
      </c>
      <c r="V56" s="138">
        <f>+IF(V$60=0,0,V7/V$60)</f>
        <v>0</v>
      </c>
      <c r="W56" s="138"/>
      <c r="X56" s="138">
        <f>+IF(X$60=0,0,X7/X$60)</f>
        <v>0</v>
      </c>
      <c r="Y56" s="138"/>
      <c r="Z56" s="139">
        <f>$A56*V56</f>
        <v>0</v>
      </c>
      <c r="AA56" s="139"/>
      <c r="AB56" s="140">
        <f>$A56*X56</f>
        <v>0</v>
      </c>
      <c r="AC56" s="141"/>
    </row>
    <row r="57" spans="1:29" ht="15.75" x14ac:dyDescent="0.25">
      <c r="A57" s="137">
        <v>5</v>
      </c>
      <c r="B57" s="138">
        <f>+IF(B$60=0,0,B8/B$60)</f>
        <v>0.49268603797608762</v>
      </c>
      <c r="C57" s="138"/>
      <c r="D57" s="138">
        <f>+IF(D$60=0,0,D8/D$60)</f>
        <v>0.22902663059663234</v>
      </c>
      <c r="E57" s="138"/>
      <c r="F57" s="139">
        <f>+$A57*B57</f>
        <v>2.4634301898804383</v>
      </c>
      <c r="G57" s="139"/>
      <c r="H57" s="140">
        <f>$A57*D57</f>
        <v>1.1451331529831617</v>
      </c>
      <c r="I57" s="141"/>
      <c r="K57" s="137">
        <v>5</v>
      </c>
      <c r="L57" s="138">
        <f>+IF(L$60=0,0,L8/L$60)</f>
        <v>0.32814847153898496</v>
      </c>
      <c r="M57" s="138"/>
      <c r="N57" s="138">
        <f>+IF(N$60=0,0,N8/N$60)</f>
        <v>0.22900766445005369</v>
      </c>
      <c r="O57" s="138"/>
      <c r="P57" s="139">
        <f>$A57*L57</f>
        <v>1.6407423576949247</v>
      </c>
      <c r="Q57" s="139"/>
      <c r="R57" s="140">
        <f>$A57*N57</f>
        <v>1.1450383222502685</v>
      </c>
      <c r="S57" s="141"/>
      <c r="U57" s="137">
        <v>5</v>
      </c>
      <c r="V57" s="138">
        <f>+IF(V$60=0,0,V8/V$60)</f>
        <v>0</v>
      </c>
      <c r="W57" s="138"/>
      <c r="X57" s="138">
        <f>+IF(X$60=0,0,X8/X$60)</f>
        <v>0</v>
      </c>
      <c r="Y57" s="138"/>
      <c r="Z57" s="139">
        <f>$A57*V57</f>
        <v>0</v>
      </c>
      <c r="AA57" s="139"/>
      <c r="AB57" s="140">
        <f>$A57*X57</f>
        <v>0</v>
      </c>
      <c r="AC57" s="141"/>
    </row>
    <row r="58" spans="1:29" ht="15.75" x14ac:dyDescent="0.25">
      <c r="A58" s="137">
        <f>+A57+5</f>
        <v>10</v>
      </c>
      <c r="B58" s="138">
        <f>+IF(B$60=0,0,B9/B$60)</f>
        <v>0.35449467755653302</v>
      </c>
      <c r="C58" s="138"/>
      <c r="D58" s="138">
        <f>+IF(D$60=0,0,D9/D$60)</f>
        <v>0.23535360663294655</v>
      </c>
      <c r="E58" s="138"/>
      <c r="F58" s="139">
        <f>+$A58*B58</f>
        <v>3.5449467755653301</v>
      </c>
      <c r="G58" s="139"/>
      <c r="H58" s="140">
        <f>$A58*D58</f>
        <v>2.3535360663294655</v>
      </c>
      <c r="I58" s="141"/>
      <c r="K58" s="137">
        <f>+K57+5</f>
        <v>10</v>
      </c>
      <c r="L58" s="138">
        <f>+IF(L$60=0,0,L9/L$60)</f>
        <v>0.25474225442467302</v>
      </c>
      <c r="M58" s="138"/>
      <c r="N58" s="138">
        <f>+IF(N$60=0,0,N9/N$60)</f>
        <v>0.29054773450622162</v>
      </c>
      <c r="O58" s="138"/>
      <c r="P58" s="139">
        <f>$A58*L58</f>
        <v>2.5474225442467304</v>
      </c>
      <c r="Q58" s="139"/>
      <c r="R58" s="140">
        <f>$A58*N58</f>
        <v>2.9054773450622164</v>
      </c>
      <c r="S58" s="141"/>
      <c r="U58" s="137">
        <f>+U57+5</f>
        <v>10</v>
      </c>
      <c r="V58" s="138">
        <f>+IF(V$60=0,0,V9/V$60)</f>
        <v>0</v>
      </c>
      <c r="W58" s="138"/>
      <c r="X58" s="138">
        <f>+IF(X$60=0,0,X9/X$60)</f>
        <v>0</v>
      </c>
      <c r="Y58" s="138"/>
      <c r="Z58" s="139">
        <f>$A58*V58</f>
        <v>0</v>
      </c>
      <c r="AA58" s="139"/>
      <c r="AB58" s="140">
        <f>$A58*X58</f>
        <v>0</v>
      </c>
      <c r="AC58" s="141"/>
    </row>
    <row r="59" spans="1:29" ht="16.5" thickBot="1" x14ac:dyDescent="0.3">
      <c r="A59" s="137">
        <f>+A58+5</f>
        <v>15</v>
      </c>
      <c r="B59" s="396">
        <f>+IF(B$60=0,0,B10/B$60)</f>
        <v>4.8410594977740772E-2</v>
      </c>
      <c r="C59" s="138"/>
      <c r="D59" s="396">
        <f>+IF(D$60=0,0,D10/D$60)</f>
        <v>0.24836237387975496</v>
      </c>
      <c r="E59" s="138"/>
      <c r="F59" s="397">
        <f>+$A59*B59</f>
        <v>0.72615892466611154</v>
      </c>
      <c r="G59" s="139"/>
      <c r="H59" s="142">
        <f>$A59*D59</f>
        <v>3.7254356081963245</v>
      </c>
      <c r="I59" s="141"/>
      <c r="K59" s="137">
        <f>+K58+5</f>
        <v>15</v>
      </c>
      <c r="L59" s="396">
        <f>+IF(L$60=0,0,L10/L$60)</f>
        <v>0.30262186467985108</v>
      </c>
      <c r="M59" s="138"/>
      <c r="N59" s="396">
        <f>+IF(N$60=0,0,N10/N$60)</f>
        <v>0.31732309197208963</v>
      </c>
      <c r="O59" s="138"/>
      <c r="P59" s="397">
        <f>$A59*L59</f>
        <v>4.5393279701977658</v>
      </c>
      <c r="Q59" s="139"/>
      <c r="R59" s="142">
        <f>$A59*N59</f>
        <v>4.7598463795813446</v>
      </c>
      <c r="S59" s="141"/>
      <c r="U59" s="137">
        <f>+U58+5</f>
        <v>15</v>
      </c>
      <c r="V59" s="396">
        <f>+IF(V$60=0,0,V10/V$60)</f>
        <v>0</v>
      </c>
      <c r="W59" s="138"/>
      <c r="X59" s="396">
        <f>+IF(X$60=0,0,X10/X$60)</f>
        <v>0</v>
      </c>
      <c r="Y59" s="138"/>
      <c r="Z59" s="397">
        <f>$A59*V59</f>
        <v>0</v>
      </c>
      <c r="AA59" s="139"/>
      <c r="AB59" s="142">
        <f>$A59*X59</f>
        <v>0</v>
      </c>
      <c r="AC59" s="141"/>
    </row>
    <row r="60" spans="1:29" ht="16.5" thickTop="1" x14ac:dyDescent="0.25">
      <c r="A60" s="143" t="s">
        <v>20</v>
      </c>
      <c r="B60" s="144">
        <f>SUM(B7:B10)</f>
        <v>2948.9557</v>
      </c>
      <c r="C60" s="145"/>
      <c r="D60" s="146">
        <f>SUM(D7:D10)</f>
        <v>4692.0203000000001</v>
      </c>
      <c r="E60" s="147" t="s">
        <v>26</v>
      </c>
      <c r="F60" s="148">
        <f>+SUM(F56:F59)</f>
        <v>6.7345358901118795</v>
      </c>
      <c r="G60" s="149"/>
      <c r="H60" s="150">
        <f>SUM(H56:H59)</f>
        <v>7.2241048275089517</v>
      </c>
      <c r="I60" s="141"/>
      <c r="K60" s="143" t="s">
        <v>20</v>
      </c>
      <c r="L60" s="144">
        <f>SUM(L7:L10)</f>
        <v>19496.418100000003</v>
      </c>
      <c r="M60" s="145"/>
      <c r="N60" s="146">
        <f>SUM(N7:N10)</f>
        <v>43854.040100000006</v>
      </c>
      <c r="O60" s="147" t="s">
        <v>26</v>
      </c>
      <c r="P60" s="148">
        <f>SUM(P56:P59)</f>
        <v>8.7274928721394218</v>
      </c>
      <c r="Q60" s="149"/>
      <c r="R60" s="150">
        <f>SUM(R56:R59)</f>
        <v>8.8103620468938288</v>
      </c>
      <c r="S60" s="141"/>
      <c r="U60" s="143" t="s">
        <v>20</v>
      </c>
      <c r="V60" s="144">
        <f>SUM(V7:V10)</f>
        <v>0</v>
      </c>
      <c r="W60" s="145"/>
      <c r="X60" s="146">
        <f>SUM(X7:X10)</f>
        <v>0</v>
      </c>
      <c r="Y60" s="147" t="s">
        <v>26</v>
      </c>
      <c r="Z60" s="148">
        <f>SUM(Z56:Z59)</f>
        <v>0</v>
      </c>
      <c r="AA60" s="149"/>
      <c r="AB60" s="150">
        <f>SUM(AB56:AB59)</f>
        <v>0</v>
      </c>
      <c r="AC60" s="141"/>
    </row>
    <row r="61" spans="1:29" ht="15.75" x14ac:dyDescent="0.25">
      <c r="A61" s="137"/>
      <c r="B61" s="138"/>
      <c r="C61" s="138"/>
      <c r="D61" s="138"/>
      <c r="E61" s="138"/>
      <c r="F61" s="139"/>
      <c r="G61" s="139"/>
      <c r="H61" s="140"/>
      <c r="K61" s="137"/>
      <c r="L61" s="138"/>
      <c r="M61" s="138"/>
      <c r="N61" s="138"/>
      <c r="O61" s="138"/>
      <c r="P61" s="139"/>
      <c r="Q61" s="139"/>
      <c r="R61" s="140"/>
      <c r="U61" s="137"/>
      <c r="V61" s="138"/>
      <c r="W61" s="138"/>
      <c r="X61" s="138"/>
      <c r="Y61" s="138"/>
      <c r="Z61" s="139"/>
      <c r="AA61" s="139"/>
      <c r="AB61" s="140"/>
    </row>
    <row r="62" spans="1:29" ht="15.75" x14ac:dyDescent="0.25">
      <c r="A62" s="137">
        <f>+A59+5</f>
        <v>20</v>
      </c>
      <c r="B62" s="138">
        <f>+IF(B$66=0,0,B11/B$66)</f>
        <v>0.60575975917571889</v>
      </c>
      <c r="C62" s="138"/>
      <c r="D62" s="138">
        <f>+IF(D$66=0,0,D11/D$66)</f>
        <v>0.18016008259338134</v>
      </c>
      <c r="E62" s="138"/>
      <c r="F62" s="139">
        <f>$A62*B62</f>
        <v>12.115195183514377</v>
      </c>
      <c r="G62" s="139"/>
      <c r="H62" s="140">
        <f>$A62*D62</f>
        <v>3.6032016518676269</v>
      </c>
      <c r="I62" s="141"/>
      <c r="K62" s="137">
        <f>+K59+5</f>
        <v>20</v>
      </c>
      <c r="L62" s="138">
        <f>+IF(L$66=0,0,L11/L$66)</f>
        <v>0.29242530942836487</v>
      </c>
      <c r="M62" s="138"/>
      <c r="N62" s="138">
        <f>+IF(N$66=0,0,N11/N$66)</f>
        <v>0.29141309843472457</v>
      </c>
      <c r="O62" s="138"/>
      <c r="P62" s="139">
        <f>$A62*L62</f>
        <v>5.8485061885672973</v>
      </c>
      <c r="Q62" s="139"/>
      <c r="R62" s="140">
        <f>$A62*N62</f>
        <v>5.8282619686944912</v>
      </c>
      <c r="S62" s="141"/>
      <c r="U62" s="137">
        <f>+U59+5</f>
        <v>20</v>
      </c>
      <c r="V62" s="138">
        <f>+IF(V$66=0,0,V11/V$66)</f>
        <v>0</v>
      </c>
      <c r="W62" s="138"/>
      <c r="X62" s="138">
        <f>+IF(X$66=0,0,X11/X$66)</f>
        <v>0</v>
      </c>
      <c r="Y62" s="138"/>
      <c r="Z62" s="139">
        <f>$A62*V62</f>
        <v>0</v>
      </c>
      <c r="AA62" s="139"/>
      <c r="AB62" s="140">
        <f>$A62*X62</f>
        <v>0</v>
      </c>
      <c r="AC62" s="141"/>
    </row>
    <row r="63" spans="1:29" ht="15.75" x14ac:dyDescent="0.25">
      <c r="A63" s="137">
        <f>+A62+5</f>
        <v>25</v>
      </c>
      <c r="B63" s="138">
        <f>+IF(B$66=0,0,B12/B$66)</f>
        <v>4.0880381305111742E-2</v>
      </c>
      <c r="C63" s="138"/>
      <c r="D63" s="138">
        <f>+IF(D$66=0,0,D12/D$66)</f>
        <v>0.34203498921778486</v>
      </c>
      <c r="E63" s="138"/>
      <c r="F63" s="139">
        <f>$A63*B63</f>
        <v>1.0220095326277936</v>
      </c>
      <c r="G63" s="139"/>
      <c r="H63" s="140">
        <f>$A63*D63</f>
        <v>8.5508747304446207</v>
      </c>
      <c r="I63" s="141"/>
      <c r="K63" s="137">
        <f>+K62+5</f>
        <v>25</v>
      </c>
      <c r="L63" s="138">
        <f>+IF(L$66=0,0,L12/L$66)</f>
        <v>0.24547321509840944</v>
      </c>
      <c r="M63" s="138"/>
      <c r="N63" s="138">
        <f>+IF(N$66=0,0,N12/N$66)</f>
        <v>0.34585729775171981</v>
      </c>
      <c r="O63" s="138"/>
      <c r="P63" s="139">
        <f>$A63*L63</f>
        <v>6.1368303774602362</v>
      </c>
      <c r="Q63" s="139"/>
      <c r="R63" s="140">
        <f>$A63*N63</f>
        <v>8.646432443792996</v>
      </c>
      <c r="S63" s="141"/>
      <c r="U63" s="137">
        <f>+U62+5</f>
        <v>25</v>
      </c>
      <c r="V63" s="138">
        <f>+IF(V$66=0,0,V12/V$66)</f>
        <v>0</v>
      </c>
      <c r="W63" s="138"/>
      <c r="X63" s="138">
        <f>+IF(X$66=0,0,X12/X$66)</f>
        <v>0</v>
      </c>
      <c r="Y63" s="138"/>
      <c r="Z63" s="139">
        <f>$A63*V63</f>
        <v>0</v>
      </c>
      <c r="AA63" s="139"/>
      <c r="AB63" s="140">
        <f>$A63*X63</f>
        <v>0</v>
      </c>
      <c r="AC63" s="141"/>
    </row>
    <row r="64" spans="1:29" ht="15.75" x14ac:dyDescent="0.25">
      <c r="A64" s="137">
        <f>+A63+5</f>
        <v>30</v>
      </c>
      <c r="B64" s="138">
        <f>+IF(B$66=0,0,B13/B$66)</f>
        <v>0.35335985951916937</v>
      </c>
      <c r="C64" s="138"/>
      <c r="D64" s="138">
        <f>+IF(D$66=0,0,D13/D$66)</f>
        <v>0.36382258689589841</v>
      </c>
      <c r="E64" s="138"/>
      <c r="F64" s="139">
        <f>$A64*B64</f>
        <v>10.60079578557508</v>
      </c>
      <c r="G64" s="139"/>
      <c r="H64" s="140">
        <f>$A64*D64</f>
        <v>10.914677606876953</v>
      </c>
      <c r="I64" s="141"/>
      <c r="K64" s="137">
        <f>+K63+5</f>
        <v>30</v>
      </c>
      <c r="L64" s="138">
        <f>+IF(L$66=0,0,L13/L$66)</f>
        <v>0.35602850690183374</v>
      </c>
      <c r="M64" s="138"/>
      <c r="N64" s="138">
        <f>+IF(N$66=0,0,N13/N$66)</f>
        <v>0.23235335403016666</v>
      </c>
      <c r="O64" s="138"/>
      <c r="P64" s="139">
        <f>$A64*L64</f>
        <v>10.680855207055012</v>
      </c>
      <c r="Q64" s="139"/>
      <c r="R64" s="140">
        <f>$A64*N64</f>
        <v>6.9706006209049995</v>
      </c>
      <c r="S64" s="141"/>
      <c r="U64" s="137">
        <f>+U63+5</f>
        <v>30</v>
      </c>
      <c r="V64" s="138">
        <f>+IF(V$66=0,0,V13/V$66)</f>
        <v>0</v>
      </c>
      <c r="W64" s="138"/>
      <c r="X64" s="138">
        <f>+IF(X$66=0,0,X13/X$66)</f>
        <v>0</v>
      </c>
      <c r="Y64" s="138"/>
      <c r="Z64" s="139">
        <f>$A64*V64</f>
        <v>0</v>
      </c>
      <c r="AA64" s="139"/>
      <c r="AB64" s="140">
        <f>$A64*X64</f>
        <v>0</v>
      </c>
      <c r="AC64" s="141"/>
    </row>
    <row r="65" spans="1:29" ht="16.5" thickBot="1" x14ac:dyDescent="0.3">
      <c r="A65" s="137">
        <f>+A64+5</f>
        <v>35</v>
      </c>
      <c r="B65" s="396">
        <f>+IF(B$66=0,0,B14/B$66)</f>
        <v>0</v>
      </c>
      <c r="C65" s="138"/>
      <c r="D65" s="396">
        <f>+IF(D$66=0,0,D14/D$66)</f>
        <v>0.11398234129293543</v>
      </c>
      <c r="E65" s="138"/>
      <c r="F65" s="397">
        <f>$A65*B65</f>
        <v>0</v>
      </c>
      <c r="G65" s="139"/>
      <c r="H65" s="142">
        <f>$A65*D65</f>
        <v>3.9893819452527399</v>
      </c>
      <c r="I65" s="141"/>
      <c r="K65" s="137">
        <f>+K64+5</f>
        <v>35</v>
      </c>
      <c r="L65" s="396">
        <f>+IF(L$66=0,0,L14/L$66)</f>
        <v>0.10607296857139191</v>
      </c>
      <c r="M65" s="138"/>
      <c r="N65" s="396">
        <f>+IF(N$66=0,0,N14/N$66)</f>
        <v>0.13037624978338902</v>
      </c>
      <c r="O65" s="138"/>
      <c r="P65" s="397">
        <f>$A65*L65</f>
        <v>3.7125538999987167</v>
      </c>
      <c r="Q65" s="139"/>
      <c r="R65" s="142">
        <f>$A65*N65</f>
        <v>4.5631687424186156</v>
      </c>
      <c r="S65" s="141"/>
      <c r="U65" s="137">
        <f>+U64+5</f>
        <v>35</v>
      </c>
      <c r="V65" s="396">
        <f>+IF(V$66=0,0,V14/V$66)</f>
        <v>0</v>
      </c>
      <c r="W65" s="138"/>
      <c r="X65" s="396">
        <f>+IF(X$66=0,0,X14/X$66)</f>
        <v>0</v>
      </c>
      <c r="Y65" s="138"/>
      <c r="Z65" s="397">
        <f>$A65*V65</f>
        <v>0</v>
      </c>
      <c r="AA65" s="139"/>
      <c r="AB65" s="142">
        <f>$A65*X65</f>
        <v>0</v>
      </c>
      <c r="AC65" s="141"/>
    </row>
    <row r="66" spans="1:29" ht="16.5" thickTop="1" x14ac:dyDescent="0.25">
      <c r="A66" s="143" t="s">
        <v>20</v>
      </c>
      <c r="B66" s="144">
        <f>SUM(B11:B14)</f>
        <v>3812.1072999999997</v>
      </c>
      <c r="C66" s="145"/>
      <c r="D66" s="146">
        <f>SUM(D11:D14)</f>
        <v>3211.4921999999997</v>
      </c>
      <c r="E66" s="147" t="s">
        <v>26</v>
      </c>
      <c r="F66" s="148">
        <f>SUM(F62:F65)</f>
        <v>23.738000501717252</v>
      </c>
      <c r="G66" s="149"/>
      <c r="H66" s="150">
        <f>SUM(H62:H65)</f>
        <v>27.058135934441943</v>
      </c>
      <c r="I66" s="141"/>
      <c r="K66" s="143" t="s">
        <v>20</v>
      </c>
      <c r="L66" s="144">
        <f>SUM(L11:L14)</f>
        <v>21705.775099999999</v>
      </c>
      <c r="M66" s="145"/>
      <c r="N66" s="146">
        <f>SUM(N11:N14)</f>
        <v>31289.392099999997</v>
      </c>
      <c r="O66" s="147" t="s">
        <v>26</v>
      </c>
      <c r="P66" s="148">
        <f>SUM(P62:P65)</f>
        <v>26.378745673081262</v>
      </c>
      <c r="Q66" s="149"/>
      <c r="R66" s="150">
        <f>SUM(R62:R65)</f>
        <v>26.008463775811101</v>
      </c>
      <c r="S66" s="141"/>
      <c r="U66" s="143" t="s">
        <v>20</v>
      </c>
      <c r="V66" s="144">
        <f>SUM(V11:V14)</f>
        <v>0</v>
      </c>
      <c r="W66" s="145"/>
      <c r="X66" s="146">
        <f>SUM(X11:X14)</f>
        <v>0</v>
      </c>
      <c r="Y66" s="147" t="s">
        <v>26</v>
      </c>
      <c r="Z66" s="148">
        <f>SUM(Z62:Z65)</f>
        <v>0</v>
      </c>
      <c r="AA66" s="149"/>
      <c r="AB66" s="150">
        <f>SUM(AB62:AB65)</f>
        <v>0</v>
      </c>
      <c r="AC66" s="141"/>
    </row>
    <row r="67" spans="1:29" ht="15.75" x14ac:dyDescent="0.25">
      <c r="A67" s="137"/>
      <c r="B67" s="138"/>
      <c r="C67" s="138"/>
      <c r="D67" s="138"/>
      <c r="E67" s="138"/>
      <c r="F67" s="139"/>
      <c r="G67" s="139"/>
      <c r="H67" s="140"/>
      <c r="K67" s="137"/>
      <c r="L67" s="138"/>
      <c r="M67" s="138"/>
      <c r="N67" s="138"/>
      <c r="O67" s="138"/>
      <c r="P67" s="139"/>
      <c r="Q67" s="139"/>
      <c r="R67" s="140"/>
      <c r="U67" s="137"/>
      <c r="V67" s="138"/>
      <c r="W67" s="138"/>
      <c r="X67" s="138"/>
      <c r="Y67" s="138"/>
      <c r="Z67" s="139"/>
      <c r="AA67" s="139"/>
      <c r="AB67" s="140"/>
    </row>
    <row r="68" spans="1:29" ht="15.75" x14ac:dyDescent="0.25">
      <c r="A68" s="137">
        <f>+A65+5</f>
        <v>40</v>
      </c>
      <c r="B68" s="138">
        <f>+IF(B$72=0,0,B15/B$72)</f>
        <v>1</v>
      </c>
      <c r="C68" s="138"/>
      <c r="D68" s="138">
        <f>+IF(D$72=0,0,D15/D$72)</f>
        <v>0.4377269119923074</v>
      </c>
      <c r="E68" s="138"/>
      <c r="F68" s="139">
        <f>$A68*B68</f>
        <v>40</v>
      </c>
      <c r="G68" s="139"/>
      <c r="H68" s="140">
        <f>$A68*D68</f>
        <v>17.509076479692297</v>
      </c>
      <c r="I68" s="141"/>
      <c r="K68" s="137">
        <f>+K65+5</f>
        <v>40</v>
      </c>
      <c r="L68" s="138">
        <f>+IF(L$72=0,0,L15/L$72)</f>
        <v>0.26957285151675819</v>
      </c>
      <c r="M68" s="138"/>
      <c r="N68" s="138">
        <f>+IF(N$72=0,0,N15/N$72)</f>
        <v>0.26944440148888715</v>
      </c>
      <c r="O68" s="138"/>
      <c r="P68" s="139">
        <f>$A68*L68</f>
        <v>10.782914060670327</v>
      </c>
      <c r="Q68" s="139"/>
      <c r="R68" s="140">
        <f>$A68*N68</f>
        <v>10.777776059555485</v>
      </c>
      <c r="S68" s="141"/>
      <c r="U68" s="137">
        <f>+U65+5</f>
        <v>40</v>
      </c>
      <c r="V68" s="138">
        <f>+IF(V$72=0,0,V15/V$72)</f>
        <v>0</v>
      </c>
      <c r="W68" s="138"/>
      <c r="X68" s="138">
        <f>+IF(X$72=0,0,X15/X$72)</f>
        <v>0</v>
      </c>
      <c r="Y68" s="138"/>
      <c r="Z68" s="139">
        <f>$A68*V68</f>
        <v>0</v>
      </c>
      <c r="AA68" s="139"/>
      <c r="AB68" s="140">
        <f>$A68*X68</f>
        <v>0</v>
      </c>
      <c r="AC68" s="141"/>
    </row>
    <row r="69" spans="1:29" ht="15.75" x14ac:dyDescent="0.25">
      <c r="A69" s="137">
        <f>+A68+5</f>
        <v>45</v>
      </c>
      <c r="B69" s="138">
        <f>+IF(B$72=0,0,B16/B$72)</f>
        <v>0</v>
      </c>
      <c r="C69" s="138"/>
      <c r="D69" s="138">
        <f>+IF(D$72=0,0,D16/D$72)</f>
        <v>0.5622730880076926</v>
      </c>
      <c r="E69" s="138"/>
      <c r="F69" s="139">
        <f>$A69*B69</f>
        <v>0</v>
      </c>
      <c r="G69" s="139"/>
      <c r="H69" s="140">
        <f>$A69*D69</f>
        <v>25.302288960346168</v>
      </c>
      <c r="I69" s="141"/>
      <c r="K69" s="137">
        <f>+K68+5</f>
        <v>45</v>
      </c>
      <c r="L69" s="138">
        <f>+IF(L$72=0,0,L16/L$72)</f>
        <v>0.39158257754419579</v>
      </c>
      <c r="M69" s="138"/>
      <c r="N69" s="138">
        <f>+IF(N$72=0,0,N16/N$72)</f>
        <v>0.42976152207880913</v>
      </c>
      <c r="O69" s="138"/>
      <c r="P69" s="139">
        <f>$A69*L69</f>
        <v>17.62121598948881</v>
      </c>
      <c r="Q69" s="139"/>
      <c r="R69" s="140">
        <f>$A69*N69</f>
        <v>19.33926849354641</v>
      </c>
      <c r="S69" s="141"/>
      <c r="U69" s="137">
        <f>+U68+5</f>
        <v>45</v>
      </c>
      <c r="V69" s="138">
        <f>+IF(V$72=0,0,V16/V$72)</f>
        <v>0</v>
      </c>
      <c r="W69" s="138"/>
      <c r="X69" s="138">
        <f>+IF(X$72=0,0,X16/X$72)</f>
        <v>0</v>
      </c>
      <c r="Y69" s="138"/>
      <c r="Z69" s="139">
        <f>$A69*V69</f>
        <v>0</v>
      </c>
      <c r="AA69" s="139"/>
      <c r="AB69" s="140">
        <f>$A69*X69</f>
        <v>0</v>
      </c>
      <c r="AC69" s="141"/>
    </row>
    <row r="70" spans="1:29" ht="15.75" x14ac:dyDescent="0.25">
      <c r="A70" s="137">
        <f>+A69+5</f>
        <v>50</v>
      </c>
      <c r="B70" s="138">
        <f>+IF(B$72=0,0,B17/B$72)</f>
        <v>0</v>
      </c>
      <c r="C70" s="138"/>
      <c r="D70" s="138">
        <f>+IF(D$72=0,0,D17/D$72)</f>
        <v>0</v>
      </c>
      <c r="E70" s="138"/>
      <c r="F70" s="139">
        <f>$A70*B70</f>
        <v>0</v>
      </c>
      <c r="G70" s="139"/>
      <c r="H70" s="140">
        <f>$A70*D70</f>
        <v>0</v>
      </c>
      <c r="I70" s="141"/>
      <c r="K70" s="137">
        <f>+K69+5</f>
        <v>50</v>
      </c>
      <c r="L70" s="138">
        <f>+IF(L$72=0,0,L17/L$72)</f>
        <v>0.1908289171831154</v>
      </c>
      <c r="M70" s="138"/>
      <c r="N70" s="138">
        <f>+IF(N$72=0,0,N17/N$72)</f>
        <v>0.15926555209607948</v>
      </c>
      <c r="O70" s="138"/>
      <c r="P70" s="139">
        <f>$A70*L70</f>
        <v>9.54144585915577</v>
      </c>
      <c r="Q70" s="139"/>
      <c r="R70" s="140">
        <f>$A70*N70</f>
        <v>7.9632776048039737</v>
      </c>
      <c r="S70" s="141"/>
      <c r="U70" s="137">
        <f>+U69+5</f>
        <v>50</v>
      </c>
      <c r="V70" s="138">
        <f>+IF(V$72=0,0,V17/V$72)</f>
        <v>0</v>
      </c>
      <c r="W70" s="138"/>
      <c r="X70" s="138">
        <f>+IF(X$72=0,0,X17/X$72)</f>
        <v>0</v>
      </c>
      <c r="Y70" s="138"/>
      <c r="Z70" s="139">
        <f>$A70*V70</f>
        <v>0</v>
      </c>
      <c r="AA70" s="139"/>
      <c r="AB70" s="140">
        <f>$A70*X70</f>
        <v>0</v>
      </c>
      <c r="AC70" s="141"/>
    </row>
    <row r="71" spans="1:29" ht="16.5" thickBot="1" x14ac:dyDescent="0.3">
      <c r="A71" s="137">
        <f>+A70+5</f>
        <v>55</v>
      </c>
      <c r="B71" s="396">
        <f>+IF(B$72=0,0,B18/B$72)</f>
        <v>0</v>
      </c>
      <c r="C71" s="138"/>
      <c r="D71" s="396">
        <f>+IF(D$72=0,0,D18/D$72)</f>
        <v>0</v>
      </c>
      <c r="E71" s="138"/>
      <c r="F71" s="397">
        <f>$A71*B71</f>
        <v>0</v>
      </c>
      <c r="G71" s="139"/>
      <c r="H71" s="142">
        <f>$A71*D71</f>
        <v>0</v>
      </c>
      <c r="I71" s="141"/>
      <c r="K71" s="137">
        <f>+K70+5</f>
        <v>55</v>
      </c>
      <c r="L71" s="396">
        <f>+IF(L$72=0,0,L18/L$72)</f>
        <v>0.14801565375593073</v>
      </c>
      <c r="M71" s="138"/>
      <c r="N71" s="396">
        <f>+IF(N$72=0,0,N18/N$72)</f>
        <v>0.14152852433622423</v>
      </c>
      <c r="O71" s="138"/>
      <c r="P71" s="397">
        <f>$A71*L71</f>
        <v>8.1408609565761907</v>
      </c>
      <c r="Q71" s="139"/>
      <c r="R71" s="142">
        <f>$A71*N71</f>
        <v>7.7840688384923329</v>
      </c>
      <c r="S71" s="141"/>
      <c r="U71" s="137">
        <f>+U70+5</f>
        <v>55</v>
      </c>
      <c r="V71" s="396">
        <f>+IF(V$72=0,0,V18/V$72)</f>
        <v>0</v>
      </c>
      <c r="W71" s="138"/>
      <c r="X71" s="396">
        <f>+IF(X$72=0,0,X18/X$72)</f>
        <v>0</v>
      </c>
      <c r="Y71" s="138"/>
      <c r="Z71" s="397">
        <f>$A71*V71</f>
        <v>0</v>
      </c>
      <c r="AA71" s="139"/>
      <c r="AB71" s="142">
        <f>$A71*X71</f>
        <v>0</v>
      </c>
      <c r="AC71" s="141"/>
    </row>
    <row r="72" spans="1:29" ht="16.5" thickTop="1" x14ac:dyDescent="0.25">
      <c r="A72" s="143" t="s">
        <v>20</v>
      </c>
      <c r="B72" s="144">
        <f>SUM(B15:B18)</f>
        <v>63.853299999999997</v>
      </c>
      <c r="C72" s="145"/>
      <c r="D72" s="146">
        <f>SUM(D15:D18)</f>
        <v>510.82579999999996</v>
      </c>
      <c r="E72" s="147" t="s">
        <v>26</v>
      </c>
      <c r="F72" s="148">
        <f>SUM(F68:F71)</f>
        <v>40</v>
      </c>
      <c r="G72" s="149"/>
      <c r="H72" s="150">
        <f>SUM(H68:H71)</f>
        <v>42.811365440038465</v>
      </c>
      <c r="I72" s="141"/>
      <c r="K72" s="143" t="s">
        <v>20</v>
      </c>
      <c r="L72" s="144">
        <f>SUM(L15:L18)</f>
        <v>4083.7227999999996</v>
      </c>
      <c r="M72" s="145"/>
      <c r="N72" s="146">
        <f>SUM(N15:N18)</f>
        <v>6078.634</v>
      </c>
      <c r="O72" s="147" t="s">
        <v>26</v>
      </c>
      <c r="P72" s="148">
        <f>SUM(P68:P71)</f>
        <v>46.086436865891102</v>
      </c>
      <c r="Q72" s="149"/>
      <c r="R72" s="150">
        <f>SUM(R68:R71)</f>
        <v>45.8643909963982</v>
      </c>
      <c r="S72" s="141"/>
      <c r="U72" s="143" t="s">
        <v>20</v>
      </c>
      <c r="V72" s="144">
        <f>SUM(V15:V18)</f>
        <v>0</v>
      </c>
      <c r="W72" s="145"/>
      <c r="X72" s="146">
        <f>SUM(X15:X18)</f>
        <v>0</v>
      </c>
      <c r="Y72" s="147" t="s">
        <v>26</v>
      </c>
      <c r="Z72" s="148">
        <f>SUM(Z68:Z71)</f>
        <v>0</v>
      </c>
      <c r="AA72" s="149"/>
      <c r="AB72" s="150">
        <f>SUM(AB68:AB71)</f>
        <v>0</v>
      </c>
      <c r="AC72" s="141"/>
    </row>
    <row r="73" spans="1:29" ht="15.75" x14ac:dyDescent="0.25">
      <c r="A73" s="137"/>
      <c r="B73" s="151"/>
      <c r="C73" s="151"/>
      <c r="D73" s="151"/>
      <c r="E73" s="151"/>
      <c r="F73" s="139"/>
      <c r="G73" s="139"/>
      <c r="H73" s="140"/>
      <c r="K73" s="137"/>
      <c r="L73" s="151"/>
      <c r="M73" s="151"/>
      <c r="N73" s="151"/>
      <c r="O73" s="151"/>
      <c r="P73" s="139"/>
      <c r="Q73" s="139"/>
      <c r="R73" s="140"/>
      <c r="U73" s="137"/>
      <c r="V73" s="151"/>
      <c r="W73" s="151"/>
      <c r="X73" s="151"/>
      <c r="Y73" s="151"/>
      <c r="Z73" s="139"/>
      <c r="AA73" s="139"/>
      <c r="AB73" s="140"/>
    </row>
    <row r="74" spans="1:29" ht="15.75" x14ac:dyDescent="0.25">
      <c r="A74" s="137">
        <f>+A71+5</f>
        <v>60</v>
      </c>
      <c r="B74" s="138">
        <f>+IF(B$78=0,0,B19/B$78)</f>
        <v>0</v>
      </c>
      <c r="C74" s="138"/>
      <c r="D74" s="138">
        <f>+IF(D$78=0,0,D19/D$78)</f>
        <v>0</v>
      </c>
      <c r="E74" s="138"/>
      <c r="F74" s="139">
        <f>$A74*B74</f>
        <v>0</v>
      </c>
      <c r="G74" s="139"/>
      <c r="H74" s="140">
        <f>$A74*D74</f>
        <v>0</v>
      </c>
      <c r="I74" s="141"/>
      <c r="K74" s="137">
        <f>+K71+5</f>
        <v>60</v>
      </c>
      <c r="L74" s="138">
        <f>+IF(L$78=0,0,L19/L$78)</f>
        <v>0.44051969602960678</v>
      </c>
      <c r="M74" s="138"/>
      <c r="N74" s="138">
        <f>+IF(N$78=0,0,N19/N$78)</f>
        <v>0.26787095454535004</v>
      </c>
      <c r="O74" s="138"/>
      <c r="P74" s="139">
        <f>$A74*L74</f>
        <v>26.431181761776408</v>
      </c>
      <c r="Q74" s="139"/>
      <c r="R74" s="140">
        <f>$A74*N74</f>
        <v>16.072257272721004</v>
      </c>
      <c r="S74" s="141"/>
      <c r="U74" s="137">
        <f>+U71+5</f>
        <v>60</v>
      </c>
      <c r="V74" s="138">
        <f>+IF(V$78=0,0,V19/V$78)</f>
        <v>0</v>
      </c>
      <c r="W74" s="138"/>
      <c r="X74" s="138">
        <f>+IF(X$78=0,0,X19/X$78)</f>
        <v>0</v>
      </c>
      <c r="Y74" s="138"/>
      <c r="Z74" s="139">
        <f>$A74*V74</f>
        <v>0</v>
      </c>
      <c r="AA74" s="139"/>
      <c r="AB74" s="140">
        <f>$A74*X74</f>
        <v>0</v>
      </c>
      <c r="AC74" s="141"/>
    </row>
    <row r="75" spans="1:29" ht="15.75" x14ac:dyDescent="0.25">
      <c r="A75" s="137">
        <f>+A74+5</f>
        <v>65</v>
      </c>
      <c r="B75" s="138">
        <f>+IF(B$78=0,0,B20/B$78)</f>
        <v>0</v>
      </c>
      <c r="C75" s="138"/>
      <c r="D75" s="138">
        <f>+IF(D$78=0,0,D20/D$78)</f>
        <v>0</v>
      </c>
      <c r="E75" s="138"/>
      <c r="F75" s="139">
        <f>$A75*B75</f>
        <v>0</v>
      </c>
      <c r="G75" s="139"/>
      <c r="H75" s="140">
        <f>$A75*D75</f>
        <v>0</v>
      </c>
      <c r="I75" s="141"/>
      <c r="K75" s="137">
        <f>+K74+5</f>
        <v>65</v>
      </c>
      <c r="L75" s="138">
        <f>+IF(L$78=0,0,L20/L$78)</f>
        <v>7.6918783587682782E-2</v>
      </c>
      <c r="M75" s="138"/>
      <c r="N75" s="138">
        <f>+IF(N$78=0,0,N20/N$78)</f>
        <v>0.23777651509121137</v>
      </c>
      <c r="O75" s="138"/>
      <c r="P75" s="139">
        <f>$A75*L75</f>
        <v>4.9997209331993808</v>
      </c>
      <c r="Q75" s="139"/>
      <c r="R75" s="140">
        <f>$A75*N75</f>
        <v>15.455473480928738</v>
      </c>
      <c r="S75" s="141"/>
      <c r="U75" s="137">
        <f>+U74+5</f>
        <v>65</v>
      </c>
      <c r="V75" s="138">
        <f>+IF(V$78=0,0,V20/V$78)</f>
        <v>0</v>
      </c>
      <c r="W75" s="138"/>
      <c r="X75" s="138">
        <f>+IF(X$78=0,0,X20/X$78)</f>
        <v>0</v>
      </c>
      <c r="Y75" s="138"/>
      <c r="Z75" s="139">
        <f>$A75*V75</f>
        <v>0</v>
      </c>
      <c r="AA75" s="139"/>
      <c r="AB75" s="140">
        <f>$A75*X75</f>
        <v>0</v>
      </c>
      <c r="AC75" s="141"/>
    </row>
    <row r="76" spans="1:29" ht="15.75" x14ac:dyDescent="0.25">
      <c r="A76" s="137">
        <f>+A75+5</f>
        <v>70</v>
      </c>
      <c r="B76" s="138">
        <f>+IF(B$78=0,0,B21/B$78)</f>
        <v>0</v>
      </c>
      <c r="C76" s="138"/>
      <c r="D76" s="138">
        <f>+IF(D$78=0,0,D21/D$78)</f>
        <v>0</v>
      </c>
      <c r="E76" s="138"/>
      <c r="F76" s="139">
        <f>$A76*B76</f>
        <v>0</v>
      </c>
      <c r="G76" s="139"/>
      <c r="H76" s="140">
        <f>$A76*D76</f>
        <v>0</v>
      </c>
      <c r="I76" s="141"/>
      <c r="K76" s="137">
        <f>+K75+5</f>
        <v>70</v>
      </c>
      <c r="L76" s="138">
        <f>+IF(L$78=0,0,L21/L$78)</f>
        <v>0.33154827965208006</v>
      </c>
      <c r="M76" s="138"/>
      <c r="N76" s="138">
        <f>+IF(N$78=0,0,N21/N$78)</f>
        <v>0.2101304412526861</v>
      </c>
      <c r="O76" s="138"/>
      <c r="P76" s="139">
        <f>$A76*L76</f>
        <v>23.208379575645605</v>
      </c>
      <c r="Q76" s="139"/>
      <c r="R76" s="140">
        <f>$A76*N76</f>
        <v>14.709130887688026</v>
      </c>
      <c r="S76" s="141"/>
      <c r="U76" s="137">
        <f>+U75+5</f>
        <v>70</v>
      </c>
      <c r="V76" s="138">
        <f>+IF(V$78=0,0,V21/V$78)</f>
        <v>0</v>
      </c>
      <c r="W76" s="138"/>
      <c r="X76" s="138">
        <f>+IF(X$78=0,0,X21/X$78)</f>
        <v>0</v>
      </c>
      <c r="Y76" s="138"/>
      <c r="Z76" s="139">
        <f>$A76*V76</f>
        <v>0</v>
      </c>
      <c r="AA76" s="139"/>
      <c r="AB76" s="140">
        <f>$A76*X76</f>
        <v>0</v>
      </c>
      <c r="AC76" s="141"/>
    </row>
    <row r="77" spans="1:29" ht="16.5" thickBot="1" x14ac:dyDescent="0.3">
      <c r="A77" s="137">
        <f>+A76+5</f>
        <v>75</v>
      </c>
      <c r="B77" s="396">
        <f>+IF(B$78=0,0,B22/B$78)</f>
        <v>0</v>
      </c>
      <c r="C77" s="138"/>
      <c r="D77" s="396">
        <f>+IF(D$78=0,0,D22/D$78)</f>
        <v>0</v>
      </c>
      <c r="E77" s="138"/>
      <c r="F77" s="397">
        <f>$A77*B77</f>
        <v>0</v>
      </c>
      <c r="G77" s="139"/>
      <c r="H77" s="142">
        <f>$A77*D77</f>
        <v>0</v>
      </c>
      <c r="I77" s="141"/>
      <c r="K77" s="137">
        <f>+K76+5</f>
        <v>75</v>
      </c>
      <c r="L77" s="396">
        <f>+IF(L$78=0,0,L22/L$78)</f>
        <v>0.15101324073063035</v>
      </c>
      <c r="M77" s="138"/>
      <c r="N77" s="396">
        <f>+IF(N$78=0,0,N22/N$78)</f>
        <v>0.28422208911075258</v>
      </c>
      <c r="O77" s="138"/>
      <c r="P77" s="397">
        <f>$A77*L77</f>
        <v>11.325993054797276</v>
      </c>
      <c r="Q77" s="139"/>
      <c r="R77" s="142">
        <f>$A77*N77</f>
        <v>21.316656683306444</v>
      </c>
      <c r="S77" s="141"/>
      <c r="U77" s="137">
        <f>+U76+5</f>
        <v>75</v>
      </c>
      <c r="V77" s="396">
        <f>+IF(V$78=0,0,V22/V$78)</f>
        <v>0</v>
      </c>
      <c r="W77" s="138"/>
      <c r="X77" s="396">
        <f>+IF(X$78=0,0,X22/X$78)</f>
        <v>0</v>
      </c>
      <c r="Y77" s="138"/>
      <c r="Z77" s="397">
        <f>$A77*V77</f>
        <v>0</v>
      </c>
      <c r="AA77" s="139"/>
      <c r="AB77" s="142">
        <f>$A77*X77</f>
        <v>0</v>
      </c>
      <c r="AC77" s="141"/>
    </row>
    <row r="78" spans="1:29" ht="16.5" thickTop="1" x14ac:dyDescent="0.25">
      <c r="A78" s="143" t="s">
        <v>20</v>
      </c>
      <c r="B78" s="144">
        <f>SUM(B19:B22)</f>
        <v>0</v>
      </c>
      <c r="C78" s="145"/>
      <c r="D78" s="146">
        <f>SUM(D19:D22)</f>
        <v>0</v>
      </c>
      <c r="E78" s="147" t="s">
        <v>26</v>
      </c>
      <c r="F78" s="148">
        <f>SUM(F74:F77)</f>
        <v>0</v>
      </c>
      <c r="G78" s="149"/>
      <c r="H78" s="150">
        <f>SUM(H74:H77)</f>
        <v>0</v>
      </c>
      <c r="I78" s="141"/>
      <c r="K78" s="143" t="s">
        <v>20</v>
      </c>
      <c r="L78" s="144">
        <f>SUM(L19:L22)</f>
        <v>1642.9757999999999</v>
      </c>
      <c r="M78" s="145"/>
      <c r="N78" s="146">
        <f>SUM(N19:N22)</f>
        <v>3435.8838999999998</v>
      </c>
      <c r="O78" s="147" t="s">
        <v>26</v>
      </c>
      <c r="P78" s="148">
        <f>SUM(P74:P77)</f>
        <v>65.965275325418673</v>
      </c>
      <c r="Q78" s="149"/>
      <c r="R78" s="150">
        <f>SUM(R74:R77)</f>
        <v>67.553518324644216</v>
      </c>
      <c r="S78" s="141"/>
      <c r="U78" s="143" t="s">
        <v>20</v>
      </c>
      <c r="V78" s="144">
        <f>SUM(V19:V22)</f>
        <v>0</v>
      </c>
      <c r="W78" s="145"/>
      <c r="X78" s="146">
        <f>SUM(X19:X22)</f>
        <v>0</v>
      </c>
      <c r="Y78" s="147" t="s">
        <v>26</v>
      </c>
      <c r="Z78" s="148">
        <f>SUM(Z74:Z77)</f>
        <v>0</v>
      </c>
      <c r="AA78" s="149"/>
      <c r="AB78" s="150">
        <f>SUM(AB74:AB77)</f>
        <v>0</v>
      </c>
      <c r="AC78" s="141"/>
    </row>
    <row r="79" spans="1:29" ht="15.75" x14ac:dyDescent="0.25">
      <c r="A79" s="137"/>
      <c r="B79" s="151"/>
      <c r="C79" s="151"/>
      <c r="D79" s="151"/>
      <c r="E79" s="151"/>
      <c r="F79" s="139"/>
      <c r="G79" s="139"/>
      <c r="H79" s="140"/>
      <c r="K79" s="137"/>
      <c r="L79" s="151"/>
      <c r="M79" s="151"/>
      <c r="N79" s="151"/>
      <c r="O79" s="151"/>
      <c r="P79" s="139"/>
      <c r="Q79" s="139"/>
      <c r="R79" s="140"/>
      <c r="U79" s="137"/>
      <c r="V79" s="151"/>
      <c r="W79" s="151"/>
      <c r="X79" s="151"/>
      <c r="Y79" s="151"/>
      <c r="Z79" s="139"/>
      <c r="AA79" s="139"/>
      <c r="AB79" s="140"/>
    </row>
    <row r="80" spans="1:29" ht="15.75" x14ac:dyDescent="0.25">
      <c r="A80" s="137">
        <f>+A77+5</f>
        <v>80</v>
      </c>
      <c r="B80" s="138">
        <f>+IF(B$84=0,0,B23/B$84)</f>
        <v>0</v>
      </c>
      <c r="C80" s="138"/>
      <c r="D80" s="138">
        <f>+IF(D$84=0,0,D23/D$84)</f>
        <v>0</v>
      </c>
      <c r="E80" s="138"/>
      <c r="F80" s="139">
        <f>$A80*B80</f>
        <v>0</v>
      </c>
      <c r="G80" s="139"/>
      <c r="H80" s="140">
        <f>$A80*D80</f>
        <v>0</v>
      </c>
      <c r="I80" s="141"/>
      <c r="K80" s="137">
        <f>+K77+5</f>
        <v>80</v>
      </c>
      <c r="L80" s="138">
        <f>+IF(L$84=0,0,L23/L$84)</f>
        <v>0.22016996888988374</v>
      </c>
      <c r="M80" s="138"/>
      <c r="N80" s="138">
        <f>+IF(N$84=0,0,N23/N$84)</f>
        <v>0.13863818543805675</v>
      </c>
      <c r="O80" s="138"/>
      <c r="P80" s="139">
        <f>$A80*L80</f>
        <v>17.613597511190701</v>
      </c>
      <c r="Q80" s="139"/>
      <c r="R80" s="140">
        <f>$A80*N80</f>
        <v>11.09105483504454</v>
      </c>
      <c r="S80" s="141"/>
      <c r="U80" s="137">
        <f>+U77+5</f>
        <v>80</v>
      </c>
      <c r="V80" s="138">
        <f>+IF(V$84=0,0,V23/V$84)</f>
        <v>0</v>
      </c>
      <c r="W80" s="138"/>
      <c r="X80" s="138">
        <f>+IF(X$84=0,0,X23/X$84)</f>
        <v>0</v>
      </c>
      <c r="Y80" s="138"/>
      <c r="Z80" s="139">
        <f>$A80*V80</f>
        <v>0</v>
      </c>
      <c r="AA80" s="139"/>
      <c r="AB80" s="140">
        <f>$A80*X80</f>
        <v>0</v>
      </c>
      <c r="AC80" s="141"/>
    </row>
    <row r="81" spans="1:29" ht="15.75" x14ac:dyDescent="0.25">
      <c r="A81" s="137">
        <f>+A80+5</f>
        <v>85</v>
      </c>
      <c r="B81" s="138">
        <f>+IF(B$84=0,0,B24/B$84)</f>
        <v>0</v>
      </c>
      <c r="C81" s="138"/>
      <c r="D81" s="138">
        <f>+IF(D$84=0,0,D24/D$84)</f>
        <v>0</v>
      </c>
      <c r="E81" s="138"/>
      <c r="F81" s="139">
        <f>$A81*B81</f>
        <v>0</v>
      </c>
      <c r="G81" s="139"/>
      <c r="H81" s="140">
        <f>$A81*D81</f>
        <v>0</v>
      </c>
      <c r="I81" s="141"/>
      <c r="K81" s="137">
        <f>+K80+5</f>
        <v>85</v>
      </c>
      <c r="L81" s="138">
        <f>+IF(L$84=0,0,L24/L$84)</f>
        <v>0</v>
      </c>
      <c r="M81" s="138"/>
      <c r="N81" s="138">
        <f>+IF(N$84=0,0,N24/N$84)</f>
        <v>0.2393957833517143</v>
      </c>
      <c r="O81" s="138"/>
      <c r="P81" s="139">
        <f>$A81*L81</f>
        <v>0</v>
      </c>
      <c r="Q81" s="139"/>
      <c r="R81" s="140">
        <f>$A81*N81</f>
        <v>20.348641584895717</v>
      </c>
      <c r="S81" s="141"/>
      <c r="U81" s="137">
        <f>+U80+5</f>
        <v>85</v>
      </c>
      <c r="V81" s="138">
        <f>+IF(V$84=0,0,V24/V$84)</f>
        <v>0</v>
      </c>
      <c r="W81" s="138"/>
      <c r="X81" s="138">
        <f>+IF(X$84=0,0,X24/X$84)</f>
        <v>0</v>
      </c>
      <c r="Y81" s="138"/>
      <c r="Z81" s="139">
        <f>$A81*V81</f>
        <v>0</v>
      </c>
      <c r="AA81" s="139"/>
      <c r="AB81" s="140">
        <f>$A81*X81</f>
        <v>0</v>
      </c>
      <c r="AC81" s="141"/>
    </row>
    <row r="82" spans="1:29" ht="15.75" x14ac:dyDescent="0.25">
      <c r="A82" s="137">
        <f>+A81+5</f>
        <v>90</v>
      </c>
      <c r="B82" s="138">
        <f>+IF(B$84=0,0,B25/B$84)</f>
        <v>0</v>
      </c>
      <c r="C82" s="138"/>
      <c r="D82" s="138">
        <f>+IF(D$84=0,0,D25/D$84)</f>
        <v>0</v>
      </c>
      <c r="E82" s="138"/>
      <c r="F82" s="139">
        <f>$A82*B82</f>
        <v>0</v>
      </c>
      <c r="G82" s="139"/>
      <c r="H82" s="140">
        <f>$A82*D82</f>
        <v>0</v>
      </c>
      <c r="I82" s="141"/>
      <c r="K82" s="137">
        <f>+K81+5</f>
        <v>90</v>
      </c>
      <c r="L82" s="138">
        <f>+IF(L$84=0,0,L25/L$84)</f>
        <v>0</v>
      </c>
      <c r="M82" s="138"/>
      <c r="N82" s="138">
        <f>+IF(N$84=0,0,N25/N$84)</f>
        <v>0.19287258574825336</v>
      </c>
      <c r="O82" s="138"/>
      <c r="P82" s="139">
        <f>$A82*L82</f>
        <v>0</v>
      </c>
      <c r="Q82" s="139"/>
      <c r="R82" s="140">
        <f>$A82*N82</f>
        <v>17.358532717342804</v>
      </c>
      <c r="S82" s="141"/>
      <c r="U82" s="137">
        <f>+U81+5</f>
        <v>90</v>
      </c>
      <c r="V82" s="138">
        <f>+IF(V$84=0,0,V25/V$84)</f>
        <v>0</v>
      </c>
      <c r="W82" s="138"/>
      <c r="X82" s="138">
        <f>+IF(X$84=0,0,X25/X$84)</f>
        <v>0</v>
      </c>
      <c r="Y82" s="138"/>
      <c r="Z82" s="139">
        <f>$A82*V82</f>
        <v>0</v>
      </c>
      <c r="AA82" s="139"/>
      <c r="AB82" s="140">
        <f>$A82*X82</f>
        <v>0</v>
      </c>
      <c r="AC82" s="141"/>
    </row>
    <row r="83" spans="1:29" ht="16.5" thickBot="1" x14ac:dyDescent="0.3">
      <c r="A83" s="137">
        <f>+A82+5</f>
        <v>95</v>
      </c>
      <c r="B83" s="396">
        <f>+IF(B$84=0,0,B26/B$84)</f>
        <v>0</v>
      </c>
      <c r="C83" s="138"/>
      <c r="D83" s="396">
        <f>+IF(D$84=0,0,D26/D$84)</f>
        <v>0</v>
      </c>
      <c r="E83" s="138"/>
      <c r="F83" s="397">
        <f>$A83*B83</f>
        <v>0</v>
      </c>
      <c r="G83" s="139"/>
      <c r="H83" s="142">
        <f>$A83*D83</f>
        <v>0</v>
      </c>
      <c r="I83" s="141"/>
      <c r="K83" s="137">
        <f>+K82+5</f>
        <v>95</v>
      </c>
      <c r="L83" s="396">
        <f>+IF(L$84=0,0,L26/L$84)</f>
        <v>0.77983003111011617</v>
      </c>
      <c r="M83" s="138"/>
      <c r="N83" s="396">
        <f>+IF(N$84=0,0,N26/N$84)</f>
        <v>0.42909344546197564</v>
      </c>
      <c r="O83" s="138"/>
      <c r="P83" s="397">
        <f>$A83*L83</f>
        <v>74.08385295546104</v>
      </c>
      <c r="Q83" s="139"/>
      <c r="R83" s="142">
        <f>$A83*N83</f>
        <v>40.763877318887687</v>
      </c>
      <c r="S83" s="141"/>
      <c r="U83" s="137">
        <f>+U82+5</f>
        <v>95</v>
      </c>
      <c r="V83" s="396">
        <f>+IF(V$84=0,0,V26/V$84)</f>
        <v>0</v>
      </c>
      <c r="W83" s="138"/>
      <c r="X83" s="396">
        <f>+IF(X$84=0,0,X26/X$84)</f>
        <v>0</v>
      </c>
      <c r="Y83" s="138"/>
      <c r="Z83" s="397">
        <f>$A83*V83</f>
        <v>0</v>
      </c>
      <c r="AA83" s="139"/>
      <c r="AB83" s="142">
        <f>$A83*X83</f>
        <v>0</v>
      </c>
      <c r="AC83" s="141"/>
    </row>
    <row r="84" spans="1:29" ht="16.5" thickTop="1" x14ac:dyDescent="0.25">
      <c r="A84" s="143" t="s">
        <v>20</v>
      </c>
      <c r="B84" s="144">
        <f>SUM(B23:B26)</f>
        <v>0</v>
      </c>
      <c r="C84" s="145" t="s">
        <v>27</v>
      </c>
      <c r="D84" s="146">
        <f>SUM(D23:D26)</f>
        <v>0</v>
      </c>
      <c r="E84" s="147" t="s">
        <v>26</v>
      </c>
      <c r="F84" s="148">
        <f>SUM(F80:F83)</f>
        <v>0</v>
      </c>
      <c r="G84" s="149"/>
      <c r="H84" s="150">
        <f>SUM(H80:H83)</f>
        <v>0</v>
      </c>
      <c r="I84" s="141"/>
      <c r="K84" s="143" t="s">
        <v>20</v>
      </c>
      <c r="L84" s="144">
        <f>SUM(L23:L26)</f>
        <v>342.2038</v>
      </c>
      <c r="M84" s="145" t="s">
        <v>27</v>
      </c>
      <c r="N84" s="146">
        <f>SUM(N23:N26)</f>
        <v>1589.9594999999999</v>
      </c>
      <c r="O84" s="147" t="s">
        <v>26</v>
      </c>
      <c r="P84" s="148">
        <f>SUM(P80:P83)</f>
        <v>91.697450466651745</v>
      </c>
      <c r="Q84" s="149"/>
      <c r="R84" s="150">
        <f>SUM(R80:R83)</f>
        <v>89.562106456170739</v>
      </c>
      <c r="S84" s="141"/>
      <c r="U84" s="143" t="s">
        <v>20</v>
      </c>
      <c r="V84" s="144">
        <f>SUM(V23:V26)</f>
        <v>0</v>
      </c>
      <c r="W84" s="145" t="s">
        <v>27</v>
      </c>
      <c r="X84" s="146">
        <f>SUM(X23:X26)</f>
        <v>0</v>
      </c>
      <c r="Y84" s="147" t="s">
        <v>26</v>
      </c>
      <c r="Z84" s="148">
        <f>SUM(Z80:Z83)</f>
        <v>0</v>
      </c>
      <c r="AA84" s="149"/>
      <c r="AB84" s="150">
        <f>SUM(AB80:AB83)</f>
        <v>0</v>
      </c>
      <c r="AC84" s="141"/>
    </row>
    <row r="85" spans="1:29" ht="15.75" x14ac:dyDescent="0.25">
      <c r="A85" s="137"/>
      <c r="B85" s="151"/>
      <c r="C85" s="151"/>
      <c r="D85" s="151"/>
      <c r="E85" s="151"/>
      <c r="F85" s="139"/>
      <c r="G85" s="139"/>
      <c r="H85" s="140"/>
      <c r="K85" s="137"/>
      <c r="L85" s="151"/>
      <c r="M85" s="151"/>
      <c r="N85" s="151"/>
      <c r="O85" s="151"/>
      <c r="P85" s="139"/>
      <c r="Q85" s="139"/>
      <c r="R85" s="140"/>
      <c r="U85" s="137"/>
      <c r="V85" s="151"/>
      <c r="W85" s="151"/>
      <c r="X85" s="151"/>
      <c r="Y85" s="151"/>
      <c r="Z85" s="139"/>
      <c r="AA85" s="139"/>
      <c r="AB85" s="140"/>
    </row>
    <row r="86" spans="1:29" ht="15.75" x14ac:dyDescent="0.25">
      <c r="A86" s="137">
        <f>+A83+5</f>
        <v>100</v>
      </c>
      <c r="B86" s="138">
        <f>+IF(B$90=0,0,B27/B$90)</f>
        <v>0</v>
      </c>
      <c r="C86" s="138"/>
      <c r="D86" s="138">
        <f>+IF(D$90=0,0,D27/D$90)</f>
        <v>0</v>
      </c>
      <c r="E86" s="138"/>
      <c r="F86" s="139">
        <f>$A86*B86</f>
        <v>0</v>
      </c>
      <c r="G86" s="139"/>
      <c r="H86" s="140">
        <f>$A86*D86</f>
        <v>0</v>
      </c>
      <c r="I86" s="141"/>
      <c r="K86" s="137">
        <f>+K83+5</f>
        <v>100</v>
      </c>
      <c r="L86" s="138">
        <f>+IF(L$90=0,0,L27/L$90)</f>
        <v>0.35343672379638535</v>
      </c>
      <c r="M86" s="138"/>
      <c r="N86" s="138">
        <f>+IF(N$90=0,0,N27/N$90)</f>
        <v>0.74278239885727482</v>
      </c>
      <c r="O86" s="138"/>
      <c r="P86" s="139">
        <f>$A86*L86</f>
        <v>35.343672379638534</v>
      </c>
      <c r="Q86" s="139"/>
      <c r="R86" s="140">
        <f>$A86*N86</f>
        <v>74.278239885727487</v>
      </c>
      <c r="S86" s="141"/>
      <c r="U86" s="137">
        <f>+U83+5</f>
        <v>100</v>
      </c>
      <c r="V86" s="138">
        <f>+IF(V$90=0,0,V27/V$90)</f>
        <v>0</v>
      </c>
      <c r="W86" s="138"/>
      <c r="X86" s="138">
        <f>+IF(X$90=0,0,X27/X$90)</f>
        <v>0</v>
      </c>
      <c r="Y86" s="138"/>
      <c r="Z86" s="139">
        <f>$A86*V86</f>
        <v>0</v>
      </c>
      <c r="AA86" s="139"/>
      <c r="AB86" s="140">
        <f>$A86*X86</f>
        <v>0</v>
      </c>
      <c r="AC86" s="141"/>
    </row>
    <row r="87" spans="1:29" ht="15.75" x14ac:dyDescent="0.25">
      <c r="A87" s="137">
        <f>+A86+5</f>
        <v>105</v>
      </c>
      <c r="B87" s="138">
        <f>+IF(B$90=0,0,B28/B$90)</f>
        <v>0</v>
      </c>
      <c r="C87" s="138"/>
      <c r="D87" s="138">
        <f>+IF(D$90=0,0,D28/D$90)</f>
        <v>0</v>
      </c>
      <c r="E87" s="138"/>
      <c r="F87" s="139">
        <f>$A87*B87</f>
        <v>0</v>
      </c>
      <c r="G87" s="139"/>
      <c r="H87" s="140">
        <f>$A87*D87</f>
        <v>0</v>
      </c>
      <c r="I87" s="141"/>
      <c r="K87" s="137">
        <f>+K86+5</f>
        <v>105</v>
      </c>
      <c r="L87" s="138">
        <f>+IF(L$90=0,0,L28/L$90)</f>
        <v>0.64656327620361465</v>
      </c>
      <c r="M87" s="138"/>
      <c r="N87" s="138">
        <f>+IF(N$90=0,0,N28/N$90)</f>
        <v>0</v>
      </c>
      <c r="O87" s="138"/>
      <c r="P87" s="139">
        <f>$A87*L87</f>
        <v>67.889144001379535</v>
      </c>
      <c r="Q87" s="139"/>
      <c r="R87" s="140">
        <f>$A87*N87</f>
        <v>0</v>
      </c>
      <c r="S87" s="141"/>
      <c r="U87" s="137">
        <f>+U86+5</f>
        <v>105</v>
      </c>
      <c r="V87" s="138">
        <f>+IF(V$90=0,0,V28/V$90)</f>
        <v>0</v>
      </c>
      <c r="W87" s="138"/>
      <c r="X87" s="138">
        <f>+IF(X$90=0,0,X28/X$90)</f>
        <v>0</v>
      </c>
      <c r="Y87" s="138"/>
      <c r="Z87" s="139">
        <f>$A87*V87</f>
        <v>0</v>
      </c>
      <c r="AA87" s="139"/>
      <c r="AB87" s="140">
        <f>$A87*X87</f>
        <v>0</v>
      </c>
      <c r="AC87" s="141"/>
    </row>
    <row r="88" spans="1:29" ht="15.75" x14ac:dyDescent="0.25">
      <c r="A88" s="137">
        <f>+A87+5</f>
        <v>110</v>
      </c>
      <c r="B88" s="138">
        <f>+IF(B$90=0,0,B29/B$90)</f>
        <v>0</v>
      </c>
      <c r="C88" s="138"/>
      <c r="D88" s="138">
        <f>+IF(D$90=0,0,D29/D$90)</f>
        <v>0</v>
      </c>
      <c r="E88" s="138"/>
      <c r="F88" s="139">
        <f>$A88*B88</f>
        <v>0</v>
      </c>
      <c r="G88" s="139"/>
      <c r="H88" s="140">
        <f>$A88*D88</f>
        <v>0</v>
      </c>
      <c r="I88" s="141"/>
      <c r="K88" s="137">
        <f>+K87+5</f>
        <v>110</v>
      </c>
      <c r="L88" s="138">
        <f>+IF(L$90=0,0,L29/L$90)</f>
        <v>0</v>
      </c>
      <c r="M88" s="138"/>
      <c r="N88" s="138">
        <f>+IF(N$90=0,0,N29/N$90)</f>
        <v>0</v>
      </c>
      <c r="O88" s="138"/>
      <c r="P88" s="139">
        <f>$A88*L88</f>
        <v>0</v>
      </c>
      <c r="Q88" s="139"/>
      <c r="R88" s="140">
        <f>$A88*N88</f>
        <v>0</v>
      </c>
      <c r="S88" s="141"/>
      <c r="U88" s="137">
        <f>+U87+5</f>
        <v>110</v>
      </c>
      <c r="V88" s="138">
        <f>+IF(V$90=0,0,V29/V$90)</f>
        <v>0</v>
      </c>
      <c r="W88" s="138"/>
      <c r="X88" s="138">
        <f>+IF(X$90=0,0,X29/X$90)</f>
        <v>0</v>
      </c>
      <c r="Y88" s="138"/>
      <c r="Z88" s="139">
        <f>$A88*V88</f>
        <v>0</v>
      </c>
      <c r="AA88" s="139"/>
      <c r="AB88" s="140">
        <f>$A88*X88</f>
        <v>0</v>
      </c>
      <c r="AC88" s="141"/>
    </row>
    <row r="89" spans="1:29" ht="16.5" thickBot="1" x14ac:dyDescent="0.3">
      <c r="A89" s="137">
        <f>+A88+5</f>
        <v>115</v>
      </c>
      <c r="B89" s="396">
        <f>+IF(B$90=0,0,B30/B$90)</f>
        <v>0</v>
      </c>
      <c r="C89" s="138"/>
      <c r="D89" s="396">
        <f>+IF(D$90=0,0,D30/D$90)</f>
        <v>0</v>
      </c>
      <c r="E89" s="138"/>
      <c r="F89" s="397">
        <f>$A89*B89</f>
        <v>0</v>
      </c>
      <c r="G89" s="139"/>
      <c r="H89" s="142">
        <f>$A89*D89</f>
        <v>0</v>
      </c>
      <c r="I89" s="141"/>
      <c r="K89" s="137">
        <f>+K88+5</f>
        <v>115</v>
      </c>
      <c r="L89" s="396">
        <f>+IF(L$90=0,0,L30/L$90)</f>
        <v>0</v>
      </c>
      <c r="M89" s="138"/>
      <c r="N89" s="396">
        <f>+IF(N$90=0,0,N30/N$90)</f>
        <v>0.25721760114272524</v>
      </c>
      <c r="O89" s="138"/>
      <c r="P89" s="397">
        <f>$A89*L89</f>
        <v>0</v>
      </c>
      <c r="Q89" s="139"/>
      <c r="R89" s="142">
        <f>$A89*N89</f>
        <v>29.580024131413403</v>
      </c>
      <c r="S89" s="141"/>
      <c r="U89" s="137">
        <f>+U88+5</f>
        <v>115</v>
      </c>
      <c r="V89" s="396">
        <f>+IF(V$90=0,0,V30/V$90)</f>
        <v>0</v>
      </c>
      <c r="W89" s="138"/>
      <c r="X89" s="396">
        <f>+IF(X$90=0,0,X30/X$90)</f>
        <v>0</v>
      </c>
      <c r="Y89" s="138"/>
      <c r="Z89" s="397">
        <f>$A89*V89</f>
        <v>0</v>
      </c>
      <c r="AA89" s="139"/>
      <c r="AB89" s="142">
        <f>$A89*X89</f>
        <v>0</v>
      </c>
      <c r="AC89" s="141"/>
    </row>
    <row r="90" spans="1:29" ht="16.5" thickTop="1" x14ac:dyDescent="0.25">
      <c r="A90" s="143" t="s">
        <v>20</v>
      </c>
      <c r="B90" s="144">
        <f>SUM(B27:B30)</f>
        <v>0</v>
      </c>
      <c r="C90" s="145"/>
      <c r="D90" s="146">
        <f>SUM(D27:D30)</f>
        <v>0</v>
      </c>
      <c r="E90" s="147" t="s">
        <v>26</v>
      </c>
      <c r="F90" s="148">
        <f>SUM(F86:F89)</f>
        <v>0</v>
      </c>
      <c r="G90" s="149"/>
      <c r="H90" s="150">
        <f>SUM(H86:H89)</f>
        <v>0</v>
      </c>
      <c r="I90" s="141"/>
      <c r="K90" s="143" t="s">
        <v>20</v>
      </c>
      <c r="L90" s="144">
        <f>SUM(L27:L30)</f>
        <v>941.76319999999998</v>
      </c>
      <c r="M90" s="145"/>
      <c r="N90" s="146">
        <f>SUM(N27:N30)</f>
        <v>554.46399999999994</v>
      </c>
      <c r="O90" s="147" t="s">
        <v>26</v>
      </c>
      <c r="P90" s="148">
        <f>SUM(P86:P89)</f>
        <v>103.23281638101807</v>
      </c>
      <c r="Q90" s="149"/>
      <c r="R90" s="150">
        <f>SUM(R86:R89)</f>
        <v>103.8582640171409</v>
      </c>
      <c r="S90" s="141"/>
      <c r="U90" s="143" t="s">
        <v>20</v>
      </c>
      <c r="V90" s="144">
        <f>SUM(V27:V30)</f>
        <v>0</v>
      </c>
      <c r="W90" s="145"/>
      <c r="X90" s="146">
        <f>SUM(X27:X30)</f>
        <v>0</v>
      </c>
      <c r="Y90" s="147" t="s">
        <v>26</v>
      </c>
      <c r="Z90" s="148">
        <f>SUM(Z86:Z89)</f>
        <v>0</v>
      </c>
      <c r="AA90" s="149"/>
      <c r="AB90" s="150">
        <f>SUM(AB86:AB89)</f>
        <v>0</v>
      </c>
      <c r="AC90" s="141"/>
    </row>
    <row r="91" spans="1:29" ht="15.75" x14ac:dyDescent="0.25">
      <c r="A91" s="137"/>
      <c r="B91" s="151"/>
      <c r="C91" s="151"/>
      <c r="D91" s="151"/>
      <c r="E91" s="151"/>
      <c r="F91" s="139"/>
      <c r="G91" s="139"/>
      <c r="H91" s="140"/>
      <c r="K91" s="137"/>
      <c r="L91" s="151"/>
      <c r="M91" s="151"/>
      <c r="N91" s="151"/>
      <c r="O91" s="151"/>
      <c r="P91" s="139"/>
      <c r="Q91" s="139"/>
      <c r="R91" s="140"/>
      <c r="U91" s="137"/>
      <c r="V91" s="151"/>
      <c r="W91" s="151"/>
      <c r="X91" s="151"/>
      <c r="Y91" s="151"/>
      <c r="Z91" s="139"/>
      <c r="AA91" s="139"/>
      <c r="AB91" s="140"/>
    </row>
    <row r="92" spans="1:29" ht="15.75" x14ac:dyDescent="0.25">
      <c r="A92" s="137">
        <f>+A89+5</f>
        <v>120</v>
      </c>
      <c r="B92" s="138">
        <f>+IF(B$96=0,0,B31/B$96)</f>
        <v>0</v>
      </c>
      <c r="C92" s="138"/>
      <c r="D92" s="138">
        <f>+IF(D$96=0,0,D31/D$96)</f>
        <v>0</v>
      </c>
      <c r="E92" s="138"/>
      <c r="F92" s="139">
        <f>$A92*B92</f>
        <v>0</v>
      </c>
      <c r="G92" s="139"/>
      <c r="H92" s="140">
        <f>$A92*D92</f>
        <v>0</v>
      </c>
      <c r="I92" s="141"/>
      <c r="K92" s="137">
        <f>+K89+5</f>
        <v>120</v>
      </c>
      <c r="L92" s="138">
        <f>+IF(L$96=0,0,L31/L$96)</f>
        <v>0</v>
      </c>
      <c r="M92" s="138"/>
      <c r="N92" s="138">
        <f>+IF(N$96=0,0,N31/N$96)</f>
        <v>0</v>
      </c>
      <c r="O92" s="138"/>
      <c r="P92" s="139">
        <f>$A92*L92</f>
        <v>0</v>
      </c>
      <c r="Q92" s="139"/>
      <c r="R92" s="140">
        <f>$A92*N92</f>
        <v>0</v>
      </c>
      <c r="S92" s="141"/>
      <c r="U92" s="137">
        <f>+U89+5</f>
        <v>120</v>
      </c>
      <c r="V92" s="138">
        <f>+IF(V$96=0,0,V31/V$96)</f>
        <v>0</v>
      </c>
      <c r="W92" s="138"/>
      <c r="X92" s="138">
        <f>+IF(X$96=0,0,X31/X$96)</f>
        <v>0</v>
      </c>
      <c r="Y92" s="138"/>
      <c r="Z92" s="139">
        <f>$A92*V92</f>
        <v>0</v>
      </c>
      <c r="AA92" s="139"/>
      <c r="AB92" s="140">
        <f>$A92*X92</f>
        <v>0</v>
      </c>
      <c r="AC92" s="141"/>
    </row>
    <row r="93" spans="1:29" ht="15.75" x14ac:dyDescent="0.25">
      <c r="A93" s="137">
        <f>+A92+5</f>
        <v>125</v>
      </c>
      <c r="B93" s="138">
        <f>+IF(B$96=0,0,B32/B$96)</f>
        <v>0</v>
      </c>
      <c r="C93" s="138"/>
      <c r="D93" s="138">
        <f>+IF(D$96=0,0,D32/D$96)</f>
        <v>0</v>
      </c>
      <c r="E93" s="138"/>
      <c r="F93" s="139">
        <f>$A93*B93</f>
        <v>0</v>
      </c>
      <c r="G93" s="139"/>
      <c r="H93" s="140">
        <f>$A93*D93</f>
        <v>0</v>
      </c>
      <c r="I93" s="141"/>
      <c r="K93" s="137">
        <f>+K92+5</f>
        <v>125</v>
      </c>
      <c r="L93" s="138">
        <f>+IF(L$96=0,0,L32/L$96)</f>
        <v>0</v>
      </c>
      <c r="M93" s="138"/>
      <c r="N93" s="138">
        <f>+IF(N$96=0,0,N32/N$96)</f>
        <v>0</v>
      </c>
      <c r="O93" s="138"/>
      <c r="P93" s="139">
        <f>$A93*L93</f>
        <v>0</v>
      </c>
      <c r="Q93" s="139"/>
      <c r="R93" s="140">
        <f>$A93*N93</f>
        <v>0</v>
      </c>
      <c r="S93" s="141"/>
      <c r="U93" s="137">
        <f>+U92+5</f>
        <v>125</v>
      </c>
      <c r="V93" s="138">
        <f>+IF(V$96=0,0,V32/V$96)</f>
        <v>0</v>
      </c>
      <c r="W93" s="138"/>
      <c r="X93" s="138">
        <f>+IF(X$96=0,0,X32/X$96)</f>
        <v>0</v>
      </c>
      <c r="Y93" s="138"/>
      <c r="Z93" s="139">
        <f>$A93*V93</f>
        <v>0</v>
      </c>
      <c r="AA93" s="139"/>
      <c r="AB93" s="140">
        <f>$A93*X93</f>
        <v>0</v>
      </c>
      <c r="AC93" s="141"/>
    </row>
    <row r="94" spans="1:29" ht="15.75" x14ac:dyDescent="0.25">
      <c r="A94" s="137">
        <f>+A93+5</f>
        <v>130</v>
      </c>
      <c r="B94" s="138">
        <f>+IF(B$96=0,0,B33/B$96)</f>
        <v>0</v>
      </c>
      <c r="C94" s="138"/>
      <c r="D94" s="138">
        <f>+IF(D$96=0,0,D33/D$96)</f>
        <v>0</v>
      </c>
      <c r="E94" s="138"/>
      <c r="F94" s="139">
        <f>$A94*B94</f>
        <v>0</v>
      </c>
      <c r="G94" s="139"/>
      <c r="H94" s="140">
        <f>$A94*D94</f>
        <v>0</v>
      </c>
      <c r="I94" s="141"/>
      <c r="K94" s="137">
        <f>+K93+5</f>
        <v>130</v>
      </c>
      <c r="L94" s="138">
        <f>+IF(L$96=0,0,L33/L$96)</f>
        <v>0</v>
      </c>
      <c r="M94" s="138"/>
      <c r="N94" s="138">
        <f>+IF(N$96=0,0,N33/N$96)</f>
        <v>0</v>
      </c>
      <c r="O94" s="138"/>
      <c r="P94" s="139">
        <f>$A94*L94</f>
        <v>0</v>
      </c>
      <c r="Q94" s="139"/>
      <c r="R94" s="140">
        <f>$A94*N94</f>
        <v>0</v>
      </c>
      <c r="S94" s="141"/>
      <c r="U94" s="137">
        <f>+U93+5</f>
        <v>130</v>
      </c>
      <c r="V94" s="138">
        <f>+IF(V$96=0,0,V33/V$96)</f>
        <v>0</v>
      </c>
      <c r="W94" s="138"/>
      <c r="X94" s="138">
        <f>+IF(X$96=0,0,X33/X$96)</f>
        <v>0</v>
      </c>
      <c r="Y94" s="138"/>
      <c r="Z94" s="139">
        <f>$A94*V94</f>
        <v>0</v>
      </c>
      <c r="AA94" s="139"/>
      <c r="AB94" s="140">
        <f>$A94*X94</f>
        <v>0</v>
      </c>
      <c r="AC94" s="141"/>
    </row>
    <row r="95" spans="1:29" ht="16.5" thickBot="1" x14ac:dyDescent="0.3">
      <c r="A95" s="137">
        <f>+A94+5</f>
        <v>135</v>
      </c>
      <c r="B95" s="396">
        <f>+IF(B$96=0,0,B34/B$96)</f>
        <v>0</v>
      </c>
      <c r="C95" s="138"/>
      <c r="D95" s="396">
        <f>+IF(D$96=0,0,D34/D$96)</f>
        <v>0</v>
      </c>
      <c r="E95" s="138"/>
      <c r="F95" s="397">
        <f>$A95*B95</f>
        <v>0</v>
      </c>
      <c r="G95" s="139"/>
      <c r="H95" s="142">
        <f>$A95*D95</f>
        <v>0</v>
      </c>
      <c r="I95" s="141"/>
      <c r="K95" s="137">
        <f>+K94+5</f>
        <v>135</v>
      </c>
      <c r="L95" s="396">
        <f>+IF(L$96=0,0,L34/L$96)</f>
        <v>0</v>
      </c>
      <c r="M95" s="138"/>
      <c r="N95" s="396">
        <f>+IF(N$96=0,0,N34/N$96)</f>
        <v>0</v>
      </c>
      <c r="O95" s="138"/>
      <c r="P95" s="397">
        <f>$A95*L95</f>
        <v>0</v>
      </c>
      <c r="Q95" s="139"/>
      <c r="R95" s="142">
        <f>$A95*N95</f>
        <v>0</v>
      </c>
      <c r="S95" s="141"/>
      <c r="U95" s="137">
        <f>+U94+5</f>
        <v>135</v>
      </c>
      <c r="V95" s="396">
        <f>+IF(V$96=0,0,V34/V$96)</f>
        <v>0</v>
      </c>
      <c r="W95" s="138"/>
      <c r="X95" s="396">
        <f>+IF(X$96=0,0,X34/X$96)</f>
        <v>0</v>
      </c>
      <c r="Y95" s="138"/>
      <c r="Z95" s="397">
        <f>$A95*V95</f>
        <v>0</v>
      </c>
      <c r="AA95" s="139"/>
      <c r="AB95" s="142">
        <f>$A95*X95</f>
        <v>0</v>
      </c>
      <c r="AC95" s="141"/>
    </row>
    <row r="96" spans="1:29" ht="16.5" thickTop="1" x14ac:dyDescent="0.25">
      <c r="A96" s="143" t="s">
        <v>20</v>
      </c>
      <c r="B96" s="144">
        <f>SUM(B31:B34)</f>
        <v>0</v>
      </c>
      <c r="C96" s="145"/>
      <c r="D96" s="146">
        <f>SUM(D31:D34)</f>
        <v>0</v>
      </c>
      <c r="E96" s="147" t="s">
        <v>26</v>
      </c>
      <c r="F96" s="148">
        <f>SUM(F92:F95)</f>
        <v>0</v>
      </c>
      <c r="G96" s="149"/>
      <c r="H96" s="150">
        <f>SUM(H92:H95)</f>
        <v>0</v>
      </c>
      <c r="I96" s="141"/>
      <c r="K96" s="143" t="s">
        <v>20</v>
      </c>
      <c r="L96" s="144">
        <f>SUM(L31:L34)</f>
        <v>0</v>
      </c>
      <c r="M96" s="145"/>
      <c r="N96" s="146">
        <f>SUM(N31:N34)</f>
        <v>0</v>
      </c>
      <c r="O96" s="147" t="s">
        <v>26</v>
      </c>
      <c r="P96" s="148">
        <f>SUM(P92:P95)</f>
        <v>0</v>
      </c>
      <c r="Q96" s="149"/>
      <c r="R96" s="150">
        <f>SUM(R92:R95)</f>
        <v>0</v>
      </c>
      <c r="S96" s="141"/>
      <c r="U96" s="143" t="s">
        <v>20</v>
      </c>
      <c r="V96" s="144">
        <f>SUM(V31:V34)</f>
        <v>0</v>
      </c>
      <c r="W96" s="145"/>
      <c r="X96" s="146">
        <f>SUM(X31:X34)</f>
        <v>0</v>
      </c>
      <c r="Y96" s="147" t="s">
        <v>26</v>
      </c>
      <c r="Z96" s="148">
        <f>SUM(Z92:Z95)</f>
        <v>0</v>
      </c>
      <c r="AA96" s="149"/>
      <c r="AB96" s="150">
        <f>SUM(AB92:AB95)</f>
        <v>0</v>
      </c>
      <c r="AC96" s="141"/>
    </row>
    <row r="97" spans="1:29" ht="15.75" x14ac:dyDescent="0.25">
      <c r="A97" s="137"/>
      <c r="B97" s="151"/>
      <c r="C97" s="151"/>
      <c r="D97" s="151"/>
      <c r="E97" s="151"/>
      <c r="F97" s="139"/>
      <c r="G97" s="139"/>
      <c r="H97" s="140"/>
      <c r="K97" s="137"/>
      <c r="L97" s="151"/>
      <c r="M97" s="151"/>
      <c r="N97" s="151"/>
      <c r="O97" s="151"/>
      <c r="P97" s="139"/>
      <c r="Q97" s="139"/>
      <c r="R97" s="140"/>
      <c r="U97" s="137"/>
      <c r="V97" s="151"/>
      <c r="W97" s="151"/>
      <c r="X97" s="151"/>
      <c r="Y97" s="151"/>
      <c r="Z97" s="139"/>
      <c r="AA97" s="139"/>
      <c r="AB97" s="140"/>
    </row>
    <row r="98" spans="1:29" ht="15.75" x14ac:dyDescent="0.25">
      <c r="A98" s="137">
        <f>+A95+5</f>
        <v>140</v>
      </c>
      <c r="B98" s="138">
        <f>+IF(B$102=0,0,B35/B$102)</f>
        <v>0</v>
      </c>
      <c r="C98" s="138"/>
      <c r="D98" s="138">
        <f>+IF(D$102=0,0,D35/D$102)</f>
        <v>0</v>
      </c>
      <c r="E98" s="138"/>
      <c r="F98" s="139">
        <f>$A98*B98</f>
        <v>0</v>
      </c>
      <c r="G98" s="139"/>
      <c r="H98" s="140">
        <f>$A98*D98</f>
        <v>0</v>
      </c>
      <c r="I98" s="141"/>
      <c r="K98" s="137">
        <f>+K95+5</f>
        <v>140</v>
      </c>
      <c r="L98" s="138">
        <f>+IF(L$102=0,0,L35/L$102)</f>
        <v>0.31039038555397097</v>
      </c>
      <c r="M98" s="138"/>
      <c r="N98" s="138">
        <f>+IF(N$102=0,0,N35/N$102)</f>
        <v>0</v>
      </c>
      <c r="O98" s="138"/>
      <c r="P98" s="139">
        <f>$A98*L98</f>
        <v>43.454653977555935</v>
      </c>
      <c r="Q98" s="139"/>
      <c r="R98" s="140">
        <f>$A98*N98</f>
        <v>0</v>
      </c>
      <c r="S98" s="141"/>
      <c r="U98" s="137">
        <f>+U95+5</f>
        <v>140</v>
      </c>
      <c r="V98" s="138">
        <f>+IF(V$102=0,0,V35/V$102)</f>
        <v>0</v>
      </c>
      <c r="W98" s="138"/>
      <c r="X98" s="138">
        <f>+IF(X$102=0,0,X35/X$102)</f>
        <v>0</v>
      </c>
      <c r="Y98" s="138"/>
      <c r="Z98" s="139">
        <f>$A98*V98</f>
        <v>0</v>
      </c>
      <c r="AA98" s="139"/>
      <c r="AB98" s="140">
        <f>$A98*X98</f>
        <v>0</v>
      </c>
      <c r="AC98" s="141"/>
    </row>
    <row r="99" spans="1:29" ht="15.75" x14ac:dyDescent="0.25">
      <c r="A99" s="137">
        <f>+A98+5</f>
        <v>145</v>
      </c>
      <c r="B99" s="138">
        <f>+IF(B$102=0,0,B36/B$102)</f>
        <v>0</v>
      </c>
      <c r="C99" s="138"/>
      <c r="D99" s="138">
        <f>+IF(D$102=0,0,D36/D$102)</f>
        <v>0</v>
      </c>
      <c r="E99" s="138"/>
      <c r="F99" s="139">
        <f>$A99*B99</f>
        <v>0</v>
      </c>
      <c r="G99" s="139"/>
      <c r="H99" s="140">
        <f>$A99*D99</f>
        <v>0</v>
      </c>
      <c r="I99" s="141"/>
      <c r="K99" s="137">
        <f>+K98+5</f>
        <v>145</v>
      </c>
      <c r="L99" s="138">
        <f>+IF(L$102=0,0,L36/L$102)</f>
        <v>0.379219228892058</v>
      </c>
      <c r="M99" s="138"/>
      <c r="N99" s="138">
        <f>+IF(N$102=0,0,N36/N$102)</f>
        <v>0</v>
      </c>
      <c r="O99" s="138"/>
      <c r="P99" s="139">
        <f>$A99*L99</f>
        <v>54.98678818934841</v>
      </c>
      <c r="Q99" s="139"/>
      <c r="R99" s="140">
        <f>$A99*N99</f>
        <v>0</v>
      </c>
      <c r="S99" s="141"/>
      <c r="U99" s="137">
        <f>+U98+5</f>
        <v>145</v>
      </c>
      <c r="V99" s="138">
        <f>+IF(V$102=0,0,V36/V$102)</f>
        <v>0</v>
      </c>
      <c r="W99" s="138"/>
      <c r="X99" s="138">
        <f>+IF(X$102=0,0,X36/X$102)</f>
        <v>0</v>
      </c>
      <c r="Y99" s="138"/>
      <c r="Z99" s="139">
        <f>$A99*V99</f>
        <v>0</v>
      </c>
      <c r="AA99" s="139"/>
      <c r="AB99" s="140">
        <f>$A99*X99</f>
        <v>0</v>
      </c>
      <c r="AC99" s="141"/>
    </row>
    <row r="100" spans="1:29" ht="15.75" x14ac:dyDescent="0.25">
      <c r="A100" s="137">
        <f>+A99+5</f>
        <v>150</v>
      </c>
      <c r="B100" s="138">
        <f>+IF(B$102=0,0,B37/B$102)</f>
        <v>0</v>
      </c>
      <c r="C100" s="138"/>
      <c r="D100" s="138">
        <f>+IF(D$102=0,0,D37/D$102)</f>
        <v>0</v>
      </c>
      <c r="E100" s="138"/>
      <c r="F100" s="139">
        <f>$A100*B100</f>
        <v>0</v>
      </c>
      <c r="G100" s="139"/>
      <c r="H100" s="140">
        <f>$A100*D100</f>
        <v>0</v>
      </c>
      <c r="I100" s="141"/>
      <c r="K100" s="137">
        <f>+K99+5</f>
        <v>150</v>
      </c>
      <c r="L100" s="138">
        <f>+IF(L$102=0,0,L37/L$102)</f>
        <v>0.31039038555397097</v>
      </c>
      <c r="M100" s="138"/>
      <c r="N100" s="138">
        <f>+IF(N$102=0,0,N37/N$102)</f>
        <v>0</v>
      </c>
      <c r="O100" s="138"/>
      <c r="P100" s="139">
        <f>$A100*L100</f>
        <v>46.558557833095648</v>
      </c>
      <c r="Q100" s="139"/>
      <c r="R100" s="140">
        <f>$A100*N100</f>
        <v>0</v>
      </c>
      <c r="S100" s="141"/>
      <c r="U100" s="137">
        <f>+U99+5</f>
        <v>150</v>
      </c>
      <c r="V100" s="138">
        <f>+IF(V$102=0,0,V37/V$102)</f>
        <v>0</v>
      </c>
      <c r="W100" s="138"/>
      <c r="X100" s="138">
        <f>+IF(X$102=0,0,X37/X$102)</f>
        <v>0</v>
      </c>
      <c r="Y100" s="138"/>
      <c r="Z100" s="139">
        <f>$A100*V100</f>
        <v>0</v>
      </c>
      <c r="AA100" s="139"/>
      <c r="AB100" s="140">
        <f>$A100*X100</f>
        <v>0</v>
      </c>
      <c r="AC100" s="141"/>
    </row>
    <row r="101" spans="1:29" ht="16.5" thickBot="1" x14ac:dyDescent="0.3">
      <c r="A101" s="137">
        <f>+A100+5</f>
        <v>155</v>
      </c>
      <c r="B101" s="396">
        <f>+IF(B$102=0,0,B38/B$102)</f>
        <v>0</v>
      </c>
      <c r="C101" s="138"/>
      <c r="D101" s="396">
        <f>+IF(D$102=0,0,D38/D$102)</f>
        <v>0</v>
      </c>
      <c r="E101" s="138"/>
      <c r="F101" s="397">
        <f>$A101*B101</f>
        <v>0</v>
      </c>
      <c r="G101" s="139"/>
      <c r="H101" s="142">
        <f>$A101*D101</f>
        <v>0</v>
      </c>
      <c r="I101" s="141"/>
      <c r="K101" s="137">
        <f>+K100+5</f>
        <v>155</v>
      </c>
      <c r="L101" s="396">
        <f>+IF(L$102=0,0,L38/L$102)</f>
        <v>0</v>
      </c>
      <c r="M101" s="138"/>
      <c r="N101" s="396">
        <f>+IF(N$102=0,0,N38/N$102)</f>
        <v>0</v>
      </c>
      <c r="O101" s="138"/>
      <c r="P101" s="397">
        <f>$A101*L101</f>
        <v>0</v>
      </c>
      <c r="Q101" s="139"/>
      <c r="R101" s="142">
        <f>$A101*N101</f>
        <v>0</v>
      </c>
      <c r="S101" s="141"/>
      <c r="U101" s="137">
        <f>+U100+5</f>
        <v>155</v>
      </c>
      <c r="V101" s="396">
        <f>+IF(V$102=0,0,V38/V$102)</f>
        <v>0</v>
      </c>
      <c r="W101" s="138"/>
      <c r="X101" s="396">
        <f>+IF(X$102=0,0,X38/X$102)</f>
        <v>0</v>
      </c>
      <c r="Y101" s="138"/>
      <c r="Z101" s="397">
        <f>$A101*V101</f>
        <v>0</v>
      </c>
      <c r="AA101" s="139"/>
      <c r="AB101" s="142">
        <f>$A101*X101</f>
        <v>0</v>
      </c>
      <c r="AC101" s="141"/>
    </row>
    <row r="102" spans="1:29" ht="16.5" thickTop="1" x14ac:dyDescent="0.25">
      <c r="A102" s="143" t="s">
        <v>20</v>
      </c>
      <c r="B102" s="144">
        <f>SUM(B35:B38)</f>
        <v>0</v>
      </c>
      <c r="C102" s="145"/>
      <c r="D102" s="146">
        <f>SUM(D35:D38)</f>
        <v>0</v>
      </c>
      <c r="E102" s="147" t="s">
        <v>26</v>
      </c>
      <c r="F102" s="148">
        <f>SUM(F98:F101)</f>
        <v>0</v>
      </c>
      <c r="G102" s="149"/>
      <c r="H102" s="150">
        <f>SUM(H98:H101)</f>
        <v>0</v>
      </c>
      <c r="I102" s="141"/>
      <c r="K102" s="143" t="s">
        <v>20</v>
      </c>
      <c r="L102" s="144">
        <f>SUM(L35:L38)</f>
        <v>692.94060000000002</v>
      </c>
      <c r="M102" s="145"/>
      <c r="N102" s="146">
        <f>SUM(N35:N38)</f>
        <v>0</v>
      </c>
      <c r="O102" s="147" t="s">
        <v>26</v>
      </c>
      <c r="P102" s="148">
        <f>SUM(P98:P101)</f>
        <v>145</v>
      </c>
      <c r="Q102" s="149"/>
      <c r="R102" s="150">
        <f>SUM(R98:R101)</f>
        <v>0</v>
      </c>
      <c r="S102" s="141"/>
      <c r="U102" s="143" t="s">
        <v>20</v>
      </c>
      <c r="V102" s="144">
        <f>SUM(V35:V38)</f>
        <v>0</v>
      </c>
      <c r="W102" s="145"/>
      <c r="X102" s="146">
        <f>SUM(X35:X38)</f>
        <v>0</v>
      </c>
      <c r="Y102" s="147" t="s">
        <v>26</v>
      </c>
      <c r="Z102" s="148">
        <f>SUM(Z98:Z101)</f>
        <v>0</v>
      </c>
      <c r="AA102" s="149"/>
      <c r="AB102" s="150">
        <f>SUM(AB98:AB101)</f>
        <v>0</v>
      </c>
      <c r="AC102" s="141"/>
    </row>
    <row r="103" spans="1:29" ht="15.75" x14ac:dyDescent="0.25">
      <c r="A103" s="137"/>
      <c r="B103" s="151"/>
      <c r="C103" s="151"/>
      <c r="D103" s="151"/>
      <c r="E103" s="151"/>
      <c r="F103" s="139"/>
      <c r="G103" s="139"/>
      <c r="H103" s="140"/>
      <c r="K103" s="137"/>
      <c r="L103" s="151"/>
      <c r="M103" s="151"/>
      <c r="N103" s="151"/>
      <c r="O103" s="151"/>
      <c r="P103" s="139"/>
      <c r="Q103" s="139"/>
      <c r="R103" s="140"/>
      <c r="U103" s="137"/>
      <c r="V103" s="151"/>
      <c r="W103" s="151"/>
      <c r="X103" s="151"/>
      <c r="Y103" s="151"/>
      <c r="Z103" s="139"/>
      <c r="AA103" s="139"/>
      <c r="AB103" s="140"/>
    </row>
    <row r="104" spans="1:29" ht="15.75" x14ac:dyDescent="0.25">
      <c r="A104" s="137">
        <f>+A101+5</f>
        <v>160</v>
      </c>
      <c r="B104" s="138">
        <f>+IF(B$108=0,0,B39/B$108)</f>
        <v>0</v>
      </c>
      <c r="C104" s="138"/>
      <c r="D104" s="138">
        <f>+IF(D$108=0,0,D39/D$108)</f>
        <v>0</v>
      </c>
      <c r="E104" s="138"/>
      <c r="F104" s="139">
        <f>$A104*B104</f>
        <v>0</v>
      </c>
      <c r="G104" s="139"/>
      <c r="H104" s="140">
        <f>$A104*D104</f>
        <v>0</v>
      </c>
      <c r="I104" s="141"/>
      <c r="K104" s="137">
        <f>+K101+5</f>
        <v>160</v>
      </c>
      <c r="L104" s="138">
        <f>+IF(L$108=0,0,L39/L$102)</f>
        <v>0.20106860530325396</v>
      </c>
      <c r="M104" s="138"/>
      <c r="N104" s="138">
        <f>+IF(N$108=0,0,N39/N$102)</f>
        <v>0</v>
      </c>
      <c r="O104" s="138"/>
      <c r="P104" s="139">
        <f>$A104*L104</f>
        <v>32.170976848520631</v>
      </c>
      <c r="Q104" s="139"/>
      <c r="R104" s="140">
        <f>$A104*N104</f>
        <v>0</v>
      </c>
      <c r="S104" s="141"/>
      <c r="U104" s="137">
        <f>+U101+5</f>
        <v>160</v>
      </c>
      <c r="V104" s="138">
        <f>+IF(V$108=0,0,V39/V$102)</f>
        <v>0</v>
      </c>
      <c r="W104" s="138"/>
      <c r="X104" s="138">
        <f>+IF(X$108=0,0,X39/X$102)</f>
        <v>0</v>
      </c>
      <c r="Y104" s="138"/>
      <c r="Z104" s="139">
        <f>$A104*V104</f>
        <v>0</v>
      </c>
      <c r="AA104" s="139"/>
      <c r="AB104" s="140">
        <f>$A104*X104</f>
        <v>0</v>
      </c>
      <c r="AC104" s="141"/>
    </row>
    <row r="105" spans="1:29" ht="15.75" x14ac:dyDescent="0.25">
      <c r="A105" s="137">
        <f>+A104+5</f>
        <v>165</v>
      </c>
      <c r="B105" s="138">
        <f>+IF(B$108=0,0,B40/B$108)</f>
        <v>0</v>
      </c>
      <c r="C105" s="138"/>
      <c r="D105" s="138">
        <f>+IF(D$108=0,0,D40/D$108)</f>
        <v>0</v>
      </c>
      <c r="E105" s="138"/>
      <c r="F105" s="139">
        <f>$A105*B105</f>
        <v>0</v>
      </c>
      <c r="G105" s="139"/>
      <c r="H105" s="140">
        <f>$A105*D105</f>
        <v>0</v>
      </c>
      <c r="I105" s="141"/>
      <c r="K105" s="137">
        <f>+K104+5</f>
        <v>165</v>
      </c>
      <c r="L105" s="138">
        <f>+IF(L$108=0,0,L40/L$102)</f>
        <v>0.31039038555397097</v>
      </c>
      <c r="M105" s="138"/>
      <c r="N105" s="138">
        <f>+IF(N$108=0,0,N40/N$102)</f>
        <v>0</v>
      </c>
      <c r="O105" s="138"/>
      <c r="P105" s="139">
        <f>$A105*L105</f>
        <v>51.21441361640521</v>
      </c>
      <c r="Q105" s="139"/>
      <c r="R105" s="140">
        <f>$A105*N105</f>
        <v>0</v>
      </c>
      <c r="S105" s="141"/>
      <c r="U105" s="137">
        <f>+U104+5</f>
        <v>165</v>
      </c>
      <c r="V105" s="138">
        <f>+IF(V$108=0,0,V40/V$102)</f>
        <v>0</v>
      </c>
      <c r="W105" s="138"/>
      <c r="X105" s="138">
        <f>+IF(X$108=0,0,X40/X$102)</f>
        <v>0</v>
      </c>
      <c r="Y105" s="138"/>
      <c r="Z105" s="139">
        <f>$A105*V105</f>
        <v>0</v>
      </c>
      <c r="AA105" s="139"/>
      <c r="AB105" s="140">
        <f>$A105*X105</f>
        <v>0</v>
      </c>
      <c r="AC105" s="141"/>
    </row>
    <row r="106" spans="1:29" ht="15.75" x14ac:dyDescent="0.25">
      <c r="A106" s="137">
        <f>+A105+5</f>
        <v>170</v>
      </c>
      <c r="B106" s="138">
        <f>+IF(B$108=0,0,B41/B$108)</f>
        <v>0</v>
      </c>
      <c r="C106" s="138"/>
      <c r="D106" s="138">
        <f>+IF(D$108=0,0,D41/D$108)</f>
        <v>0</v>
      </c>
      <c r="E106" s="138"/>
      <c r="F106" s="139">
        <f>$A106*B106</f>
        <v>0</v>
      </c>
      <c r="G106" s="139"/>
      <c r="H106" s="140">
        <f>$A106*D106</f>
        <v>0</v>
      </c>
      <c r="I106" s="141"/>
      <c r="K106" s="137">
        <f>+K105+5</f>
        <v>170</v>
      </c>
      <c r="L106" s="138">
        <f>+IF(L$108=0,0,L41/L$102)</f>
        <v>0</v>
      </c>
      <c r="M106" s="138"/>
      <c r="N106" s="138">
        <f>+IF(N$108=0,0,N41/N$102)</f>
        <v>0</v>
      </c>
      <c r="O106" s="138"/>
      <c r="P106" s="139">
        <f>$A106*L106</f>
        <v>0</v>
      </c>
      <c r="Q106" s="139"/>
      <c r="R106" s="140">
        <f>$A106*N106</f>
        <v>0</v>
      </c>
      <c r="S106" s="141"/>
      <c r="U106" s="137">
        <f>+U105+5</f>
        <v>170</v>
      </c>
      <c r="V106" s="138">
        <f>+IF(V$108=0,0,V41/V$102)</f>
        <v>0</v>
      </c>
      <c r="W106" s="138"/>
      <c r="X106" s="138">
        <f>+IF(X$108=0,0,X41/X$102)</f>
        <v>0</v>
      </c>
      <c r="Y106" s="138"/>
      <c r="Z106" s="139">
        <f>$A106*V106</f>
        <v>0</v>
      </c>
      <c r="AA106" s="139"/>
      <c r="AB106" s="140">
        <f>$A106*X106</f>
        <v>0</v>
      </c>
      <c r="AC106" s="141"/>
    </row>
    <row r="107" spans="1:29" ht="16.5" thickBot="1" x14ac:dyDescent="0.3">
      <c r="A107" s="137">
        <f>+A106+5</f>
        <v>175</v>
      </c>
      <c r="B107" s="396">
        <f>+IF(B$108=0,0,B42/B$108)</f>
        <v>0</v>
      </c>
      <c r="C107" s="138"/>
      <c r="D107" s="396">
        <f>+IF(D$108=0,0,D42/D$108)</f>
        <v>0</v>
      </c>
      <c r="E107" s="138"/>
      <c r="F107" s="397">
        <f>$A107*B107</f>
        <v>0</v>
      </c>
      <c r="G107" s="139"/>
      <c r="H107" s="142">
        <f>$A107*D107</f>
        <v>0</v>
      </c>
      <c r="I107" s="141"/>
      <c r="K107" s="137">
        <f>+K106+5</f>
        <v>175</v>
      </c>
      <c r="L107" s="396">
        <f>+IF(L$108=0,0,L42/L$102)</f>
        <v>0.31039038555397097</v>
      </c>
      <c r="M107" s="138"/>
      <c r="N107" s="396">
        <f>+IF(N$108=0,0,N42/N$102)</f>
        <v>0</v>
      </c>
      <c r="O107" s="138"/>
      <c r="P107" s="397">
        <f>$A107*L107</f>
        <v>54.318317471944923</v>
      </c>
      <c r="Q107" s="139"/>
      <c r="R107" s="142">
        <f>$A107*N107</f>
        <v>0</v>
      </c>
      <c r="S107" s="141"/>
      <c r="U107" s="137">
        <f>+U106+5</f>
        <v>175</v>
      </c>
      <c r="V107" s="396">
        <f>+IF(V$108=0,0,V42/V$102)</f>
        <v>0</v>
      </c>
      <c r="W107" s="138"/>
      <c r="X107" s="396">
        <f>+IF(X$108=0,0,X42/X$102)</f>
        <v>0</v>
      </c>
      <c r="Y107" s="138"/>
      <c r="Z107" s="397">
        <f>$A107*V107</f>
        <v>0</v>
      </c>
      <c r="AA107" s="139"/>
      <c r="AB107" s="142">
        <f>$A107*X107</f>
        <v>0</v>
      </c>
      <c r="AC107" s="141"/>
    </row>
    <row r="108" spans="1:29" ht="16.5" thickTop="1" x14ac:dyDescent="0.25">
      <c r="A108" s="143" t="s">
        <v>20</v>
      </c>
      <c r="B108" s="144">
        <f>SUM(B39:B42)</f>
        <v>0</v>
      </c>
      <c r="C108" s="145"/>
      <c r="D108" s="146">
        <f>SUM(D39:D42)</f>
        <v>0</v>
      </c>
      <c r="E108" s="147" t="s">
        <v>26</v>
      </c>
      <c r="F108" s="148">
        <f>SUM(F104:F107)</f>
        <v>0</v>
      </c>
      <c r="G108" s="149"/>
      <c r="H108" s="150">
        <f>SUM(H104:H107)</f>
        <v>0</v>
      </c>
      <c r="I108" s="141"/>
      <c r="K108" s="143" t="s">
        <v>20</v>
      </c>
      <c r="L108" s="144">
        <f>SUM(L39:L42)</f>
        <v>569.49279999999999</v>
      </c>
      <c r="M108" s="145"/>
      <c r="N108" s="146">
        <f>SUM(N39:N42)</f>
        <v>0</v>
      </c>
      <c r="O108" s="147" t="s">
        <v>26</v>
      </c>
      <c r="P108" s="148">
        <f>SUM(P104:P107)</f>
        <v>137.70370793687079</v>
      </c>
      <c r="Q108" s="149"/>
      <c r="R108" s="150">
        <f>SUM(R104:R107)</f>
        <v>0</v>
      </c>
      <c r="S108" s="141"/>
      <c r="U108" s="143" t="s">
        <v>20</v>
      </c>
      <c r="V108" s="144">
        <f>SUM(V39:V42)</f>
        <v>0</v>
      </c>
      <c r="W108" s="145"/>
      <c r="X108" s="146">
        <f>SUM(X39:X42)</f>
        <v>0</v>
      </c>
      <c r="Y108" s="147" t="s">
        <v>26</v>
      </c>
      <c r="Z108" s="148">
        <f>SUM(Z104:Z107)</f>
        <v>0</v>
      </c>
      <c r="AA108" s="149"/>
      <c r="AB108" s="150">
        <f>SUM(AB104:AB107)</f>
        <v>0</v>
      </c>
      <c r="AC108" s="141"/>
    </row>
    <row r="109" spans="1:29" ht="15.75" x14ac:dyDescent="0.25">
      <c r="A109" s="137"/>
      <c r="B109" s="151"/>
      <c r="C109" s="151"/>
      <c r="D109" s="151"/>
      <c r="E109" s="151"/>
      <c r="F109" s="139"/>
      <c r="G109" s="139"/>
      <c r="H109" s="140"/>
      <c r="K109" s="137"/>
      <c r="L109" s="151"/>
      <c r="M109" s="151"/>
      <c r="N109" s="151"/>
      <c r="O109" s="151"/>
      <c r="P109" s="139"/>
      <c r="Q109" s="139"/>
      <c r="R109" s="140"/>
      <c r="U109" s="137"/>
      <c r="V109" s="151"/>
      <c r="W109" s="151"/>
      <c r="X109" s="151"/>
      <c r="Y109" s="151"/>
      <c r="Z109" s="139"/>
      <c r="AA109" s="139"/>
      <c r="AB109" s="140"/>
    </row>
    <row r="110" spans="1:29" ht="15.75" x14ac:dyDescent="0.25">
      <c r="A110" s="137">
        <f>+A107+5</f>
        <v>180</v>
      </c>
      <c r="B110" s="138">
        <f>+IF(B$114=0,0,B43/B$114)</f>
        <v>0</v>
      </c>
      <c r="C110" s="138"/>
      <c r="D110" s="138">
        <f>+IF(D$114=0,0,D43/D$114)</f>
        <v>0</v>
      </c>
      <c r="E110" s="138"/>
      <c r="F110" s="139">
        <f>$A110*B110</f>
        <v>0</v>
      </c>
      <c r="G110" s="139"/>
      <c r="H110" s="140">
        <f>$A110*D110</f>
        <v>0</v>
      </c>
      <c r="I110" s="141"/>
      <c r="K110" s="137">
        <f>+K107+5</f>
        <v>180</v>
      </c>
      <c r="L110" s="138">
        <f>+IF(L$114=0,0,L43/L$114)</f>
        <v>0</v>
      </c>
      <c r="M110" s="138"/>
      <c r="N110" s="138">
        <f>+IF(N$114=0,0,N43/N$114)</f>
        <v>0</v>
      </c>
      <c r="O110" s="138"/>
      <c r="P110" s="139">
        <f>$A110*L110</f>
        <v>0</v>
      </c>
      <c r="Q110" s="139"/>
      <c r="R110" s="140">
        <f>$A110*N110</f>
        <v>0</v>
      </c>
      <c r="S110" s="141"/>
      <c r="U110" s="137">
        <f>+U107+5</f>
        <v>180</v>
      </c>
      <c r="V110" s="138">
        <f>+IF(V$114=0,0,V43/V$114)</f>
        <v>0</v>
      </c>
      <c r="W110" s="138"/>
      <c r="X110" s="138">
        <f>+IF(X$114=0,0,X43/X$114)</f>
        <v>0</v>
      </c>
      <c r="Y110" s="138"/>
      <c r="Z110" s="139">
        <f>$A110*V110</f>
        <v>0</v>
      </c>
      <c r="AA110" s="139"/>
      <c r="AB110" s="140">
        <f>$A110*X110</f>
        <v>0</v>
      </c>
      <c r="AC110" s="141"/>
    </row>
    <row r="111" spans="1:29" ht="15.75" x14ac:dyDescent="0.25">
      <c r="A111" s="137">
        <f>+A110+5</f>
        <v>185</v>
      </c>
      <c r="B111" s="138">
        <f>+IF(B$114=0,0,B44/B$114)</f>
        <v>0</v>
      </c>
      <c r="C111" s="138"/>
      <c r="D111" s="138">
        <f>+IF(D$114=0,0,D44/D$114)</f>
        <v>0</v>
      </c>
      <c r="E111" s="138"/>
      <c r="F111" s="139">
        <f>$A111*B111</f>
        <v>0</v>
      </c>
      <c r="G111" s="139"/>
      <c r="H111" s="140">
        <f>$A111*D111</f>
        <v>0</v>
      </c>
      <c r="I111" s="141"/>
      <c r="K111" s="137">
        <f>+K110+5</f>
        <v>185</v>
      </c>
      <c r="L111" s="138">
        <f>+IF(L$114=0,0,L44/L$114)</f>
        <v>0</v>
      </c>
      <c r="M111" s="138"/>
      <c r="N111" s="138">
        <f>+IF(N$114=0,0,N44/N$114)</f>
        <v>0</v>
      </c>
      <c r="O111" s="138"/>
      <c r="P111" s="139">
        <f>$A111*L111</f>
        <v>0</v>
      </c>
      <c r="Q111" s="139"/>
      <c r="R111" s="140">
        <f>$A111*N111</f>
        <v>0</v>
      </c>
      <c r="S111" s="141"/>
      <c r="U111" s="137">
        <f>+U110+5</f>
        <v>185</v>
      </c>
      <c r="V111" s="138">
        <f>+IF(V$114=0,0,V44/V$114)</f>
        <v>0</v>
      </c>
      <c r="W111" s="138"/>
      <c r="X111" s="138">
        <f>+IF(X$114=0,0,X44/X$114)</f>
        <v>0</v>
      </c>
      <c r="Y111" s="138"/>
      <c r="Z111" s="139">
        <f>$A111*V111</f>
        <v>0</v>
      </c>
      <c r="AA111" s="139"/>
      <c r="AB111" s="140">
        <f>$A111*X111</f>
        <v>0</v>
      </c>
      <c r="AC111" s="141"/>
    </row>
    <row r="112" spans="1:29" ht="15.75" x14ac:dyDescent="0.25">
      <c r="A112" s="137">
        <v>190</v>
      </c>
      <c r="B112" s="138">
        <f>+IF(B$114=0,0,B45/B$114)</f>
        <v>0</v>
      </c>
      <c r="C112" s="138"/>
      <c r="D112" s="138">
        <f>+IF(D$114=0,0,D45/D$114)</f>
        <v>0</v>
      </c>
      <c r="E112" s="138"/>
      <c r="F112" s="139">
        <f>$A112*B112</f>
        <v>0</v>
      </c>
      <c r="G112" s="139"/>
      <c r="H112" s="140">
        <f>$A112*D112</f>
        <v>0</v>
      </c>
      <c r="I112" s="141"/>
      <c r="K112" s="137">
        <v>190</v>
      </c>
      <c r="L112" s="138">
        <f>+IF(L$114=0,0,L45/L$114)</f>
        <v>0</v>
      </c>
      <c r="M112" s="138"/>
      <c r="N112" s="138">
        <f>+IF(N$114=0,0,N45/N$114)</f>
        <v>0</v>
      </c>
      <c r="O112" s="138"/>
      <c r="P112" s="139">
        <f>$A112*L112</f>
        <v>0</v>
      </c>
      <c r="Q112" s="139"/>
      <c r="R112" s="140">
        <f>$A112*N112</f>
        <v>0</v>
      </c>
      <c r="S112" s="141"/>
      <c r="U112" s="137">
        <v>190</v>
      </c>
      <c r="V112" s="138">
        <f>+IF(V$114=0,0,V45/V$114)</f>
        <v>0</v>
      </c>
      <c r="W112" s="138"/>
      <c r="X112" s="138">
        <f>+IF(X$114=0,0,X45/X$114)</f>
        <v>0</v>
      </c>
      <c r="Y112" s="138"/>
      <c r="Z112" s="139">
        <f>$A112*V112</f>
        <v>0</v>
      </c>
      <c r="AA112" s="139"/>
      <c r="AB112" s="140">
        <f>$A112*X112</f>
        <v>0</v>
      </c>
      <c r="AC112" s="141"/>
    </row>
    <row r="113" spans="1:30" ht="16.5" thickBot="1" x14ac:dyDescent="0.3">
      <c r="A113" s="137">
        <f>+A112+5</f>
        <v>195</v>
      </c>
      <c r="B113" s="396">
        <f>+IF(B$114=0,0,B46/B$114)</f>
        <v>0</v>
      </c>
      <c r="C113" s="138"/>
      <c r="D113" s="396">
        <f>+IF(D$114=0,0,D46/D$114)</f>
        <v>0</v>
      </c>
      <c r="E113" s="138"/>
      <c r="F113" s="397">
        <f>$A113*B113</f>
        <v>0</v>
      </c>
      <c r="G113" s="139"/>
      <c r="H113" s="142">
        <f>$A113*D113</f>
        <v>0</v>
      </c>
      <c r="I113" s="141"/>
      <c r="K113" s="137">
        <f>+K112+5</f>
        <v>195</v>
      </c>
      <c r="L113" s="396">
        <f>+IF(L$114=0,0,L46/L$114)</f>
        <v>1</v>
      </c>
      <c r="M113" s="138"/>
      <c r="N113" s="396">
        <f>+IF(N$114=0,0,N46/N$114)</f>
        <v>0</v>
      </c>
      <c r="O113" s="138"/>
      <c r="P113" s="397">
        <f>$A113*L113</f>
        <v>195</v>
      </c>
      <c r="Q113" s="139"/>
      <c r="R113" s="142">
        <f>$A113*N113</f>
        <v>0</v>
      </c>
      <c r="S113" s="141"/>
      <c r="U113" s="137">
        <f>+U112+5</f>
        <v>195</v>
      </c>
      <c r="V113" s="396">
        <f>+IF(V$114=0,0,V46/V$114)</f>
        <v>0</v>
      </c>
      <c r="W113" s="138"/>
      <c r="X113" s="396">
        <f>+IF(X$114=0,0,X46/X$114)</f>
        <v>0</v>
      </c>
      <c r="Y113" s="138"/>
      <c r="Z113" s="397">
        <f>$A113*V113</f>
        <v>0</v>
      </c>
      <c r="AA113" s="139"/>
      <c r="AB113" s="142">
        <f>$A113*X113</f>
        <v>0</v>
      </c>
      <c r="AC113" s="141"/>
    </row>
    <row r="114" spans="1:30" ht="16.5" thickTop="1" x14ac:dyDescent="0.25">
      <c r="A114" s="143" t="s">
        <v>20</v>
      </c>
      <c r="B114" s="144">
        <f>SUM(B43:B46)</f>
        <v>0</v>
      </c>
      <c r="C114" s="145"/>
      <c r="D114" s="146">
        <f>SUM(D43:D46)</f>
        <v>0</v>
      </c>
      <c r="E114" s="147" t="s">
        <v>26</v>
      </c>
      <c r="F114" s="148">
        <f>SUM(F110:F113)</f>
        <v>0</v>
      </c>
      <c r="G114" s="149"/>
      <c r="H114" s="150">
        <f>SUM(H110:H113)</f>
        <v>0</v>
      </c>
      <c r="I114" s="141"/>
      <c r="K114" s="143" t="s">
        <v>20</v>
      </c>
      <c r="L114" s="144">
        <f>SUM(L43:L46)</f>
        <v>47.694299999999998</v>
      </c>
      <c r="M114" s="145"/>
      <c r="N114" s="146">
        <f>SUM(N43:N46)</f>
        <v>0</v>
      </c>
      <c r="O114" s="147" t="s">
        <v>26</v>
      </c>
      <c r="P114" s="148">
        <f>SUM(P110:P113)</f>
        <v>195</v>
      </c>
      <c r="Q114" s="149"/>
      <c r="R114" s="150">
        <f>SUM(R110:R113)</f>
        <v>0</v>
      </c>
      <c r="S114" s="141"/>
      <c r="U114" s="143" t="s">
        <v>20</v>
      </c>
      <c r="V114" s="144">
        <f>SUM(V43:V46)</f>
        <v>0</v>
      </c>
      <c r="W114" s="145"/>
      <c r="X114" s="146">
        <f>SUM(X43:X46)</f>
        <v>0</v>
      </c>
      <c r="Y114" s="147" t="s">
        <v>26</v>
      </c>
      <c r="Z114" s="148">
        <f>SUM(Z110:Z113)</f>
        <v>0</v>
      </c>
      <c r="AA114" s="149"/>
      <c r="AB114" s="150">
        <f>SUM(AB110:AB113)</f>
        <v>0</v>
      </c>
      <c r="AC114" s="141"/>
    </row>
    <row r="115" spans="1:30" ht="15.75" x14ac:dyDescent="0.25">
      <c r="A115" s="137"/>
      <c r="B115" s="151"/>
      <c r="C115" s="151"/>
      <c r="D115" s="151"/>
      <c r="E115" s="151"/>
      <c r="F115" s="139"/>
      <c r="G115" s="139"/>
      <c r="H115" s="140"/>
      <c r="K115" s="137"/>
      <c r="L115" s="151"/>
      <c r="M115" s="151"/>
      <c r="N115" s="151"/>
      <c r="O115" s="151"/>
      <c r="P115" s="139"/>
      <c r="Q115" s="139"/>
      <c r="R115" s="140"/>
      <c r="U115" s="137"/>
      <c r="V115" s="151"/>
      <c r="W115" s="151"/>
      <c r="X115" s="151"/>
      <c r="Y115" s="151"/>
      <c r="Z115" s="139"/>
      <c r="AA115" s="139"/>
      <c r="AB115" s="140"/>
    </row>
    <row r="116" spans="1:30" ht="15.75" x14ac:dyDescent="0.25">
      <c r="A116" s="143">
        <v>200</v>
      </c>
      <c r="B116" s="138">
        <f>+IF(B$118=0,0,B47/B$118)</f>
        <v>0</v>
      </c>
      <c r="C116" s="138"/>
      <c r="D116" s="138">
        <f>+IF(D$118=0,0,D47/D$118)</f>
        <v>0</v>
      </c>
      <c r="E116" s="138"/>
      <c r="F116" s="139">
        <f>$A116*B116</f>
        <v>0</v>
      </c>
      <c r="G116" s="139"/>
      <c r="H116" s="140">
        <f>$A116*D116</f>
        <v>0</v>
      </c>
      <c r="I116" s="141"/>
      <c r="K116" s="143">
        <v>200</v>
      </c>
      <c r="L116" s="138">
        <f>+IF(L$118=0,0,L47/L$118)</f>
        <v>0</v>
      </c>
      <c r="M116" s="138"/>
      <c r="N116" s="138">
        <f>+IF(N$118=0,0,N47/N$118)</f>
        <v>0</v>
      </c>
      <c r="O116" s="138"/>
      <c r="P116" s="139">
        <f>$A116*L116</f>
        <v>0</v>
      </c>
      <c r="Q116" s="139"/>
      <c r="R116" s="140">
        <f>$A116*N116</f>
        <v>0</v>
      </c>
      <c r="S116" s="141"/>
      <c r="U116" s="143">
        <v>200</v>
      </c>
      <c r="V116" s="138">
        <f>+IF(V$118=0,0,V47/V$118)</f>
        <v>0</v>
      </c>
      <c r="W116" s="138"/>
      <c r="X116" s="138">
        <f>+IF(X$118=0,0,X47/X$118)</f>
        <v>0</v>
      </c>
      <c r="Y116" s="138"/>
      <c r="Z116" s="139">
        <f>$A116*V116</f>
        <v>0</v>
      </c>
      <c r="AA116" s="139"/>
      <c r="AB116" s="140">
        <f>$A116*X116</f>
        <v>0</v>
      </c>
      <c r="AC116" s="141"/>
    </row>
    <row r="117" spans="1:30" ht="16.5" thickBot="1" x14ac:dyDescent="0.3">
      <c r="A117" s="143">
        <v>225</v>
      </c>
      <c r="B117" s="396">
        <f>+IF(B$118=0,0,B48/B$118)</f>
        <v>0</v>
      </c>
      <c r="C117" s="138"/>
      <c r="D117" s="396">
        <f>+IF(D$118=0,0,D48/D$118)</f>
        <v>0</v>
      </c>
      <c r="E117" s="138"/>
      <c r="F117" s="397">
        <f>$A117*B117</f>
        <v>0</v>
      </c>
      <c r="G117" s="139"/>
      <c r="H117" s="142">
        <f>$A117*D117</f>
        <v>0</v>
      </c>
      <c r="I117" s="141"/>
      <c r="K117" s="143">
        <v>225</v>
      </c>
      <c r="L117" s="396">
        <f>+IF(L$118=0,0,L48/L$118)</f>
        <v>0</v>
      </c>
      <c r="M117" s="138"/>
      <c r="N117" s="396">
        <f>+IF(N$118=0,0,N48/N$118)</f>
        <v>0</v>
      </c>
      <c r="O117" s="138"/>
      <c r="P117" s="397">
        <f>$A117*L117</f>
        <v>0</v>
      </c>
      <c r="Q117" s="139"/>
      <c r="R117" s="142">
        <f>$A117*N117</f>
        <v>0</v>
      </c>
      <c r="S117" s="141"/>
      <c r="U117" s="143">
        <v>225</v>
      </c>
      <c r="V117" s="396">
        <f>+IF(V$118=0,0,V48/V$118)</f>
        <v>0</v>
      </c>
      <c r="W117" s="138"/>
      <c r="X117" s="396">
        <f>+IF(X$118=0,0,X48/X$118)</f>
        <v>0</v>
      </c>
      <c r="Y117" s="138"/>
      <c r="Z117" s="397">
        <f>$A117*V117</f>
        <v>0</v>
      </c>
      <c r="AA117" s="139"/>
      <c r="AB117" s="142">
        <f>$A117*X117</f>
        <v>0</v>
      </c>
      <c r="AC117" s="141"/>
    </row>
    <row r="118" spans="1:30" ht="16.5" thickTop="1" x14ac:dyDescent="0.25">
      <c r="A118" s="143" t="s">
        <v>20</v>
      </c>
      <c r="B118" s="144">
        <f>SUM(B47:B48)</f>
        <v>0</v>
      </c>
      <c r="C118" s="145"/>
      <c r="D118" s="146">
        <f>SUM(D47:D48)</f>
        <v>0</v>
      </c>
      <c r="E118" s="147" t="s">
        <v>26</v>
      </c>
      <c r="F118" s="148">
        <f>SUM(F116:F117)</f>
        <v>0</v>
      </c>
      <c r="G118" s="149"/>
      <c r="H118" s="150">
        <f>SUM(H116:H117)</f>
        <v>0</v>
      </c>
      <c r="I118" s="141"/>
      <c r="K118" s="143" t="s">
        <v>20</v>
      </c>
      <c r="L118" s="144">
        <f>SUM(L47:L48)</f>
        <v>0</v>
      </c>
      <c r="M118" s="145"/>
      <c r="N118" s="146">
        <f>SUM(N47:N48)</f>
        <v>0</v>
      </c>
      <c r="O118" s="147" t="s">
        <v>26</v>
      </c>
      <c r="P118" s="148">
        <f>SUM(P116:P117)</f>
        <v>0</v>
      </c>
      <c r="Q118" s="149"/>
      <c r="R118" s="150">
        <f>SUM(R116:R117)</f>
        <v>0</v>
      </c>
      <c r="S118" s="141"/>
      <c r="U118" s="143" t="s">
        <v>20</v>
      </c>
      <c r="V118" s="144">
        <f>SUM(V47:V48)</f>
        <v>0</v>
      </c>
      <c r="W118" s="145"/>
      <c r="X118" s="146">
        <f>SUM(X47:X48)</f>
        <v>0</v>
      </c>
      <c r="Y118" s="147" t="s">
        <v>26</v>
      </c>
      <c r="Z118" s="148">
        <f>SUM(Z116:Z117)</f>
        <v>0</v>
      </c>
      <c r="AA118" s="149"/>
      <c r="AB118" s="150">
        <f>SUM(AB116:AB117)</f>
        <v>0</v>
      </c>
      <c r="AC118" s="141"/>
    </row>
    <row r="119" spans="1:30" ht="13.5" thickBot="1" x14ac:dyDescent="0.25">
      <c r="A119" s="152"/>
      <c r="B119" s="153"/>
      <c r="C119" s="153"/>
      <c r="D119" s="153"/>
      <c r="E119" s="153"/>
      <c r="F119" s="154"/>
      <c r="G119" s="154"/>
      <c r="H119" s="155"/>
      <c r="I119" s="141"/>
      <c r="K119" s="152"/>
      <c r="L119" s="153"/>
      <c r="M119" s="153"/>
      <c r="N119" s="153"/>
      <c r="O119" s="153"/>
      <c r="P119" s="154"/>
      <c r="Q119" s="154"/>
      <c r="R119" s="155"/>
      <c r="S119" s="141"/>
      <c r="U119" s="152"/>
      <c r="V119" s="153"/>
      <c r="W119" s="153"/>
      <c r="X119" s="153"/>
      <c r="Y119" s="153"/>
      <c r="Z119" s="154"/>
      <c r="AA119" s="154"/>
      <c r="AB119" s="155"/>
      <c r="AC119" s="141"/>
    </row>
    <row r="120" spans="1:30" x14ac:dyDescent="0.2">
      <c r="A120" s="134"/>
      <c r="F120" s="141"/>
      <c r="G120" s="141"/>
      <c r="H120" s="141"/>
      <c r="I120" s="141"/>
      <c r="K120" s="134"/>
      <c r="P120" s="141"/>
      <c r="Q120" s="141"/>
      <c r="R120" s="141"/>
      <c r="S120" s="141"/>
      <c r="U120" s="134"/>
      <c r="Z120" s="141"/>
      <c r="AA120" s="141"/>
      <c r="AB120" s="141"/>
      <c r="AC120" s="141"/>
    </row>
    <row r="121" spans="1:30" x14ac:dyDescent="0.2">
      <c r="A121" s="134"/>
      <c r="F121" s="141"/>
      <c r="G121" s="141"/>
      <c r="H121" s="141"/>
      <c r="I121" s="141"/>
      <c r="K121" s="134"/>
      <c r="P121" s="141"/>
      <c r="Q121" s="141"/>
      <c r="R121" s="141"/>
      <c r="S121" s="141"/>
      <c r="U121" s="134"/>
      <c r="Z121" s="141"/>
      <c r="AA121" s="141"/>
      <c r="AB121" s="141"/>
      <c r="AC121" s="141"/>
    </row>
    <row r="122" spans="1:30" ht="23.25" x14ac:dyDescent="0.35">
      <c r="A122" s="73" t="s">
        <v>257</v>
      </c>
      <c r="F122" s="141"/>
      <c r="G122" s="141"/>
      <c r="H122" s="141"/>
      <c r="I122" s="141"/>
      <c r="K122" s="73" t="s">
        <v>258</v>
      </c>
      <c r="P122" s="141"/>
      <c r="Q122" s="141"/>
      <c r="R122" s="141"/>
      <c r="S122" s="141"/>
      <c r="U122" s="73" t="s">
        <v>259</v>
      </c>
      <c r="Z122" s="141"/>
      <c r="AA122" s="141"/>
      <c r="AB122" s="141"/>
      <c r="AC122" s="141"/>
    </row>
    <row r="123" spans="1:30" x14ac:dyDescent="0.2">
      <c r="A123" s="49" t="str">
        <f>A54</f>
        <v>Vehicle Age 2 or Less</v>
      </c>
      <c r="K123" s="49" t="str">
        <f>K54</f>
        <v>Vehicle Age 2 or Less</v>
      </c>
      <c r="U123" s="49">
        <f>U54</f>
        <v>0</v>
      </c>
    </row>
    <row r="124" spans="1:30" x14ac:dyDescent="0.2">
      <c r="A124" s="156"/>
      <c r="B124" s="76"/>
      <c r="C124" s="76"/>
      <c r="D124" s="76"/>
      <c r="E124" s="76"/>
      <c r="F124" s="76"/>
      <c r="G124" s="76"/>
      <c r="H124" s="76"/>
      <c r="I124" s="76"/>
      <c r="K124" s="156"/>
      <c r="L124" s="76"/>
      <c r="M124" s="76"/>
      <c r="N124" s="76"/>
      <c r="O124" s="76"/>
      <c r="P124" s="76"/>
      <c r="Q124" s="76"/>
      <c r="R124" s="76"/>
      <c r="S124" s="76"/>
      <c r="U124" s="156"/>
      <c r="V124" s="76"/>
      <c r="W124" s="76"/>
      <c r="X124" s="76"/>
      <c r="Y124" s="76"/>
      <c r="Z124" s="76"/>
      <c r="AA124" s="76"/>
      <c r="AB124" s="76"/>
      <c r="AC124" s="76"/>
    </row>
    <row r="125" spans="1:30" s="124" customFormat="1" ht="63" x14ac:dyDescent="0.25">
      <c r="A125" s="157" t="s">
        <v>28</v>
      </c>
      <c r="B125" s="158" t="s">
        <v>29</v>
      </c>
      <c r="C125" s="929" t="s">
        <v>219</v>
      </c>
      <c r="D125" s="158" t="s">
        <v>30</v>
      </c>
      <c r="E125" s="929" t="s">
        <v>220</v>
      </c>
      <c r="F125" s="158" t="s">
        <v>294</v>
      </c>
      <c r="G125" s="158" t="s">
        <v>295</v>
      </c>
      <c r="H125" s="158" t="s">
        <v>296</v>
      </c>
      <c r="I125" s="158" t="s">
        <v>297</v>
      </c>
      <c r="J125" s="159" t="s">
        <v>298</v>
      </c>
      <c r="K125" s="157" t="s">
        <v>28</v>
      </c>
      <c r="L125" s="158" t="s">
        <v>29</v>
      </c>
      <c r="M125" s="929" t="s">
        <v>219</v>
      </c>
      <c r="N125" s="158" t="s">
        <v>30</v>
      </c>
      <c r="O125" s="929" t="s">
        <v>220</v>
      </c>
      <c r="P125" s="158" t="s">
        <v>299</v>
      </c>
      <c r="Q125" s="158" t="s">
        <v>300</v>
      </c>
      <c r="R125" s="158" t="s">
        <v>301</v>
      </c>
      <c r="S125" s="158" t="s">
        <v>330</v>
      </c>
      <c r="T125" s="159" t="s">
        <v>302</v>
      </c>
      <c r="U125" s="157" t="s">
        <v>28</v>
      </c>
      <c r="V125" s="158" t="s">
        <v>29</v>
      </c>
      <c r="W125" s="929" t="s">
        <v>219</v>
      </c>
      <c r="X125" s="158" t="s">
        <v>30</v>
      </c>
      <c r="Y125" s="929" t="s">
        <v>220</v>
      </c>
      <c r="Z125" s="158" t="s">
        <v>279</v>
      </c>
      <c r="AA125" s="158" t="s">
        <v>280</v>
      </c>
      <c r="AB125" s="158" t="s">
        <v>281</v>
      </c>
      <c r="AC125" s="158" t="s">
        <v>282</v>
      </c>
      <c r="AD125" s="159" t="s">
        <v>283</v>
      </c>
    </row>
    <row r="126" spans="1:30" s="164" customFormat="1" ht="18.75" x14ac:dyDescent="0.3">
      <c r="A126" s="160" t="s">
        <v>160</v>
      </c>
      <c r="B126" s="161">
        <f>IF(SUM(B7:B10)=0,1000*($A11+$A7)/2,1000*SUM(C7:C10)/SUM(B7:B10))</f>
        <v>9250.3569992590947</v>
      </c>
      <c r="C126" s="926">
        <f t="shared" ref="C126:C136" si="18">B126/OPDAYS_Cls1</f>
        <v>37.00142799703638</v>
      </c>
      <c r="D126" s="161">
        <f>IF(SUM(D7:D10)=0,1000*($A11+$A7)/2,1000*SUM(E7:E10)/SUM(D7:D10))</f>
        <v>10579.592974054267</v>
      </c>
      <c r="E126" s="926">
        <f t="shared" ref="E126:E136" si="19">D126/OPDAYS_Cls1</f>
        <v>42.318371896217066</v>
      </c>
      <c r="F126" s="162">
        <f>SUM(F7:F10)</f>
        <v>0.19351049492932548</v>
      </c>
      <c r="G126" s="162">
        <f>SUM(G7:G10)</f>
        <v>9.273212178681503E-2</v>
      </c>
      <c r="H126" s="162">
        <f>SUM(H7:H10)</f>
        <v>0.30789040692318376</v>
      </c>
      <c r="I126" s="162">
        <f>SUM(I7:I10)</f>
        <v>0.16874553744672482</v>
      </c>
      <c r="J126" s="163">
        <f>H126+F126</f>
        <v>0.50140090185250918</v>
      </c>
      <c r="K126" s="160" t="s">
        <v>160</v>
      </c>
      <c r="L126" s="161">
        <f>IF(SUM(L7:L10)=0,1000*($A11+$A7)/2,1000*SUM(M7:M10)/SUM(L7:L10))</f>
        <v>11818.108065706694</v>
      </c>
      <c r="M126" s="926">
        <f t="shared" ref="M126:M136" si="20">L126/OPDAYS_Cls2</f>
        <v>47.272432262826776</v>
      </c>
      <c r="N126" s="161">
        <f>IF(SUM(N7:N10)=0,1000*($A11+$A7)/2,1000*SUM(O7:O10)/SUM(N7:N10))</f>
        <v>11711.040347226748</v>
      </c>
      <c r="O126" s="926">
        <f t="shared" ref="O126:O136" si="21">N126/OPDAYS_Cls2</f>
        <v>46.84416138890699</v>
      </c>
      <c r="P126" s="162">
        <f>SUM(P7:P10)</f>
        <v>0.14301387566993123</v>
      </c>
      <c r="Q126" s="162">
        <f>SUM(Q7:Q10)</f>
        <v>6.2596304675174685E-2</v>
      </c>
      <c r="R126" s="162">
        <f>SUM(R7:R10)</f>
        <v>0.32168658911174963</v>
      </c>
      <c r="S126" s="162">
        <f>SUM(S7:S10)</f>
        <v>0.1395246673448009</v>
      </c>
      <c r="T126" s="163">
        <f>R126+P126</f>
        <v>0.46470046478168087</v>
      </c>
      <c r="U126" s="160" t="s">
        <v>160</v>
      </c>
      <c r="V126" s="161">
        <f>IF(SUM(V7:V10)=0,1000*($A11+$A7)/2,1000*SUM(W7:W10)/SUM(V7:V10))</f>
        <v>10000</v>
      </c>
      <c r="W126" s="926" t="e">
        <f t="shared" ref="W126:W136" si="22">V126/OPDAYS_Cls3</f>
        <v>#NAME?</v>
      </c>
      <c r="X126" s="161">
        <f>IF(SUM(X7:X10)=0,1000*($A11+$A7)/2,1000*SUM(Y7:Y10)/SUM(X7:X10))</f>
        <v>10000</v>
      </c>
      <c r="Y126" s="926" t="e">
        <f t="shared" ref="Y126:Y136" si="23">X126/OPDAYS_Cls3</f>
        <v>#NAME?</v>
      </c>
      <c r="Z126" s="162">
        <f>SUM(Z7:Z10)</f>
        <v>0</v>
      </c>
      <c r="AA126" s="162">
        <f>SUM(AA7:AA10)</f>
        <v>0</v>
      </c>
      <c r="AB126" s="162">
        <f>SUM(AB7:AB10)</f>
        <v>0</v>
      </c>
      <c r="AC126" s="162">
        <f>SUM(AC7:AC10)</f>
        <v>0</v>
      </c>
      <c r="AD126" s="163">
        <f>Z126+AB126</f>
        <v>0</v>
      </c>
    </row>
    <row r="127" spans="1:30" s="164" customFormat="1" ht="18.75" x14ac:dyDescent="0.3">
      <c r="A127" s="165" t="s">
        <v>161</v>
      </c>
      <c r="B127" s="166">
        <f>IF(SUM(B11:B14)=0,1000*($A11+$A15)/2,1000*SUM(C11:C14)/SUM(B11:B14))</f>
        <v>24880.355282759225</v>
      </c>
      <c r="C127" s="927">
        <f t="shared" si="18"/>
        <v>99.521421131036902</v>
      </c>
      <c r="D127" s="166">
        <f>IF(SUM(D11:D14)=0,1000*($A11+$A15)/2,1000*SUM(E11:E14)/SUM(D11:D14))</f>
        <v>29770.472430230417</v>
      </c>
      <c r="E127" s="927">
        <f t="shared" si="19"/>
        <v>119.08188972092167</v>
      </c>
      <c r="F127" s="167">
        <f>SUM(F11:F14)</f>
        <v>0.2501505093300298</v>
      </c>
      <c r="G127" s="167">
        <f>SUM(G11:G14)</f>
        <v>0.32242235704181188</v>
      </c>
      <c r="H127" s="167">
        <f>SUM(H11:H14)</f>
        <v>0.21073814200859928</v>
      </c>
      <c r="I127" s="167">
        <f>SUM(I11:I14)</f>
        <v>0.32500949786451999</v>
      </c>
      <c r="J127" s="168">
        <f t="shared" ref="J127:J136" si="24">H127+F127</f>
        <v>0.46088865133862911</v>
      </c>
      <c r="K127" s="165" t="s">
        <v>161</v>
      </c>
      <c r="L127" s="166">
        <f>IF(SUM(L11:L14)=0,1000*($A11+$A15)/2,1000*SUM(M11:M14)/SUM(L11:L14))</f>
        <v>29038.512197613243</v>
      </c>
      <c r="M127" s="927">
        <f t="shared" si="20"/>
        <v>116.15404879045298</v>
      </c>
      <c r="N127" s="166">
        <f>IF(SUM(N11:N14)=0,1000*($A11+$A15)/2,1000*SUM(O11:O14)/SUM(N11:N14))</f>
        <v>28846.620001927102</v>
      </c>
      <c r="O127" s="927">
        <f t="shared" si="21"/>
        <v>115.38648000770841</v>
      </c>
      <c r="P127" s="167">
        <f>SUM(P11:P14)</f>
        <v>0.15922037604799255</v>
      </c>
      <c r="Q127" s="167">
        <f>SUM(Q11:Q14)</f>
        <v>0.17123619514715344</v>
      </c>
      <c r="R127" s="167">
        <f>SUM(R11:R14)</f>
        <v>0.22951996662284996</v>
      </c>
      <c r="S127" s="167">
        <f>SUM(S11:S14)</f>
        <v>0.24520988200363547</v>
      </c>
      <c r="T127" s="168">
        <f t="shared" ref="T127:T136" si="25">R127+P127</f>
        <v>0.38874034267084251</v>
      </c>
      <c r="U127" s="165" t="s">
        <v>161</v>
      </c>
      <c r="V127" s="166">
        <f>IF(SUM(V11:V14)=0,1000*($A11+$A15)/2,1000*SUM(W11:W14)/SUM(V11:V14))</f>
        <v>30000</v>
      </c>
      <c r="W127" s="927" t="e">
        <f t="shared" si="22"/>
        <v>#NAME?</v>
      </c>
      <c r="X127" s="166">
        <f>IF(SUM(X11:X14)=0,1000*($A11+$A15)/2,1000*SUM(Y11:Y14)/SUM(X11:X14))</f>
        <v>30000</v>
      </c>
      <c r="Y127" s="927" t="e">
        <f t="shared" si="23"/>
        <v>#NAME?</v>
      </c>
      <c r="Z127" s="167">
        <f>SUM(Z11:Z14)</f>
        <v>0</v>
      </c>
      <c r="AA127" s="167">
        <f>SUM(AA11:AA14)</f>
        <v>0</v>
      </c>
      <c r="AB127" s="167">
        <f>SUM(AB11:AB14)</f>
        <v>0</v>
      </c>
      <c r="AC127" s="167">
        <f>SUM(AC11:AC14)</f>
        <v>0</v>
      </c>
      <c r="AD127" s="168">
        <f t="shared" ref="AD127:AD136" si="26">Z127+AB127</f>
        <v>0</v>
      </c>
    </row>
    <row r="128" spans="1:30" s="164" customFormat="1" ht="18.75" x14ac:dyDescent="0.3">
      <c r="A128" s="165" t="s">
        <v>162</v>
      </c>
      <c r="B128" s="166">
        <f>IF(SUM(B15:B18)=0,1000*($A15+$A19)/2,1000*SUM(C15:C18)/SUM(B15:B18))</f>
        <v>42173.027862303126</v>
      </c>
      <c r="C128" s="927">
        <f t="shared" si="18"/>
        <v>168.69211144921252</v>
      </c>
      <c r="D128" s="166">
        <f>IF(SUM(D15:D18)=0,1000*($A15+$A19)/2,1000*SUM(E15:E18)/SUM(D15:D18))</f>
        <v>47184.554891315202</v>
      </c>
      <c r="E128" s="927">
        <f t="shared" si="19"/>
        <v>188.73821956526081</v>
      </c>
      <c r="F128" s="167">
        <f>SUM(F15:F18)</f>
        <v>4.1900540200962323E-3</v>
      </c>
      <c r="G128" s="167">
        <f>SUM(G15:G18)</f>
        <v>9.1542250355295205E-3</v>
      </c>
      <c r="H128" s="167">
        <f>SUM(H15:H18)</f>
        <v>3.3520392788765403E-2</v>
      </c>
      <c r="I128" s="167">
        <f>SUM(I15:I18)</f>
        <v>8.1936260824598706E-2</v>
      </c>
      <c r="J128" s="168">
        <f t="shared" si="24"/>
        <v>3.7710446808861639E-2</v>
      </c>
      <c r="K128" s="165" t="s">
        <v>162</v>
      </c>
      <c r="L128" s="166">
        <f>IF(SUM(L15:L18)=0,1000*($A15+$A19)/2,1000*SUM(M15:M18)/SUM(L15:L18))</f>
        <v>49090.395165901085</v>
      </c>
      <c r="M128" s="927">
        <f t="shared" si="20"/>
        <v>196.36158066360434</v>
      </c>
      <c r="N128" s="166">
        <f>IF(SUM(N15:N18)=0,1000*($A15+$A19)/2,1000*SUM(O15:O18)/SUM(N15:N18))</f>
        <v>49346.095027270931</v>
      </c>
      <c r="O128" s="927">
        <f t="shared" si="21"/>
        <v>197.38438010908374</v>
      </c>
      <c r="P128" s="167">
        <f>SUM(P15:P18)</f>
        <v>2.9955708879143464E-2</v>
      </c>
      <c r="Q128" s="167">
        <f>SUM(Q15:Q18)</f>
        <v>5.4462640341289378E-2</v>
      </c>
      <c r="R128" s="167">
        <f>SUM(R15:R18)</f>
        <v>4.4589165182040112E-2</v>
      </c>
      <c r="S128" s="167">
        <f>SUM(S15:S18)</f>
        <v>8.1490070736109921E-2</v>
      </c>
      <c r="T128" s="168">
        <f t="shared" si="25"/>
        <v>7.4544874061183569E-2</v>
      </c>
      <c r="U128" s="165" t="s">
        <v>162</v>
      </c>
      <c r="V128" s="166">
        <f>IF(SUM(V15:V18)=0,1000*($A15+$A19)/2,1000*SUM(W15:W18)/SUM(V15:V18))</f>
        <v>50000</v>
      </c>
      <c r="W128" s="927" t="e">
        <f t="shared" si="22"/>
        <v>#NAME?</v>
      </c>
      <c r="X128" s="166">
        <f>IF(SUM(X15:X18)=0,1000*($A15+$A19)/2,1000*SUM(Y15:Y18)/SUM(X15:X18))</f>
        <v>50000</v>
      </c>
      <c r="Y128" s="927" t="e">
        <f t="shared" si="23"/>
        <v>#NAME?</v>
      </c>
      <c r="Z128" s="167">
        <f>SUM(Z15:Z18)</f>
        <v>0</v>
      </c>
      <c r="AA128" s="167">
        <f>SUM(AA15:AA18)</f>
        <v>0</v>
      </c>
      <c r="AB128" s="167">
        <f>SUM(AB15:AB18)</f>
        <v>0</v>
      </c>
      <c r="AC128" s="167">
        <f>SUM(AC15:AC18)</f>
        <v>0</v>
      </c>
      <c r="AD128" s="168">
        <f t="shared" si="26"/>
        <v>0</v>
      </c>
    </row>
    <row r="129" spans="1:30" s="164" customFormat="1" ht="18.75" x14ac:dyDescent="0.3">
      <c r="A129" s="165" t="s">
        <v>163</v>
      </c>
      <c r="B129" s="166">
        <f>IF(SUM(B19:B22)=0,1000*($A19+$A23)/2,1000*SUM(C19:C22)/SUM(B19:B22))</f>
        <v>70000</v>
      </c>
      <c r="C129" s="927">
        <f t="shared" si="18"/>
        <v>280</v>
      </c>
      <c r="D129" s="166">
        <f>IF(SUM(D19:D22)=0,1000*($A19+$A23)/2,1000*SUM(E19:E22)/SUM(D19:D22))</f>
        <v>70000</v>
      </c>
      <c r="E129" s="927">
        <f t="shared" si="19"/>
        <v>280</v>
      </c>
      <c r="F129" s="167">
        <f>SUM(F19:F22)</f>
        <v>0</v>
      </c>
      <c r="G129" s="167">
        <f>SUM(G19:G22)</f>
        <v>0</v>
      </c>
      <c r="H129" s="167">
        <f>SUM(H19:H22)</f>
        <v>0</v>
      </c>
      <c r="I129" s="167">
        <f>SUM(I19:I22)</f>
        <v>0</v>
      </c>
      <c r="J129" s="168">
        <f t="shared" si="24"/>
        <v>0</v>
      </c>
      <c r="K129" s="165" t="s">
        <v>163</v>
      </c>
      <c r="L129" s="166">
        <f>IF(SUM(L19:L22)=0,1000*($A19+$A23)/2,1000*SUM(M19:M22)/SUM(L19:L22))</f>
        <v>67390.754629496063</v>
      </c>
      <c r="M129" s="927">
        <f t="shared" si="20"/>
        <v>269.56301851798423</v>
      </c>
      <c r="N129" s="166">
        <f>IF(SUM(N19:N22)=0,1000*($A19+$A23)/2,1000*SUM(O19:O22)/SUM(N19:N22))</f>
        <v>70527.498324375862</v>
      </c>
      <c r="O129" s="927">
        <f t="shared" si="21"/>
        <v>282.10999329750342</v>
      </c>
      <c r="P129" s="167">
        <f>SUM(P19:P22)</f>
        <v>1.2051872071306563E-2</v>
      </c>
      <c r="Q129" s="167">
        <f>SUM(Q19:Q22)</f>
        <v>3.0079969757749035E-2</v>
      </c>
      <c r="R129" s="167">
        <f>SUM(R19:R22)</f>
        <v>2.5203556385104318E-2</v>
      </c>
      <c r="S129" s="167">
        <f>SUM(S19:S22)</f>
        <v>6.583288215049983E-2</v>
      </c>
      <c r="T129" s="168">
        <f t="shared" si="25"/>
        <v>3.7255428456410881E-2</v>
      </c>
      <c r="U129" s="165" t="s">
        <v>163</v>
      </c>
      <c r="V129" s="166">
        <f>IF(SUM(V19:V22)=0,1000*($A19+$A23)/2,1000*SUM(W19:W22)/SUM(V19:V22))</f>
        <v>70000</v>
      </c>
      <c r="W129" s="927" t="e">
        <f t="shared" si="22"/>
        <v>#NAME?</v>
      </c>
      <c r="X129" s="166">
        <f>IF(SUM(X19:X22)=0,1000*($A19+$A23)/2,1000*SUM(Y19:Y22)/SUM(X19:X22))</f>
        <v>70000</v>
      </c>
      <c r="Y129" s="927" t="e">
        <f t="shared" si="23"/>
        <v>#NAME?</v>
      </c>
      <c r="Z129" s="167">
        <f>SUM(Z19:Z22)</f>
        <v>0</v>
      </c>
      <c r="AA129" s="167">
        <f>SUM(AA19:AA22)</f>
        <v>0</v>
      </c>
      <c r="AB129" s="167">
        <f>SUM(AB19:AB22)</f>
        <v>0</v>
      </c>
      <c r="AC129" s="167">
        <f>SUM(AC19:AC22)</f>
        <v>0</v>
      </c>
      <c r="AD129" s="168">
        <f t="shared" si="26"/>
        <v>0</v>
      </c>
    </row>
    <row r="130" spans="1:30" s="164" customFormat="1" ht="18.75" x14ac:dyDescent="0.3">
      <c r="A130" s="165" t="s">
        <v>164</v>
      </c>
      <c r="B130" s="166">
        <f>IF(SUM(B23:B26)=0,1000*($A23+$A27)/2,1000*SUM(C23:C26)/SUM(B23:B26))</f>
        <v>90000</v>
      </c>
      <c r="C130" s="927">
        <f t="shared" si="18"/>
        <v>360</v>
      </c>
      <c r="D130" s="166">
        <f>IF(SUM(D23:D26)=0,1000*($A23+$A27)/2,1000*SUM(E23:E26)/SUM(D23:D26))</f>
        <v>90000</v>
      </c>
      <c r="E130" s="927">
        <f t="shared" si="19"/>
        <v>360</v>
      </c>
      <c r="F130" s="167">
        <f>SUM(F23:F26)</f>
        <v>0</v>
      </c>
      <c r="G130" s="167">
        <f>SUM(G23:G26)</f>
        <v>0</v>
      </c>
      <c r="H130" s="167">
        <f>SUM(H23:H26)</f>
        <v>0</v>
      </c>
      <c r="I130" s="167">
        <f>SUM(I23:I26)</f>
        <v>0</v>
      </c>
      <c r="J130" s="168">
        <f t="shared" si="24"/>
        <v>0</v>
      </c>
      <c r="K130" s="165" t="s">
        <v>164</v>
      </c>
      <c r="L130" s="166">
        <f>IF(SUM(L23:L26)=0,1000*($A23+$A27)/2,1000*SUM(M23:M26)/SUM(L23:L26))</f>
        <v>96359.079004967221</v>
      </c>
      <c r="M130" s="927">
        <f t="shared" si="20"/>
        <v>385.43631601986891</v>
      </c>
      <c r="N130" s="166">
        <f>IF(SUM(N23:N26)=0,1000*($A23+$A27)/2,1000*SUM(O23:O26)/SUM(N23:N26))</f>
        <v>93002.351946700539</v>
      </c>
      <c r="O130" s="927">
        <f t="shared" si="21"/>
        <v>372.00940778680217</v>
      </c>
      <c r="P130" s="167">
        <f>SUM(P23:P26)</f>
        <v>2.5101991276529922E-3</v>
      </c>
      <c r="Q130" s="167">
        <f>SUM(Q23:Q26)</f>
        <v>8.9582541075343674E-3</v>
      </c>
      <c r="R130" s="167">
        <f>SUM(R23:R26)</f>
        <v>1.1662976711256823E-2</v>
      </c>
      <c r="S130" s="167">
        <f>SUM(S23:S26)</f>
        <v>4.0172226503060141E-2</v>
      </c>
      <c r="T130" s="168">
        <f t="shared" si="25"/>
        <v>1.4173175838909815E-2</v>
      </c>
      <c r="U130" s="165" t="s">
        <v>164</v>
      </c>
      <c r="V130" s="166">
        <f>IF(SUM(V23:V26)=0,1000*($A23+$A27)/2,1000*SUM(W23:W26)/SUM(V23:V26))</f>
        <v>90000</v>
      </c>
      <c r="W130" s="927" t="e">
        <f t="shared" si="22"/>
        <v>#NAME?</v>
      </c>
      <c r="X130" s="166">
        <f>IF(SUM(X23:X26)=0,1000*($A23+$A27)/2,1000*SUM(Y23:Y26)/SUM(X23:X26))</f>
        <v>90000</v>
      </c>
      <c r="Y130" s="927" t="e">
        <f t="shared" si="23"/>
        <v>#NAME?</v>
      </c>
      <c r="Z130" s="167">
        <f>SUM(Z23:Z26)</f>
        <v>0</v>
      </c>
      <c r="AA130" s="167">
        <f>SUM(AA23:AA26)</f>
        <v>0</v>
      </c>
      <c r="AB130" s="167">
        <f>SUM(AB23:AB26)</f>
        <v>0</v>
      </c>
      <c r="AC130" s="167">
        <f>SUM(AC23:AC26)</f>
        <v>0</v>
      </c>
      <c r="AD130" s="168">
        <f t="shared" si="26"/>
        <v>0</v>
      </c>
    </row>
    <row r="131" spans="1:30" s="164" customFormat="1" ht="18.75" x14ac:dyDescent="0.3">
      <c r="A131" s="165" t="s">
        <v>165</v>
      </c>
      <c r="B131" s="166">
        <f>IF(SUM(B27:B30)=0,1000*($A27+$A31)/2,1000*SUM(C27:C30)/SUM(B27:B30))</f>
        <v>110000</v>
      </c>
      <c r="C131" s="927">
        <f t="shared" si="18"/>
        <v>440</v>
      </c>
      <c r="D131" s="166">
        <f>IF(SUM(D27:D30)=0,1000*($A27+$A31)/2,1000*SUM(E27:E30)/SUM(D27:D30))</f>
        <v>110000</v>
      </c>
      <c r="E131" s="927">
        <f t="shared" si="19"/>
        <v>440</v>
      </c>
      <c r="F131" s="167">
        <f>SUM(F27:F30)</f>
        <v>0</v>
      </c>
      <c r="G131" s="167">
        <f>SUM(G27:G30)</f>
        <v>0</v>
      </c>
      <c r="H131" s="167">
        <f>SUM(H27:H30)</f>
        <v>0</v>
      </c>
      <c r="I131" s="167">
        <f>SUM(I27:I30)</f>
        <v>0</v>
      </c>
      <c r="J131" s="168">
        <f t="shared" si="24"/>
        <v>0</v>
      </c>
      <c r="K131" s="165" t="s">
        <v>165</v>
      </c>
      <c r="L131" s="166">
        <f>IF(SUM(L27:L30)=0,1000*($A27+$A31)/2,1000*SUM(M27:M30)/SUM(L27:L30))</f>
        <v>106915.43373111205</v>
      </c>
      <c r="M131" s="927">
        <f t="shared" si="20"/>
        <v>427.66173492444818</v>
      </c>
      <c r="N131" s="166">
        <f>IF(SUM(N27:N30)=0,1000*($A27+$A31)/2,1000*SUM(O27:O30)/SUM(N27:N30))</f>
        <v>106116.34118716457</v>
      </c>
      <c r="O131" s="927">
        <f t="shared" si="21"/>
        <v>424.46536474865826</v>
      </c>
      <c r="P131" s="167">
        <f>SUM(P27:P30)</f>
        <v>6.9082025480011917E-3</v>
      </c>
      <c r="Q131" s="167">
        <f>SUM(Q27:Q30)</f>
        <v>2.7354452536373829E-2</v>
      </c>
      <c r="R131" s="167">
        <f>SUM(R27:R30)</f>
        <v>4.0672109693550701E-3</v>
      </c>
      <c r="S131" s="167">
        <f>SUM(S27:S30)</f>
        <v>1.5984591068864695E-2</v>
      </c>
      <c r="T131" s="168">
        <f t="shared" si="25"/>
        <v>1.0975413517356262E-2</v>
      </c>
      <c r="U131" s="165" t="s">
        <v>165</v>
      </c>
      <c r="V131" s="166">
        <f>IF(SUM(V27:V30)=0,1000*($A27+$A31)/2,1000*SUM(W27:W30)/SUM(V27:V30))</f>
        <v>110000</v>
      </c>
      <c r="W131" s="927" t="e">
        <f t="shared" si="22"/>
        <v>#NAME?</v>
      </c>
      <c r="X131" s="166">
        <f>IF(SUM(X27:X30)=0,1000*($A27+$A31)/2,1000*SUM(Y27:Y30)/SUM(X27:X30))</f>
        <v>110000</v>
      </c>
      <c r="Y131" s="927" t="e">
        <f t="shared" si="23"/>
        <v>#NAME?</v>
      </c>
      <c r="Z131" s="167">
        <f>SUM(Z27:Z30)</f>
        <v>0</v>
      </c>
      <c r="AA131" s="167">
        <f>SUM(AA27:AA30)</f>
        <v>0</v>
      </c>
      <c r="AB131" s="167">
        <f>SUM(AB27:AB30)</f>
        <v>0</v>
      </c>
      <c r="AC131" s="167">
        <f>SUM(AC27:AC30)</f>
        <v>0</v>
      </c>
      <c r="AD131" s="168">
        <f t="shared" si="26"/>
        <v>0</v>
      </c>
    </row>
    <row r="132" spans="1:30" s="164" customFormat="1" ht="18.75" x14ac:dyDescent="0.3">
      <c r="A132" s="165" t="s">
        <v>166</v>
      </c>
      <c r="B132" s="166">
        <f>IF(SUM(B31:B34)=0,1000*($A31+$A35)/2,1000*SUM(C31:C34)/SUM(B31:B34))</f>
        <v>130000</v>
      </c>
      <c r="C132" s="927">
        <f t="shared" si="18"/>
        <v>520</v>
      </c>
      <c r="D132" s="166">
        <f>IF(SUM(D31:D34)=0,1000*($A31+$A35)/2,1000*SUM(E31:E34)/SUM(D31:D34))</f>
        <v>130000</v>
      </c>
      <c r="E132" s="927">
        <f t="shared" si="19"/>
        <v>520</v>
      </c>
      <c r="F132" s="167">
        <f>SUM(F31:F34)</f>
        <v>0</v>
      </c>
      <c r="G132" s="167">
        <f>SUM(G31:G34)</f>
        <v>0</v>
      </c>
      <c r="H132" s="167">
        <f>SUM(H31:H34)</f>
        <v>0</v>
      </c>
      <c r="I132" s="167">
        <f>SUM(I31:I34)</f>
        <v>0</v>
      </c>
      <c r="J132" s="168">
        <f t="shared" si="24"/>
        <v>0</v>
      </c>
      <c r="K132" s="165" t="s">
        <v>166</v>
      </c>
      <c r="L132" s="166">
        <f>IF(SUM(L31:L34)=0,1000*($A31+$A35)/2,1000*SUM(M31:M34)/SUM(L31:L34))</f>
        <v>130000</v>
      </c>
      <c r="M132" s="927">
        <f t="shared" si="20"/>
        <v>520</v>
      </c>
      <c r="N132" s="166">
        <f>IF(SUM(N31:N34)=0,1000*($A31+$A35)/2,1000*SUM(O31:O34)/SUM(N31:N34))</f>
        <v>130000</v>
      </c>
      <c r="O132" s="927">
        <f t="shared" si="21"/>
        <v>520</v>
      </c>
      <c r="P132" s="167">
        <f>SUM(P31:P34)</f>
        <v>0</v>
      </c>
      <c r="Q132" s="167">
        <f>SUM(Q31:Q34)</f>
        <v>0</v>
      </c>
      <c r="R132" s="167">
        <f>SUM(R31:R34)</f>
        <v>0</v>
      </c>
      <c r="S132" s="167">
        <f>SUM(S31:S34)</f>
        <v>0</v>
      </c>
      <c r="T132" s="168">
        <f t="shared" si="25"/>
        <v>0</v>
      </c>
      <c r="U132" s="165" t="s">
        <v>166</v>
      </c>
      <c r="V132" s="166">
        <f>IF(SUM(V31:V34)=0,1000*($A31+$A35)/2,1000*SUM(W31:W34)/SUM(V31:V34))</f>
        <v>130000</v>
      </c>
      <c r="W132" s="927" t="e">
        <f t="shared" si="22"/>
        <v>#NAME?</v>
      </c>
      <c r="X132" s="166">
        <f>IF(SUM(X31:X34)=0,1000*($A31+$A35)/2,1000*SUM(Y31:Y34)/SUM(X31:X34))</f>
        <v>130000</v>
      </c>
      <c r="Y132" s="927" t="e">
        <f t="shared" si="23"/>
        <v>#NAME?</v>
      </c>
      <c r="Z132" s="167">
        <f>SUM(Z31:Z34)</f>
        <v>0</v>
      </c>
      <c r="AA132" s="167">
        <f>SUM(AA31:AA34)</f>
        <v>0</v>
      </c>
      <c r="AB132" s="167">
        <f>SUM(AB31:AB34)</f>
        <v>0</v>
      </c>
      <c r="AC132" s="167">
        <f>SUM(AC31:AC34)</f>
        <v>0</v>
      </c>
      <c r="AD132" s="168">
        <f t="shared" si="26"/>
        <v>0</v>
      </c>
    </row>
    <row r="133" spans="1:30" s="164" customFormat="1" ht="18.75" x14ac:dyDescent="0.3">
      <c r="A133" s="165" t="s">
        <v>167</v>
      </c>
      <c r="B133" s="166">
        <f>IF(SUM(B35:B38)=0,1000*($A35+$A39)/2,1000*SUM(C35:C38)/SUM(B35:B38))</f>
        <v>150000</v>
      </c>
      <c r="C133" s="927">
        <f t="shared" si="18"/>
        <v>600</v>
      </c>
      <c r="D133" s="166">
        <f>IF(SUM(D35:D38)=0,1000*($A35+$A39)/2,1000*SUM(E35:E38)/SUM(D35:D38))</f>
        <v>150000</v>
      </c>
      <c r="E133" s="927">
        <f t="shared" si="19"/>
        <v>600</v>
      </c>
      <c r="F133" s="167">
        <f>SUM(F35:F38)</f>
        <v>0</v>
      </c>
      <c r="G133" s="167">
        <f>SUM(G35:G38)</f>
        <v>0</v>
      </c>
      <c r="H133" s="167">
        <f>SUM(H35:H38)</f>
        <v>0</v>
      </c>
      <c r="I133" s="167">
        <f>SUM(I35:I38)</f>
        <v>0</v>
      </c>
      <c r="J133" s="168">
        <f t="shared" si="24"/>
        <v>0</v>
      </c>
      <c r="K133" s="165" t="s">
        <v>167</v>
      </c>
      <c r="L133" s="166">
        <f>IF(SUM(L35:L38)=0,1000*($A35+$A39)/2,1000*SUM(M35:M38)/SUM(L35:L38))</f>
        <v>147879.78219200895</v>
      </c>
      <c r="M133" s="927">
        <f t="shared" si="20"/>
        <v>591.51912876803578</v>
      </c>
      <c r="N133" s="166">
        <f>IF(SUM(N35:N38)=0,1000*($A35+$A39)/2,1000*SUM(O35:O38)/SUM(N35:N38))</f>
        <v>150000</v>
      </c>
      <c r="O133" s="927">
        <f t="shared" si="21"/>
        <v>600</v>
      </c>
      <c r="P133" s="167">
        <f>SUM(P35:P38)</f>
        <v>5.0829911580039175E-3</v>
      </c>
      <c r="Q133" s="167">
        <f>SUM(Q35:Q38)</f>
        <v>2.7838813346236703E-2</v>
      </c>
      <c r="R133" s="167">
        <f>SUM(R35:R38)</f>
        <v>0</v>
      </c>
      <c r="S133" s="167">
        <f>SUM(S35:S38)</f>
        <v>0</v>
      </c>
      <c r="T133" s="168">
        <f t="shared" si="25"/>
        <v>5.0829911580039175E-3</v>
      </c>
      <c r="U133" s="165" t="s">
        <v>167</v>
      </c>
      <c r="V133" s="166">
        <f>IF(SUM(V35:V38)=0,1000*($A35+$A39)/2,1000*SUM(W35:W38)/SUM(V35:V38))</f>
        <v>150000</v>
      </c>
      <c r="W133" s="927" t="e">
        <f t="shared" si="22"/>
        <v>#NAME?</v>
      </c>
      <c r="X133" s="166">
        <f>IF(SUM(X35:X38)=0,1000*($A35+$A39)/2,1000*SUM(Y35:Y38)/SUM(X35:X38))</f>
        <v>150000</v>
      </c>
      <c r="Y133" s="927" t="e">
        <f t="shared" si="23"/>
        <v>#NAME?</v>
      </c>
      <c r="Z133" s="167">
        <f>SUM(Z35:Z38)</f>
        <v>0</v>
      </c>
      <c r="AA133" s="167">
        <f>SUM(AA35:AA38)</f>
        <v>0</v>
      </c>
      <c r="AB133" s="167">
        <f>SUM(AB35:AB38)</f>
        <v>0</v>
      </c>
      <c r="AC133" s="167">
        <f>SUM(AC35:AC38)</f>
        <v>0</v>
      </c>
      <c r="AD133" s="168">
        <f t="shared" si="26"/>
        <v>0</v>
      </c>
    </row>
    <row r="134" spans="1:30" s="164" customFormat="1" ht="18.75" x14ac:dyDescent="0.3">
      <c r="A134" s="165" t="s">
        <v>168</v>
      </c>
      <c r="B134" s="166">
        <f>IF(SUM(B39:B42)=0,1000*($A39+$A43)/2,1000*SUM(C39:C42)/SUM(B39:B42))</f>
        <v>170000</v>
      </c>
      <c r="C134" s="927">
        <f t="shared" si="18"/>
        <v>680</v>
      </c>
      <c r="D134" s="166">
        <f>IF(SUM(D39:D42)=0,1000*($A39+$A43)/2,1000*SUM(E39:E42)/SUM(D39:D42))</f>
        <v>170000</v>
      </c>
      <c r="E134" s="927">
        <f t="shared" si="19"/>
        <v>680</v>
      </c>
      <c r="F134" s="167">
        <f>SUM(F39:F42)</f>
        <v>0</v>
      </c>
      <c r="G134" s="167">
        <f>SUM(G39:G42)</f>
        <v>0</v>
      </c>
      <c r="H134" s="167">
        <f>SUM(H39:H42)</f>
        <v>0</v>
      </c>
      <c r="I134" s="167">
        <f>SUM(I39:I42)</f>
        <v>0</v>
      </c>
      <c r="J134" s="168">
        <f t="shared" si="24"/>
        <v>0</v>
      </c>
      <c r="K134" s="165" t="s">
        <v>168</v>
      </c>
      <c r="L134" s="166">
        <f>IF(SUM(L39:L42)=0,1000*($A39+$A43)/2,1000*SUM(M39:M42)/SUM(L39:L42))</f>
        <v>172175.84138025978</v>
      </c>
      <c r="M134" s="927">
        <f t="shared" si="20"/>
        <v>688.70336552103913</v>
      </c>
      <c r="N134" s="166">
        <f>IF(SUM(N39:N42)=0,1000*($A39+$A43)/2,1000*SUM(O39:O42)/SUM(N39:N42))</f>
        <v>170000</v>
      </c>
      <c r="O134" s="927">
        <f t="shared" si="21"/>
        <v>680</v>
      </c>
      <c r="P134" s="167">
        <f>SUM(P39:P42)</f>
        <v>4.1774531135091424E-3</v>
      </c>
      <c r="Q134" s="167">
        <f>SUM(Q39:Q42)</f>
        <v>2.6638291118281053E-2</v>
      </c>
      <c r="R134" s="167">
        <f>SUM(R39:R42)</f>
        <v>0</v>
      </c>
      <c r="S134" s="167">
        <f>SUM(S39:S42)</f>
        <v>0</v>
      </c>
      <c r="T134" s="168">
        <f t="shared" si="25"/>
        <v>4.1774531135091424E-3</v>
      </c>
      <c r="U134" s="165" t="s">
        <v>168</v>
      </c>
      <c r="V134" s="166">
        <f>IF(SUM(V39:V42)=0,1000*($A39+$A43)/2,1000*SUM(W39:W42)/SUM(V39:V42))</f>
        <v>170000</v>
      </c>
      <c r="W134" s="927" t="e">
        <f t="shared" si="22"/>
        <v>#NAME?</v>
      </c>
      <c r="X134" s="166">
        <f>IF(SUM(X39:X42)=0,1000*($A39+$A43)/2,1000*SUM(Y39:Y42)/SUM(X39:X42))</f>
        <v>170000</v>
      </c>
      <c r="Y134" s="927" t="e">
        <f t="shared" si="23"/>
        <v>#NAME?</v>
      </c>
      <c r="Z134" s="167">
        <f>SUM(Z39:Z42)</f>
        <v>0</v>
      </c>
      <c r="AA134" s="167">
        <f>SUM(AA39:AA42)</f>
        <v>0</v>
      </c>
      <c r="AB134" s="167">
        <f>SUM(AB39:AB42)</f>
        <v>0</v>
      </c>
      <c r="AC134" s="167">
        <f>SUM(AC39:AC42)</f>
        <v>0</v>
      </c>
      <c r="AD134" s="168">
        <f t="shared" si="26"/>
        <v>0</v>
      </c>
    </row>
    <row r="135" spans="1:30" s="164" customFormat="1" ht="18.75" x14ac:dyDescent="0.3">
      <c r="A135" s="165" t="s">
        <v>169</v>
      </c>
      <c r="B135" s="166">
        <f>IF(SUM(B43:B46)=0,1000*($A43+$A47)/2,1000*SUM(C43:C46)/SUM(B43:B46))</f>
        <v>190000</v>
      </c>
      <c r="C135" s="927">
        <f t="shared" si="18"/>
        <v>760</v>
      </c>
      <c r="D135" s="166">
        <f>IF(SUM(D43:D46)=0,1000*($A43+$A47)/2,1000*SUM(E43:E46)/SUM(D43:D46))</f>
        <v>190000</v>
      </c>
      <c r="E135" s="927">
        <f t="shared" si="19"/>
        <v>760</v>
      </c>
      <c r="F135" s="167">
        <f>SUM(F43:F46)</f>
        <v>0</v>
      </c>
      <c r="G135" s="167">
        <f>SUM(G43:G46)</f>
        <v>0</v>
      </c>
      <c r="H135" s="167">
        <f>SUM(H43:H46)</f>
        <v>0</v>
      </c>
      <c r="I135" s="167">
        <f>SUM(I43:I46)</f>
        <v>0</v>
      </c>
      <c r="J135" s="168">
        <f t="shared" si="24"/>
        <v>0</v>
      </c>
      <c r="K135" s="165" t="s">
        <v>169</v>
      </c>
      <c r="L135" s="166">
        <f>IF(SUM(L43:L46)=0,1000*($A43+$A47)/2,1000*SUM(M43:M46)/SUM(L43:L46))</f>
        <v>202262.19904684628</v>
      </c>
      <c r="M135" s="927">
        <f t="shared" si="20"/>
        <v>809.04879618738505</v>
      </c>
      <c r="N135" s="166">
        <f>IF(SUM(N43:N46)=0,1000*($A43+$A47)/2,1000*SUM(O43:O46)/SUM(N43:N46))</f>
        <v>190000</v>
      </c>
      <c r="O135" s="927">
        <f t="shared" si="21"/>
        <v>760</v>
      </c>
      <c r="P135" s="1238">
        <f>SUM(P43:P46)</f>
        <v>3.4985640210313297E-4</v>
      </c>
      <c r="Q135" s="167">
        <f>SUM(Q43:Q46)</f>
        <v>2.6207591632366194E-3</v>
      </c>
      <c r="R135" s="167">
        <f>SUM(R43:R46)</f>
        <v>0</v>
      </c>
      <c r="S135" s="167">
        <f>SUM(S43:S46)</f>
        <v>0</v>
      </c>
      <c r="T135" s="168">
        <f t="shared" si="25"/>
        <v>3.4985640210313297E-4</v>
      </c>
      <c r="U135" s="165" t="s">
        <v>169</v>
      </c>
      <c r="V135" s="166">
        <f>IF(SUM(V43:V46)=0,1000*($A43+$A47)/2,1000*SUM(W43:W46)/SUM(V43:V46))</f>
        <v>190000</v>
      </c>
      <c r="W135" s="927" t="e">
        <f t="shared" si="22"/>
        <v>#NAME?</v>
      </c>
      <c r="X135" s="166">
        <f>IF(SUM(X43:X46)=0,1000*($A43+$A47)/2,1000*SUM(Y43:Y46)/SUM(X43:X46))</f>
        <v>190000</v>
      </c>
      <c r="Y135" s="927" t="e">
        <f t="shared" si="23"/>
        <v>#NAME?</v>
      </c>
      <c r="Z135" s="167">
        <f>SUM(Z43:Z46)</f>
        <v>0</v>
      </c>
      <c r="AA135" s="167">
        <f>SUM(AA43:AA46)</f>
        <v>0</v>
      </c>
      <c r="AB135" s="167">
        <f>SUM(AB43:AB46)</f>
        <v>0</v>
      </c>
      <c r="AC135" s="167">
        <f>SUM(AC43:AC46)</f>
        <v>0</v>
      </c>
      <c r="AD135" s="168">
        <f t="shared" si="26"/>
        <v>0</v>
      </c>
    </row>
    <row r="136" spans="1:30" s="164" customFormat="1" ht="19.5" thickBot="1" x14ac:dyDescent="0.35">
      <c r="A136" s="169" t="s">
        <v>170</v>
      </c>
      <c r="B136" s="170">
        <f>IF(B47=0,200000,1000*C47/B47)</f>
        <v>200000</v>
      </c>
      <c r="C136" s="928">
        <f t="shared" si="18"/>
        <v>800</v>
      </c>
      <c r="D136" s="170">
        <f>IF(D47=0,200000,1000*E47/D47)</f>
        <v>200000</v>
      </c>
      <c r="E136" s="928">
        <f t="shared" si="19"/>
        <v>800</v>
      </c>
      <c r="F136" s="171">
        <f>SUM(F47:F48)</f>
        <v>0</v>
      </c>
      <c r="G136" s="171">
        <f>SUM(G47:G48)</f>
        <v>0</v>
      </c>
      <c r="H136" s="171">
        <f>SUM(H47:H48)</f>
        <v>0</v>
      </c>
      <c r="I136" s="171">
        <f>SUM(I47:I48)</f>
        <v>0</v>
      </c>
      <c r="J136" s="172">
        <f t="shared" si="24"/>
        <v>0</v>
      </c>
      <c r="K136" s="169" t="s">
        <v>170</v>
      </c>
      <c r="L136" s="170">
        <f>IF(L47=0,200000,1000*M47/L47)</f>
        <v>200000</v>
      </c>
      <c r="M136" s="928">
        <f t="shared" si="20"/>
        <v>800</v>
      </c>
      <c r="N136" s="170">
        <f>IF(N47=0,200000,1000*O47/N47)</f>
        <v>200000</v>
      </c>
      <c r="O136" s="928">
        <f t="shared" si="21"/>
        <v>800</v>
      </c>
      <c r="P136" s="171">
        <f>SUM(P47:P48)</f>
        <v>0</v>
      </c>
      <c r="Q136" s="171">
        <f>SUM(Q47:Q48)</f>
        <v>0</v>
      </c>
      <c r="R136" s="171">
        <f>SUM(R47:R48)</f>
        <v>0</v>
      </c>
      <c r="S136" s="171">
        <f>SUM(S47:S48)</f>
        <v>0</v>
      </c>
      <c r="T136" s="172">
        <f t="shared" si="25"/>
        <v>0</v>
      </c>
      <c r="U136" s="169" t="s">
        <v>170</v>
      </c>
      <c r="V136" s="170">
        <f>IF(V47=0,200000,1000*W47/V47)</f>
        <v>200000</v>
      </c>
      <c r="W136" s="928" t="e">
        <f t="shared" si="22"/>
        <v>#NAME?</v>
      </c>
      <c r="X136" s="170">
        <f>IF(X47=0,200000,1000*Y47/X47)</f>
        <v>200000</v>
      </c>
      <c r="Y136" s="928" t="e">
        <f t="shared" si="23"/>
        <v>#NAME?</v>
      </c>
      <c r="Z136" s="171">
        <f>SUM(Z47:Z48)</f>
        <v>0</v>
      </c>
      <c r="AA136" s="171">
        <f>SUM(AA47:AA48)</f>
        <v>0</v>
      </c>
      <c r="AB136" s="171">
        <f>SUM(AB47:AB48)</f>
        <v>0</v>
      </c>
      <c r="AC136" s="171">
        <f>SUM(AC47:AC48)</f>
        <v>0</v>
      </c>
      <c r="AD136" s="172">
        <f t="shared" si="26"/>
        <v>0</v>
      </c>
    </row>
    <row r="137" spans="1:30" s="124" customFormat="1" ht="16.5" thickTop="1" x14ac:dyDescent="0.25">
      <c r="A137" s="124" t="s">
        <v>42</v>
      </c>
      <c r="B137" s="173">
        <f>+SUM(B126:B136)</f>
        <v>1186303.7401443215</v>
      </c>
      <c r="C137" s="173"/>
      <c r="D137" s="173">
        <f>+SUM(D126:D136)</f>
        <v>1197534.6202956</v>
      </c>
      <c r="E137" s="174"/>
      <c r="F137" s="175">
        <f>+SUM(F126:F136)</f>
        <v>0.44785105827945154</v>
      </c>
      <c r="G137" s="175">
        <f>+SUM(G126:G136)</f>
        <v>0.42430870386415642</v>
      </c>
      <c r="H137" s="175">
        <f>+SUM(H126:H136)</f>
        <v>0.5521489417205484</v>
      </c>
      <c r="I137" s="175">
        <f>+SUM(I126:I136)</f>
        <v>0.57569129613584358</v>
      </c>
      <c r="J137" s="176">
        <f>SUM(J126:J136)</f>
        <v>0.99999999999999989</v>
      </c>
      <c r="L137" s="173">
        <f>+SUM(L126:L136)</f>
        <v>1212930.1054139114</v>
      </c>
      <c r="M137" s="173"/>
      <c r="N137" s="173">
        <f>+SUM(N126:N136)</f>
        <v>1199549.9468346657</v>
      </c>
      <c r="O137" s="174"/>
      <c r="P137" s="175">
        <f>+SUM(P126:P136)</f>
        <v>0.36327053501764417</v>
      </c>
      <c r="Q137" s="175">
        <f>+SUM(Q126:Q136)</f>
        <v>0.41178568019302908</v>
      </c>
      <c r="R137" s="175">
        <f>+SUM(R126:R136)</f>
        <v>0.63672946498235583</v>
      </c>
      <c r="S137" s="175">
        <f>+SUM(S126:S136)</f>
        <v>0.58821431980697103</v>
      </c>
      <c r="T137" s="176">
        <f>SUM(T126:T136)</f>
        <v>1.0000000000000002</v>
      </c>
      <c r="V137" s="173">
        <f>+SUM(V126:V136)</f>
        <v>1200000</v>
      </c>
      <c r="W137" s="173"/>
      <c r="X137" s="173">
        <f>+SUM(X126:X136)</f>
        <v>1200000</v>
      </c>
      <c r="Y137" s="174"/>
      <c r="Z137" s="175">
        <f>+SUM(Z126:Z136)</f>
        <v>0</v>
      </c>
      <c r="AA137" s="175">
        <f>+SUM(AA126:AA136)</f>
        <v>0</v>
      </c>
      <c r="AB137" s="175">
        <f>+SUM(AB126:AB136)</f>
        <v>0</v>
      </c>
      <c r="AC137" s="175">
        <f>+SUM(AC126:AC136)</f>
        <v>0</v>
      </c>
      <c r="AD137" s="177">
        <f>SUM(AD126:AD136)</f>
        <v>0</v>
      </c>
    </row>
    <row r="138" spans="1:30" ht="13.5" thickBot="1" x14ac:dyDescent="0.25">
      <c r="B138" s="178"/>
      <c r="F138" s="101"/>
      <c r="G138" s="101"/>
      <c r="H138" s="101"/>
      <c r="I138" s="101"/>
      <c r="L138" s="178"/>
      <c r="P138" s="101"/>
      <c r="Q138" s="101"/>
      <c r="R138" s="101"/>
      <c r="S138" s="101"/>
      <c r="V138" s="178"/>
      <c r="Z138" s="101"/>
      <c r="AA138" s="101"/>
      <c r="AB138" s="101"/>
      <c r="AC138" s="101"/>
    </row>
    <row r="139" spans="1:30" s="50" customFormat="1" ht="63" customHeight="1" thickBot="1" x14ac:dyDescent="0.45">
      <c r="J139" s="179" t="s">
        <v>43</v>
      </c>
      <c r="K139" s="1713"/>
      <c r="L139" s="1714"/>
      <c r="M139" s="1717" t="s">
        <v>44</v>
      </c>
      <c r="N139" s="1718"/>
      <c r="O139" s="1718"/>
      <c r="P139" s="1718"/>
      <c r="Q139" s="1718"/>
      <c r="R139" s="1718"/>
      <c r="S139" s="1718"/>
      <c r="T139" s="1719"/>
    </row>
    <row r="140" spans="1:30" s="180" customFormat="1" ht="54" customHeight="1" thickBot="1" x14ac:dyDescent="0.45">
      <c r="B140" s="1720" t="s">
        <v>45</v>
      </c>
      <c r="C140" s="1721"/>
      <c r="D140" s="182" t="s">
        <v>10</v>
      </c>
      <c r="E140" s="183" t="s">
        <v>46</v>
      </c>
      <c r="F140" s="183" t="s">
        <v>47</v>
      </c>
      <c r="G140" s="183" t="s">
        <v>48</v>
      </c>
      <c r="H140" s="184" t="s">
        <v>49</v>
      </c>
      <c r="I140" s="185"/>
      <c r="J140" s="50"/>
      <c r="K140" s="1715"/>
      <c r="L140" s="1716"/>
      <c r="M140" s="186" t="s">
        <v>50</v>
      </c>
      <c r="N140" s="187" t="s">
        <v>51</v>
      </c>
      <c r="O140" s="181" t="s">
        <v>50</v>
      </c>
      <c r="P140" s="187" t="s">
        <v>51</v>
      </c>
      <c r="Q140" s="181" t="s">
        <v>50</v>
      </c>
      <c r="R140" s="187" t="s">
        <v>51</v>
      </c>
      <c r="S140" s="181" t="s">
        <v>50</v>
      </c>
      <c r="T140" s="187" t="s">
        <v>51</v>
      </c>
      <c r="U140" s="188"/>
      <c r="V140" s="188"/>
      <c r="W140" s="188"/>
      <c r="X140" s="188"/>
      <c r="Y140" s="188"/>
      <c r="Z140" s="188"/>
      <c r="AA140" s="188"/>
      <c r="AB140" s="188"/>
      <c r="AC140" s="188"/>
      <c r="AD140" s="188"/>
    </row>
    <row r="141" spans="1:30" s="124" customFormat="1" ht="15.75" x14ac:dyDescent="0.25">
      <c r="B141" s="189"/>
      <c r="C141" s="190" t="s">
        <v>284</v>
      </c>
      <c r="D141" s="191">
        <f>+B49</f>
        <v>6824.9162999999999</v>
      </c>
      <c r="E141" s="192">
        <f>+D141/$D$153</f>
        <v>4.502974730288415E-2</v>
      </c>
      <c r="F141" s="191">
        <f>+C49</f>
        <v>124818.36400000002</v>
      </c>
      <c r="G141" s="193">
        <f>IF(F141=0,0,+F141/D141)</f>
        <v>18.288629268610961</v>
      </c>
      <c r="H141" s="194"/>
      <c r="I141" s="195"/>
      <c r="J141" s="47"/>
      <c r="K141" s="1722"/>
      <c r="L141" s="1723"/>
      <c r="M141" s="1724">
        <v>2007</v>
      </c>
      <c r="N141" s="1725"/>
      <c r="O141" s="1724">
        <v>2010</v>
      </c>
      <c r="P141" s="1725"/>
      <c r="Q141" s="1724">
        <v>2015</v>
      </c>
      <c r="R141" s="1725"/>
      <c r="S141" s="1724">
        <v>2020</v>
      </c>
      <c r="T141" s="1725"/>
    </row>
    <row r="142" spans="1:30" s="124" customFormat="1" ht="16.5" thickBot="1" x14ac:dyDescent="0.3">
      <c r="B142" s="391"/>
      <c r="C142" s="196" t="s">
        <v>285</v>
      </c>
      <c r="D142" s="197">
        <f>+D49</f>
        <v>8414.3382999999994</v>
      </c>
      <c r="E142" s="198">
        <f>+D142/$D$153</f>
        <v>5.5516509025902605E-2</v>
      </c>
      <c r="F142" s="197">
        <f>+E49</f>
        <v>169350.39300000001</v>
      </c>
      <c r="G142" s="199">
        <f>IF(F142=0,0,+F142/D142)</f>
        <v>20.126406493544479</v>
      </c>
      <c r="H142" s="200"/>
      <c r="I142" s="195"/>
      <c r="J142" s="47"/>
      <c r="K142" s="1728" t="s">
        <v>286</v>
      </c>
      <c r="L142" s="1729"/>
      <c r="M142" s="393" t="e">
        <f>$F$143/#REF!</f>
        <v>#REF!</v>
      </c>
      <c r="N142" s="394" t="e">
        <f>M142/M145</f>
        <v>#REF!</v>
      </c>
      <c r="O142" s="393" t="e">
        <f>$F143/#REF!</f>
        <v>#REF!</v>
      </c>
      <c r="P142" s="394" t="e">
        <f>O142/O145</f>
        <v>#REF!</v>
      </c>
      <c r="Q142" s="393" t="e">
        <f>$F143/#REF!</f>
        <v>#REF!</v>
      </c>
      <c r="R142" s="394" t="e">
        <f>Q142/Q145</f>
        <v>#REF!</v>
      </c>
      <c r="S142" s="393" t="e">
        <f>$F143/#REF!</f>
        <v>#REF!</v>
      </c>
      <c r="T142" s="394" t="e">
        <f>S142/S145</f>
        <v>#REF!</v>
      </c>
    </row>
    <row r="143" spans="1:30" s="124" customFormat="1" ht="17.25" thickTop="1" thickBot="1" x14ac:dyDescent="0.3">
      <c r="B143" s="1726" t="s">
        <v>286</v>
      </c>
      <c r="C143" s="1727"/>
      <c r="D143" s="201">
        <f>+D142+D141</f>
        <v>15239.2546</v>
      </c>
      <c r="E143" s="202">
        <f>+D143/$D$153</f>
        <v>0.10054625632878676</v>
      </c>
      <c r="F143" s="201">
        <f>+F141+F142</f>
        <v>294168.75700000004</v>
      </c>
      <c r="G143" s="203">
        <f>IF(F143=0,0,+F143/D143)</f>
        <v>19.30335601847613</v>
      </c>
      <c r="H143" s="204">
        <f>F143/F153</f>
        <v>7.400342734044256E-2</v>
      </c>
      <c r="I143" s="205"/>
      <c r="J143" s="47"/>
      <c r="K143" s="1728" t="s">
        <v>287</v>
      </c>
      <c r="L143" s="1729"/>
      <c r="M143" s="393" t="e">
        <f>$F$147/#REF!</f>
        <v>#REF!</v>
      </c>
      <c r="N143" s="394" t="e">
        <f>M143/M145</f>
        <v>#REF!</v>
      </c>
      <c r="O143" s="393" t="e">
        <f>$F147/#REF!</f>
        <v>#REF!</v>
      </c>
      <c r="P143" s="394" t="e">
        <f>O143/O145</f>
        <v>#REF!</v>
      </c>
      <c r="Q143" s="393" t="e">
        <f>$F147/#REF!</f>
        <v>#REF!</v>
      </c>
      <c r="R143" s="394" t="e">
        <f>Q143/Q145</f>
        <v>#REF!</v>
      </c>
      <c r="S143" s="393" t="e">
        <f>$F147/#REF!</f>
        <v>#REF!</v>
      </c>
      <c r="T143" s="394" t="e">
        <f>S143/S145</f>
        <v>#REF!</v>
      </c>
    </row>
    <row r="144" spans="1:30" s="124" customFormat="1" ht="16.5" thickBot="1" x14ac:dyDescent="0.3">
      <c r="B144" s="206"/>
      <c r="C144" s="207"/>
      <c r="D144" s="208"/>
      <c r="E144" s="209"/>
      <c r="F144" s="208"/>
      <c r="G144" s="210"/>
      <c r="H144" s="211"/>
      <c r="I144" s="205"/>
      <c r="J144" s="47"/>
      <c r="K144" s="1730" t="s">
        <v>288</v>
      </c>
      <c r="L144" s="1731"/>
      <c r="M144" s="212">
        <v>0</v>
      </c>
      <c r="N144" s="395">
        <v>0</v>
      </c>
      <c r="O144" s="212">
        <v>0</v>
      </c>
      <c r="P144" s="395">
        <v>0</v>
      </c>
      <c r="Q144" s="212">
        <v>0</v>
      </c>
      <c r="R144" s="395">
        <v>0</v>
      </c>
      <c r="S144" s="212">
        <v>0</v>
      </c>
      <c r="T144" s="395">
        <v>0</v>
      </c>
    </row>
    <row r="145" spans="2:30" s="124" customFormat="1" ht="16.5" thickBot="1" x14ac:dyDescent="0.3">
      <c r="B145" s="213"/>
      <c r="C145" s="392" t="s">
        <v>289</v>
      </c>
      <c r="D145" s="201">
        <f>+L49</f>
        <v>49522.986500000006</v>
      </c>
      <c r="E145" s="202">
        <f>+D145/$D$153</f>
        <v>0.32674504268706472</v>
      </c>
      <c r="F145" s="201">
        <f>+M49</f>
        <v>1515742.1609999996</v>
      </c>
      <c r="G145" s="203">
        <f>IF(F145=0,0,+F145/D145)</f>
        <v>30.606840744549995</v>
      </c>
      <c r="H145" s="214"/>
      <c r="I145" s="195"/>
      <c r="J145" s="47"/>
      <c r="K145" s="1732" t="s">
        <v>290</v>
      </c>
      <c r="L145" s="1733"/>
      <c r="M145" s="215" t="e">
        <f t="shared" ref="M145:T145" si="27">SUM(M142:M144)</f>
        <v>#REF!</v>
      </c>
      <c r="N145" s="216" t="e">
        <f t="shared" si="27"/>
        <v>#REF!</v>
      </c>
      <c r="O145" s="215" t="e">
        <f t="shared" si="27"/>
        <v>#REF!</v>
      </c>
      <c r="P145" s="216" t="e">
        <f t="shared" si="27"/>
        <v>#REF!</v>
      </c>
      <c r="Q145" s="215" t="e">
        <f t="shared" si="27"/>
        <v>#REF!</v>
      </c>
      <c r="R145" s="216" t="e">
        <f t="shared" si="27"/>
        <v>#REF!</v>
      </c>
      <c r="S145" s="215" t="e">
        <f t="shared" si="27"/>
        <v>#REF!</v>
      </c>
      <c r="T145" s="216" t="e">
        <f t="shared" si="27"/>
        <v>#REF!</v>
      </c>
    </row>
    <row r="146" spans="2:30" s="124" customFormat="1" ht="16.5" thickBot="1" x14ac:dyDescent="0.3">
      <c r="B146" s="391"/>
      <c r="C146" s="196" t="s">
        <v>291</v>
      </c>
      <c r="D146" s="197">
        <f>+N49</f>
        <v>86802.373599999977</v>
      </c>
      <c r="E146" s="198">
        <f>+D146/$D$153</f>
        <v>0.57270870098414861</v>
      </c>
      <c r="F146" s="197">
        <f>+O49</f>
        <v>2165158.4479999999</v>
      </c>
      <c r="G146" s="199">
        <f>IF(F146=0,0,+F146/D146)</f>
        <v>24.943539654542356</v>
      </c>
      <c r="H146" s="200"/>
      <c r="I146" s="195"/>
      <c r="J146" s="47"/>
      <c r="K146" s="1735"/>
      <c r="L146" s="1736"/>
      <c r="M146" s="1724">
        <v>2025</v>
      </c>
      <c r="N146" s="1734"/>
      <c r="O146" s="1724">
        <v>2030</v>
      </c>
      <c r="P146" s="1725"/>
      <c r="Q146" s="1724">
        <v>2035</v>
      </c>
      <c r="R146" s="1725"/>
      <c r="S146" s="1724">
        <v>2040</v>
      </c>
      <c r="T146" s="1725"/>
    </row>
    <row r="147" spans="2:30" s="124" customFormat="1" ht="17.25" thickTop="1" thickBot="1" x14ac:dyDescent="0.3">
      <c r="B147" s="1726" t="s">
        <v>287</v>
      </c>
      <c r="C147" s="1727"/>
      <c r="D147" s="201">
        <f>+D146+D145</f>
        <v>136325.36009999999</v>
      </c>
      <c r="E147" s="202">
        <f>+D147/$D$153</f>
        <v>0.89945374367121333</v>
      </c>
      <c r="F147" s="201">
        <f>+F146+F145</f>
        <v>3680900.6089999992</v>
      </c>
      <c r="G147" s="203">
        <f>IF(F147=0,0,+F147/D147)</f>
        <v>27.000850071475437</v>
      </c>
      <c r="H147" s="204">
        <f>F147/F153</f>
        <v>0.92599657265955737</v>
      </c>
      <c r="I147" s="205"/>
      <c r="J147" s="47"/>
      <c r="K147" s="1728" t="s">
        <v>286</v>
      </c>
      <c r="L147" s="1729"/>
      <c r="M147" s="393" t="e">
        <f>$F$143/#REF!</f>
        <v>#REF!</v>
      </c>
      <c r="N147" s="394" t="e">
        <f>M147/M150</f>
        <v>#REF!</v>
      </c>
      <c r="O147" s="393" t="e">
        <f>$F$143/#REF!</f>
        <v>#REF!</v>
      </c>
      <c r="P147" s="394" t="e">
        <f>O147/O150</f>
        <v>#REF!</v>
      </c>
      <c r="Q147" s="393" t="e">
        <f>$F$143/#REF!</f>
        <v>#REF!</v>
      </c>
      <c r="R147" s="394" t="e">
        <f>Q147/Q150</f>
        <v>#REF!</v>
      </c>
      <c r="S147" s="393" t="e">
        <f>$F$143/#REF!</f>
        <v>#REF!</v>
      </c>
      <c r="T147" s="394" t="e">
        <f>S147/S150</f>
        <v>#REF!</v>
      </c>
      <c r="U147" s="47"/>
      <c r="V147" s="47"/>
      <c r="W147" s="47"/>
      <c r="X147" s="47"/>
      <c r="Y147" s="47"/>
      <c r="Z147" s="47"/>
      <c r="AA147" s="47"/>
      <c r="AB147" s="47"/>
      <c r="AC147" s="47"/>
      <c r="AD147" s="47"/>
    </row>
    <row r="148" spans="2:30" s="124" customFormat="1" ht="16.5" thickBot="1" x14ac:dyDescent="0.3">
      <c r="B148" s="206"/>
      <c r="C148" s="207"/>
      <c r="D148" s="208"/>
      <c r="E148" s="209"/>
      <c r="F148" s="208"/>
      <c r="G148" s="210"/>
      <c r="H148" s="211"/>
      <c r="I148" s="205"/>
      <c r="J148" s="47"/>
      <c r="K148" s="1728" t="s">
        <v>287</v>
      </c>
      <c r="L148" s="1729"/>
      <c r="M148" s="393" t="e">
        <f>$F$147/#REF!</f>
        <v>#REF!</v>
      </c>
      <c r="N148" s="394" t="e">
        <f>M148/M150</f>
        <v>#REF!</v>
      </c>
      <c r="O148" s="393" t="e">
        <f>$F$147/#REF!</f>
        <v>#REF!</v>
      </c>
      <c r="P148" s="394" t="e">
        <f>O148/O150</f>
        <v>#REF!</v>
      </c>
      <c r="Q148" s="393" t="e">
        <f>$F$147/#REF!</f>
        <v>#REF!</v>
      </c>
      <c r="R148" s="394" t="e">
        <f>Q148/Q150</f>
        <v>#REF!</v>
      </c>
      <c r="S148" s="393" t="e">
        <f>$F$147/#REF!</f>
        <v>#REF!</v>
      </c>
      <c r="T148" s="394" t="e">
        <f>S148/S150</f>
        <v>#REF!</v>
      </c>
      <c r="U148" s="47"/>
      <c r="V148" s="47"/>
      <c r="W148" s="47"/>
      <c r="X148" s="47"/>
      <c r="Y148" s="47"/>
      <c r="Z148" s="47"/>
      <c r="AA148" s="47"/>
      <c r="AB148" s="47"/>
      <c r="AC148" s="47"/>
      <c r="AD148" s="47"/>
    </row>
    <row r="149" spans="2:30" s="124" customFormat="1" ht="16.5" thickBot="1" x14ac:dyDescent="0.3">
      <c r="B149" s="213"/>
      <c r="C149" s="392" t="s">
        <v>292</v>
      </c>
      <c r="D149" s="201">
        <f>+V49</f>
        <v>0</v>
      </c>
      <c r="E149" s="202">
        <f>+D149/$D$153</f>
        <v>0</v>
      </c>
      <c r="F149" s="201">
        <f>+W49</f>
        <v>0</v>
      </c>
      <c r="G149" s="203">
        <f>IF(F149=0,0,+F149/D149)</f>
        <v>0</v>
      </c>
      <c r="H149" s="214"/>
      <c r="I149" s="195"/>
      <c r="J149" s="47"/>
      <c r="K149" s="1730" t="s">
        <v>288</v>
      </c>
      <c r="L149" s="1731"/>
      <c r="M149" s="212">
        <v>0</v>
      </c>
      <c r="N149" s="395">
        <v>0</v>
      </c>
      <c r="O149" s="212">
        <v>0</v>
      </c>
      <c r="P149" s="395">
        <v>0</v>
      </c>
      <c r="Q149" s="212">
        <v>0</v>
      </c>
      <c r="R149" s="395">
        <v>0</v>
      </c>
      <c r="S149" s="212">
        <v>0</v>
      </c>
      <c r="T149" s="395">
        <v>0</v>
      </c>
      <c r="U149" s="47"/>
      <c r="V149" s="47"/>
      <c r="W149" s="47"/>
      <c r="X149" s="47"/>
      <c r="Y149" s="47"/>
      <c r="Z149" s="47"/>
      <c r="AA149" s="47"/>
      <c r="AB149" s="47"/>
      <c r="AC149" s="47"/>
      <c r="AD149" s="47"/>
    </row>
    <row r="150" spans="2:30" s="124" customFormat="1" ht="17.25" thickTop="1" thickBot="1" x14ac:dyDescent="0.3">
      <c r="B150" s="391"/>
      <c r="C150" s="196" t="s">
        <v>293</v>
      </c>
      <c r="D150" s="197">
        <f>+X49</f>
        <v>0</v>
      </c>
      <c r="E150" s="198">
        <f>+D150/$D$153</f>
        <v>0</v>
      </c>
      <c r="F150" s="217">
        <f>+Y49</f>
        <v>0</v>
      </c>
      <c r="G150" s="199">
        <f>IF(F150=0,0,+F150/D150)</f>
        <v>0</v>
      </c>
      <c r="H150" s="200"/>
      <c r="I150" s="195"/>
      <c r="J150" s="47"/>
      <c r="K150" s="1732" t="s">
        <v>290</v>
      </c>
      <c r="L150" s="1733"/>
      <c r="M150" s="215" t="e">
        <f>SUM(M147:M149)</f>
        <v>#REF!</v>
      </c>
      <c r="N150" s="216" t="e">
        <f>SUM(N147:N149)</f>
        <v>#REF!</v>
      </c>
      <c r="O150" s="215" t="e">
        <f>SUM(O147:O149)</f>
        <v>#REF!</v>
      </c>
      <c r="P150" s="216" t="e">
        <f>O150/O$150</f>
        <v>#REF!</v>
      </c>
      <c r="Q150" s="215" t="e">
        <f>SUM(Q147:Q149)</f>
        <v>#REF!</v>
      </c>
      <c r="R150" s="216" t="e">
        <f>Q150/Q$150</f>
        <v>#REF!</v>
      </c>
      <c r="S150" s="215" t="e">
        <f>SUM(S147:S149)</f>
        <v>#REF!</v>
      </c>
      <c r="T150" s="216" t="e">
        <f>S150/S$150</f>
        <v>#REF!</v>
      </c>
      <c r="U150" s="47"/>
      <c r="V150" s="47"/>
      <c r="W150" s="47"/>
      <c r="X150" s="47"/>
      <c r="Y150" s="47"/>
      <c r="Z150" s="47"/>
      <c r="AA150" s="47"/>
      <c r="AB150" s="47"/>
      <c r="AC150" s="47"/>
      <c r="AD150" s="47"/>
    </row>
    <row r="151" spans="2:30" s="124" customFormat="1" ht="17.25" thickTop="1" thickBot="1" x14ac:dyDescent="0.3">
      <c r="B151" s="1726" t="s">
        <v>288</v>
      </c>
      <c r="C151" s="1727"/>
      <c r="D151" s="201">
        <f>+D150+D149</f>
        <v>0</v>
      </c>
      <c r="E151" s="202">
        <f>+D151/$D$153</f>
        <v>0</v>
      </c>
      <c r="F151" s="201">
        <f>+F149+F150</f>
        <v>0</v>
      </c>
      <c r="G151" s="203">
        <f>IF(F151=0,0,+F151/D151)</f>
        <v>0</v>
      </c>
      <c r="H151" s="204">
        <f>F151/F153</f>
        <v>0</v>
      </c>
      <c r="I151" s="205"/>
      <c r="J151" s="47"/>
      <c r="K151" s="1735"/>
      <c r="L151" s="1736"/>
      <c r="M151" s="1724">
        <v>2045</v>
      </c>
      <c r="N151" s="1734"/>
      <c r="O151" s="1724">
        <v>2050</v>
      </c>
      <c r="P151" s="1734"/>
      <c r="Q151" s="47"/>
      <c r="R151" s="47"/>
      <c r="S151" s="47"/>
      <c r="T151" s="47"/>
      <c r="U151" s="47"/>
      <c r="V151" s="47"/>
      <c r="W151" s="47"/>
      <c r="X151" s="47"/>
      <c r="Y151" s="47"/>
      <c r="Z151" s="47"/>
      <c r="AA151" s="47"/>
      <c r="AB151" s="47"/>
      <c r="AC151" s="47"/>
      <c r="AD151" s="47"/>
    </row>
    <row r="152" spans="2:30" s="124" customFormat="1" ht="16.5" thickBot="1" x14ac:dyDescent="0.3">
      <c r="B152" s="206"/>
      <c r="C152" s="207"/>
      <c r="D152" s="208"/>
      <c r="E152" s="209"/>
      <c r="F152" s="208"/>
      <c r="G152" s="210"/>
      <c r="H152" s="211"/>
      <c r="I152" s="205"/>
      <c r="J152" s="47"/>
      <c r="K152" s="1728" t="s">
        <v>286</v>
      </c>
      <c r="L152" s="1729"/>
      <c r="M152" s="393" t="e">
        <f>$F$143/#REF!</f>
        <v>#REF!</v>
      </c>
      <c r="N152" s="394" t="e">
        <f>M152/M155</f>
        <v>#REF!</v>
      </c>
      <c r="O152" s="393" t="e">
        <f>$F$143/#REF!</f>
        <v>#REF!</v>
      </c>
      <c r="P152" s="394" t="e">
        <f>O152/O155</f>
        <v>#REF!</v>
      </c>
      <c r="Q152" s="47"/>
      <c r="R152" s="47"/>
      <c r="S152" s="47"/>
      <c r="T152" s="47"/>
      <c r="U152" s="47"/>
      <c r="V152" s="47"/>
      <c r="W152" s="47"/>
      <c r="X152" s="47"/>
      <c r="Y152" s="47"/>
      <c r="Z152" s="47"/>
      <c r="AA152" s="47"/>
      <c r="AB152" s="47"/>
      <c r="AC152" s="47"/>
      <c r="AD152" s="47"/>
    </row>
    <row r="153" spans="2:30" s="223" customFormat="1" ht="16.5" thickBot="1" x14ac:dyDescent="0.3">
      <c r="B153" s="1737" t="s">
        <v>290</v>
      </c>
      <c r="C153" s="1738"/>
      <c r="D153" s="218">
        <f>D143+D147+D151</f>
        <v>151564.61469999998</v>
      </c>
      <c r="E153" s="219">
        <f>+D153/$D$153</f>
        <v>1</v>
      </c>
      <c r="F153" s="218">
        <f>F143+F147+F151</f>
        <v>3975069.3659999995</v>
      </c>
      <c r="G153" s="220">
        <f>IF(F153=0,0,+F153/D153)</f>
        <v>26.226895861333258</v>
      </c>
      <c r="H153" s="221">
        <f>SUM(H143:H152)</f>
        <v>0.99999999999999989</v>
      </c>
      <c r="I153" s="222"/>
      <c r="J153" s="47"/>
      <c r="K153" s="1728" t="s">
        <v>287</v>
      </c>
      <c r="L153" s="1729"/>
      <c r="M153" s="393" t="e">
        <f>$F$147/#REF!</f>
        <v>#REF!</v>
      </c>
      <c r="N153" s="394" t="e">
        <f>M153/M155</f>
        <v>#REF!</v>
      </c>
      <c r="O153" s="393" t="e">
        <f>$F$147/#REF!</f>
        <v>#REF!</v>
      </c>
      <c r="P153" s="394" t="e">
        <f>O153/O155</f>
        <v>#REF!</v>
      </c>
      <c r="Q153" s="47"/>
      <c r="R153" s="47"/>
      <c r="S153" s="47"/>
      <c r="T153" s="47"/>
      <c r="U153" s="47"/>
      <c r="V153" s="47"/>
      <c r="W153" s="47"/>
      <c r="X153" s="47"/>
      <c r="Y153" s="47"/>
      <c r="Z153" s="47"/>
      <c r="AA153" s="47"/>
      <c r="AB153" s="47"/>
      <c r="AC153" s="47"/>
      <c r="AD153" s="47"/>
    </row>
    <row r="154" spans="2:30" s="124" customFormat="1" ht="16.5" thickBot="1" x14ac:dyDescent="0.3">
      <c r="G154" s="224"/>
      <c r="J154" s="47"/>
      <c r="K154" s="1730" t="s">
        <v>288</v>
      </c>
      <c r="L154" s="1731"/>
      <c r="M154" s="212">
        <v>0</v>
      </c>
      <c r="N154" s="395">
        <v>0</v>
      </c>
      <c r="O154" s="212"/>
      <c r="P154" s="395">
        <v>0</v>
      </c>
      <c r="Q154" s="47"/>
      <c r="R154" s="47"/>
      <c r="S154" s="47"/>
      <c r="T154" s="47"/>
      <c r="U154" s="47"/>
      <c r="V154" s="47"/>
      <c r="W154" s="47"/>
      <c r="X154" s="47"/>
      <c r="Y154" s="47"/>
      <c r="Z154" s="47"/>
      <c r="AA154" s="47"/>
      <c r="AB154" s="47"/>
      <c r="AC154" s="47"/>
      <c r="AD154" s="47"/>
    </row>
    <row r="155" spans="2:30" ht="17.25" thickTop="1" thickBot="1" x14ac:dyDescent="0.3">
      <c r="K155" s="1732" t="s">
        <v>290</v>
      </c>
      <c r="L155" s="1733"/>
      <c r="M155" s="215" t="e">
        <f>SUM(M152:M154)</f>
        <v>#REF!</v>
      </c>
      <c r="N155" s="216" t="e">
        <f>M155/M$155</f>
        <v>#REF!</v>
      </c>
      <c r="O155" s="215" t="e">
        <f>SUM(O152:O154)</f>
        <v>#REF!</v>
      </c>
      <c r="P155" s="216"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AdoptDec"/>
  <dimension ref="A1:L97"/>
  <sheetViews>
    <sheetView zoomScale="85" zoomScaleNormal="85" workbookViewId="0">
      <selection activeCell="F21" sqref="F21"/>
    </sheetView>
  </sheetViews>
  <sheetFormatPr defaultColWidth="9.140625" defaultRowHeight="15" x14ac:dyDescent="0.25"/>
  <cols>
    <col min="1" max="2" width="9.140625" style="12"/>
    <col min="3" max="3" width="12.42578125" style="12" bestFit="1" customWidth="1"/>
    <col min="4" max="4" width="9.28515625" style="12" bestFit="1" customWidth="1"/>
    <col min="5" max="6" width="9.140625" style="12"/>
    <col min="7" max="7" width="0" style="12" hidden="1" customWidth="1"/>
    <col min="8" max="16384" width="9.140625" style="12"/>
  </cols>
  <sheetData>
    <row r="1" spans="1:12" x14ac:dyDescent="0.25">
      <c r="A1" s="12" t="s">
        <v>57</v>
      </c>
      <c r="G1" s="13"/>
    </row>
    <row r="2" spans="1:12" ht="30" x14ac:dyDescent="0.25">
      <c r="A2" s="14" t="s">
        <v>58</v>
      </c>
      <c r="B2" s="14" t="s">
        <v>59</v>
      </c>
      <c r="C2" s="14" t="s">
        <v>60</v>
      </c>
    </row>
    <row r="3" spans="1:12" x14ac:dyDescent="0.25">
      <c r="A3" s="12">
        <v>1</v>
      </c>
      <c r="B3" s="15">
        <v>0.16400000000000001</v>
      </c>
      <c r="C3" s="16">
        <f>C4+B3</f>
        <v>1</v>
      </c>
    </row>
    <row r="4" spans="1:12" x14ac:dyDescent="0.25">
      <c r="A4" s="12">
        <v>2</v>
      </c>
      <c r="B4" s="15">
        <v>0.61699999999999999</v>
      </c>
      <c r="C4" s="16">
        <f>C5+B4</f>
        <v>0.83599999999999997</v>
      </c>
    </row>
    <row r="5" spans="1:12" x14ac:dyDescent="0.25">
      <c r="A5" s="12">
        <v>3</v>
      </c>
      <c r="B5" s="15">
        <v>0.155</v>
      </c>
      <c r="C5" s="16">
        <f>C6+B5</f>
        <v>0.219</v>
      </c>
    </row>
    <row r="6" spans="1:12" x14ac:dyDescent="0.25">
      <c r="A6" s="12">
        <v>4</v>
      </c>
      <c r="B6" s="15">
        <v>6.4000000000000001E-2</v>
      </c>
      <c r="C6" s="16">
        <f>B6</f>
        <v>6.4000000000000001E-2</v>
      </c>
    </row>
    <row r="7" spans="1:12" x14ac:dyDescent="0.25">
      <c r="B7" s="15"/>
      <c r="C7" s="16"/>
    </row>
    <row r="8" spans="1:12" x14ac:dyDescent="0.25">
      <c r="B8" s="17"/>
      <c r="D8" s="374">
        <v>12</v>
      </c>
      <c r="E8" s="12">
        <v>6</v>
      </c>
      <c r="F8" s="12">
        <v>0</v>
      </c>
      <c r="G8" s="12">
        <v>3</v>
      </c>
      <c r="H8" s="12" t="s">
        <v>61</v>
      </c>
      <c r="J8" s="18">
        <v>12</v>
      </c>
      <c r="K8" s="12">
        <v>6</v>
      </c>
      <c r="L8" s="12">
        <v>0</v>
      </c>
    </row>
    <row r="9" spans="1:12" x14ac:dyDescent="0.25">
      <c r="B9" s="17"/>
      <c r="D9" s="17">
        <v>2.5</v>
      </c>
      <c r="E9" s="19">
        <v>1.8</v>
      </c>
      <c r="F9" s="19">
        <v>1.8</v>
      </c>
      <c r="G9" s="19">
        <v>1.8</v>
      </c>
      <c r="H9" s="12" t="s">
        <v>62</v>
      </c>
      <c r="J9" s="19">
        <v>2.5</v>
      </c>
      <c r="K9" s="19">
        <v>1.8</v>
      </c>
      <c r="L9" s="19">
        <v>1.8</v>
      </c>
    </row>
    <row r="10" spans="1:12" x14ac:dyDescent="0.25">
      <c r="B10" s="17"/>
      <c r="C10" s="12" t="s">
        <v>63</v>
      </c>
      <c r="D10" s="17">
        <v>2</v>
      </c>
      <c r="E10" s="19">
        <v>2</v>
      </c>
      <c r="F10" s="19">
        <v>1.6</v>
      </c>
      <c r="G10" s="19">
        <v>1.5</v>
      </c>
      <c r="H10" s="12" t="s">
        <v>64</v>
      </c>
      <c r="J10" s="19">
        <v>2</v>
      </c>
      <c r="K10" s="19">
        <v>2</v>
      </c>
      <c r="L10" s="19">
        <v>1.6</v>
      </c>
    </row>
    <row r="11" spans="1:12" x14ac:dyDescent="0.25">
      <c r="B11" s="17" t="s">
        <v>65</v>
      </c>
      <c r="C11" s="376" t="s">
        <v>66</v>
      </c>
      <c r="D11" s="377" t="s">
        <v>114</v>
      </c>
      <c r="E11" s="378" t="s">
        <v>115</v>
      </c>
      <c r="F11" s="378" t="s">
        <v>120</v>
      </c>
      <c r="G11" s="12" t="s">
        <v>67</v>
      </c>
    </row>
    <row r="12" spans="1:12" x14ac:dyDescent="0.25">
      <c r="B12" s="17">
        <v>0</v>
      </c>
      <c r="C12" s="376"/>
      <c r="D12" s="379">
        <f t="shared" ref="D12:G31" si="0">IF($B12&lt;D$8,1,1-WEIBULL(($B12/12)-D$8/12,D$9,D$10,1))</f>
        <v>1</v>
      </c>
      <c r="E12" s="380">
        <f t="shared" si="0"/>
        <v>1</v>
      </c>
      <c r="F12" s="380">
        <f t="shared" si="0"/>
        <v>1</v>
      </c>
      <c r="G12" s="20">
        <f t="shared" si="0"/>
        <v>1</v>
      </c>
    </row>
    <row r="13" spans="1:12" x14ac:dyDescent="0.25">
      <c r="B13" s="17">
        <v>1</v>
      </c>
      <c r="C13" s="376"/>
      <c r="D13" s="379">
        <f t="shared" si="0"/>
        <v>1</v>
      </c>
      <c r="E13" s="380">
        <f t="shared" si="0"/>
        <v>1</v>
      </c>
      <c r="F13" s="380">
        <f t="shared" si="0"/>
        <v>0.99511353784223089</v>
      </c>
      <c r="G13" s="20">
        <f t="shared" si="0"/>
        <v>1</v>
      </c>
    </row>
    <row r="14" spans="1:12" x14ac:dyDescent="0.25">
      <c r="B14" s="17">
        <v>2</v>
      </c>
      <c r="C14" s="376"/>
      <c r="D14" s="379">
        <f t="shared" si="0"/>
        <v>1</v>
      </c>
      <c r="E14" s="380">
        <f t="shared" si="0"/>
        <v>1</v>
      </c>
      <c r="F14" s="380">
        <f t="shared" si="0"/>
        <v>0.98308729447888632</v>
      </c>
      <c r="G14" s="20">
        <f t="shared" si="0"/>
        <v>1</v>
      </c>
    </row>
    <row r="15" spans="1:12" x14ac:dyDescent="0.25">
      <c r="B15" s="17">
        <v>3</v>
      </c>
      <c r="C15" s="376"/>
      <c r="D15" s="379">
        <f t="shared" si="0"/>
        <v>1</v>
      </c>
      <c r="E15" s="380">
        <f t="shared" si="0"/>
        <v>1</v>
      </c>
      <c r="F15" s="380">
        <f t="shared" si="0"/>
        <v>0.96522925875930121</v>
      </c>
      <c r="G15" s="20">
        <f t="shared" si="0"/>
        <v>1</v>
      </c>
    </row>
    <row r="16" spans="1:12" x14ac:dyDescent="0.25">
      <c r="B16" s="17">
        <v>4</v>
      </c>
      <c r="C16" s="376"/>
      <c r="D16" s="379">
        <f t="shared" si="0"/>
        <v>1</v>
      </c>
      <c r="E16" s="380">
        <f t="shared" si="0"/>
        <v>1</v>
      </c>
      <c r="F16" s="380">
        <f t="shared" si="0"/>
        <v>0.94233242615650892</v>
      </c>
      <c r="G16" s="20">
        <f t="shared" si="0"/>
        <v>0.99451324807130903</v>
      </c>
    </row>
    <row r="17" spans="2:7" x14ac:dyDescent="0.25">
      <c r="B17" s="17">
        <v>5</v>
      </c>
      <c r="C17" s="376"/>
      <c r="D17" s="379">
        <f t="shared" si="0"/>
        <v>1</v>
      </c>
      <c r="E17" s="380">
        <f t="shared" si="0"/>
        <v>1</v>
      </c>
      <c r="F17" s="380">
        <f t="shared" si="0"/>
        <v>0.91506768709608055</v>
      </c>
      <c r="G17" s="20">
        <f t="shared" si="0"/>
        <v>0.98102377196290125</v>
      </c>
    </row>
    <row r="18" spans="2:7" x14ac:dyDescent="0.25">
      <c r="B18" s="17">
        <v>6</v>
      </c>
      <c r="C18" s="376"/>
      <c r="D18" s="379">
        <f t="shared" si="0"/>
        <v>1</v>
      </c>
      <c r="E18" s="379">
        <f t="shared" si="0"/>
        <v>1</v>
      </c>
      <c r="F18" s="380">
        <f t="shared" si="0"/>
        <v>0.88405689607151994</v>
      </c>
      <c r="G18" s="20">
        <f t="shared" si="0"/>
        <v>0.9610304919278353</v>
      </c>
    </row>
    <row r="19" spans="2:7" x14ac:dyDescent="0.25">
      <c r="B19" s="17">
        <v>7</v>
      </c>
      <c r="C19" s="376"/>
      <c r="D19" s="379">
        <f t="shared" si="0"/>
        <v>1</v>
      </c>
      <c r="E19" s="380">
        <f t="shared" si="0"/>
        <v>0.99672728540702971</v>
      </c>
      <c r="F19" s="380">
        <f t="shared" si="0"/>
        <v>0.849894901833256</v>
      </c>
      <c r="G19" s="20">
        <f t="shared" si="0"/>
        <v>0.93546263434260146</v>
      </c>
    </row>
    <row r="20" spans="2:7" x14ac:dyDescent="0.25">
      <c r="B20" s="17">
        <v>8</v>
      </c>
      <c r="C20" s="376"/>
      <c r="D20" s="379">
        <f t="shared" si="0"/>
        <v>1</v>
      </c>
      <c r="E20" s="380">
        <f t="shared" si="0"/>
        <v>0.98864996001381644</v>
      </c>
      <c r="F20" s="380">
        <f t="shared" si="0"/>
        <v>0.8131554612767673</v>
      </c>
      <c r="G20" s="20">
        <f t="shared" si="0"/>
        <v>0.90511715028610329</v>
      </c>
    </row>
    <row r="21" spans="2:7" x14ac:dyDescent="0.25">
      <c r="B21" s="17">
        <v>9</v>
      </c>
      <c r="C21" s="376"/>
      <c r="D21" s="379">
        <f t="shared" si="0"/>
        <v>1</v>
      </c>
      <c r="E21" s="380">
        <f t="shared" si="0"/>
        <v>0.97659517170432097</v>
      </c>
      <c r="F21" s="380">
        <f t="shared" si="0"/>
        <v>0.77439085187439527</v>
      </c>
      <c r="G21" s="20">
        <f t="shared" si="0"/>
        <v>0.87073765362737432</v>
      </c>
    </row>
    <row r="22" spans="2:7" x14ac:dyDescent="0.25">
      <c r="B22" s="17">
        <v>10</v>
      </c>
      <c r="C22" s="376"/>
      <c r="D22" s="379">
        <f t="shared" si="0"/>
        <v>1</v>
      </c>
      <c r="E22" s="380">
        <f t="shared" si="0"/>
        <v>0.9610304919278353</v>
      </c>
      <c r="F22" s="380">
        <f t="shared" si="0"/>
        <v>0.73412889005897974</v>
      </c>
      <c r="G22" s="20">
        <f t="shared" si="0"/>
        <v>0.83303645025329565</v>
      </c>
    </row>
    <row r="23" spans="2:7" x14ac:dyDescent="0.25">
      <c r="B23" s="17">
        <v>11</v>
      </c>
      <c r="C23" s="376"/>
      <c r="D23" s="379">
        <f t="shared" si="0"/>
        <v>1</v>
      </c>
      <c r="E23" s="380">
        <f t="shared" si="0"/>
        <v>0.94233242615650892</v>
      </c>
      <c r="F23" s="380">
        <f t="shared" si="0"/>
        <v>0.6928690310460901</v>
      </c>
      <c r="G23" s="20">
        <f t="shared" si="0"/>
        <v>0.79269883747074243</v>
      </c>
    </row>
    <row r="24" spans="2:7" x14ac:dyDescent="0.25">
      <c r="B24" s="17">
        <v>12</v>
      </c>
      <c r="C24" s="381">
        <f>C3</f>
        <v>1</v>
      </c>
      <c r="D24" s="379">
        <f t="shared" si="0"/>
        <v>1</v>
      </c>
      <c r="E24" s="380">
        <f t="shared" si="0"/>
        <v>0.92083975837910714</v>
      </c>
      <c r="F24" s="380">
        <f t="shared" si="0"/>
        <v>0.65107840109915838</v>
      </c>
      <c r="G24" s="20">
        <f t="shared" si="0"/>
        <v>0.7503807093706214</v>
      </c>
    </row>
    <row r="25" spans="2:7" x14ac:dyDescent="0.25">
      <c r="B25" s="17">
        <v>13</v>
      </c>
      <c r="C25" s="376"/>
      <c r="D25" s="379">
        <f t="shared" si="0"/>
        <v>0.99964568058937042</v>
      </c>
      <c r="E25" s="380">
        <f t="shared" si="0"/>
        <v>0.89687217424956167</v>
      </c>
      <c r="F25" s="380">
        <f t="shared" si="0"/>
        <v>0.60918822454710841</v>
      </c>
      <c r="G25" s="20">
        <f t="shared" si="0"/>
        <v>0.70670365308621608</v>
      </c>
    </row>
    <row r="26" spans="2:7" x14ac:dyDescent="0.25">
      <c r="B26" s="17">
        <v>14</v>
      </c>
      <c r="C26" s="376"/>
      <c r="D26" s="379">
        <f t="shared" si="0"/>
        <v>0.99799731961111438</v>
      </c>
      <c r="E26" s="380">
        <f t="shared" si="0"/>
        <v>0.87073765362737421</v>
      </c>
      <c r="F26" s="380">
        <f t="shared" si="0"/>
        <v>0.56759090033085191</v>
      </c>
      <c r="G26" s="20">
        <f t="shared" si="0"/>
        <v>0.66224943157372418</v>
      </c>
    </row>
    <row r="27" spans="2:7" x14ac:dyDescent="0.25">
      <c r="B27" s="17">
        <v>15</v>
      </c>
      <c r="C27" s="376"/>
      <c r="D27" s="379">
        <f t="shared" si="0"/>
        <v>0.99449095900190587</v>
      </c>
      <c r="E27" s="380">
        <f t="shared" si="0"/>
        <v>0.84273521299425513</v>
      </c>
      <c r="F27" s="380">
        <f t="shared" si="0"/>
        <v>0.52663785977915145</v>
      </c>
      <c r="G27" s="20">
        <f t="shared" si="0"/>
        <v>0.61755480964169096</v>
      </c>
    </row>
    <row r="28" spans="2:7" x14ac:dyDescent="0.25">
      <c r="B28" s="17">
        <v>16</v>
      </c>
      <c r="C28" s="376"/>
      <c r="D28" s="379">
        <f t="shared" si="0"/>
        <v>0.9887238277478988</v>
      </c>
      <c r="E28" s="380">
        <f t="shared" si="0"/>
        <v>0.8131554612767673</v>
      </c>
      <c r="F28" s="380">
        <f t="shared" si="0"/>
        <v>0.48663825796023608</v>
      </c>
      <c r="G28" s="20">
        <f t="shared" si="0"/>
        <v>0.57310722900849687</v>
      </c>
    </row>
    <row r="29" spans="2:7" x14ac:dyDescent="0.25">
      <c r="B29" s="17">
        <v>17</v>
      </c>
      <c r="C29" s="376"/>
      <c r="D29" s="379">
        <f t="shared" si="0"/>
        <v>0.9803843728316719</v>
      </c>
      <c r="E29" s="380">
        <f t="shared" si="0"/>
        <v>0.78228006940691508</v>
      </c>
      <c r="F29" s="380">
        <f t="shared" si="0"/>
        <v>0.44785849671753875</v>
      </c>
      <c r="G29" s="20">
        <f t="shared" si="0"/>
        <v>0.52934159132599801</v>
      </c>
    </row>
    <row r="30" spans="2:7" x14ac:dyDescent="0.25">
      <c r="B30" s="17">
        <v>18</v>
      </c>
      <c r="C30" s="376"/>
      <c r="D30" s="379">
        <f t="shared" si="0"/>
        <v>0.96923323447634413</v>
      </c>
      <c r="E30" s="379">
        <f t="shared" si="0"/>
        <v>0.7503807093706214</v>
      </c>
      <c r="F30" s="380">
        <f t="shared" si="0"/>
        <v>0.41052253926958016</v>
      </c>
      <c r="G30" s="20">
        <f t="shared" si="0"/>
        <v>0.48663825796023596</v>
      </c>
    </row>
    <row r="31" spans="2:7" x14ac:dyDescent="0.25">
      <c r="B31" s="17">
        <v>19</v>
      </c>
      <c r="C31" s="376"/>
      <c r="D31" s="379">
        <f t="shared" si="0"/>
        <v>0.95509663904843412</v>
      </c>
      <c r="E31" s="380">
        <f t="shared" si="0"/>
        <v>0.71771776988961988</v>
      </c>
      <c r="F31" s="380">
        <f t="shared" si="0"/>
        <v>0.374812949261631</v>
      </c>
      <c r="G31" s="20">
        <f t="shared" si="0"/>
        <v>0.44532227679677683</v>
      </c>
    </row>
    <row r="32" spans="2:7" x14ac:dyDescent="0.25">
      <c r="B32" s="17">
        <v>20</v>
      </c>
      <c r="C32" s="376"/>
      <c r="D32" s="379">
        <f t="shared" ref="D32:G51" si="1">IF($B32&lt;D$8,1,1-WEIBULL(($B32/12)-D$8/12,D$9,D$10,1))</f>
        <v>0.93786428128134647</v>
      </c>
      <c r="E32" s="380">
        <f t="shared" si="1"/>
        <v>0.68453902988131765</v>
      </c>
      <c r="F32" s="380">
        <f t="shared" si="1"/>
        <v>0.34087256868851834</v>
      </c>
      <c r="G32" s="20">
        <f t="shared" si="1"/>
        <v>0.4056637788810421</v>
      </c>
    </row>
    <row r="33" spans="2:7" x14ac:dyDescent="0.25">
      <c r="B33" s="17">
        <v>21</v>
      </c>
      <c r="C33" s="376"/>
      <c r="D33" s="379">
        <f t="shared" si="1"/>
        <v>0.9174888297657835</v>
      </c>
      <c r="E33" s="380">
        <f t="shared" si="1"/>
        <v>0.65107840109915838</v>
      </c>
      <c r="F33" s="380">
        <f t="shared" si="1"/>
        <v>0.30880673745940412</v>
      </c>
      <c r="G33" s="20">
        <f t="shared" si="1"/>
        <v>0.36787944117144233</v>
      </c>
    </row>
    <row r="34" spans="2:7" x14ac:dyDescent="0.25">
      <c r="B34" s="17">
        <v>22</v>
      </c>
      <c r="C34" s="376"/>
      <c r="D34" s="379">
        <f t="shared" si="1"/>
        <v>0.89398570815371281</v>
      </c>
      <c r="E34" s="380">
        <f t="shared" si="1"/>
        <v>0.61755480964169096</v>
      </c>
      <c r="F34" s="380">
        <f t="shared" si="1"/>
        <v>0.27868595134134</v>
      </c>
      <c r="G34" s="20">
        <f t="shared" si="1"/>
        <v>0.33213488060513152</v>
      </c>
    </row>
    <row r="35" spans="2:7" x14ac:dyDescent="0.25">
      <c r="B35" s="17">
        <v>23</v>
      </c>
      <c r="C35" s="376"/>
      <c r="D35" s="379">
        <f t="shared" si="1"/>
        <v>0.86743240787387288</v>
      </c>
      <c r="E35" s="380">
        <f t="shared" si="1"/>
        <v>0.58417125928962133</v>
      </c>
      <c r="F35" s="380">
        <f t="shared" si="1"/>
        <v>0.25054885364370327</v>
      </c>
      <c r="G35" s="20">
        <f t="shared" si="1"/>
        <v>0.29854782574943706</v>
      </c>
    </row>
    <row r="36" spans="2:7" x14ac:dyDescent="0.25">
      <c r="B36" s="17">
        <v>24</v>
      </c>
      <c r="C36" s="381">
        <f>C4</f>
        <v>0.83599999999999997</v>
      </c>
      <c r="D36" s="379">
        <f t="shared" si="1"/>
        <v>0.83796688557875576</v>
      </c>
      <c r="E36" s="380">
        <f t="shared" si="1"/>
        <v>0.55111410145330775</v>
      </c>
      <c r="F36" s="380">
        <f t="shared" si="1"/>
        <v>0.22440545846436388</v>
      </c>
      <c r="G36" s="20">
        <f t="shared" si="1"/>
        <v>0.26719190325625874</v>
      </c>
    </row>
    <row r="37" spans="2:7" x14ac:dyDescent="0.25">
      <c r="B37" s="17">
        <v>25</v>
      </c>
      <c r="C37" s="376"/>
      <c r="D37" s="379">
        <f t="shared" si="1"/>
        <v>0.80578477749724886</v>
      </c>
      <c r="E37" s="380">
        <f t="shared" si="1"/>
        <v>0.51855252354036319</v>
      </c>
      <c r="F37" s="380">
        <f t="shared" si="1"/>
        <v>0.20024050885898936</v>
      </c>
      <c r="G37" s="20">
        <f t="shared" si="1"/>
        <v>0.23810087536176749</v>
      </c>
    </row>
    <row r="38" spans="2:7" x14ac:dyDescent="0.25">
      <c r="B38" s="17">
        <v>26</v>
      </c>
      <c r="C38" s="376"/>
      <c r="D38" s="379">
        <f t="shared" si="1"/>
        <v>0.77113529134046965</v>
      </c>
      <c r="E38" s="380">
        <f t="shared" si="1"/>
        <v>0.48663825796023608</v>
      </c>
      <c r="F38" s="380">
        <f t="shared" si="1"/>
        <v>0.17801688121859338</v>
      </c>
      <c r="G38" s="20">
        <f t="shared" si="1"/>
        <v>0.21127317023397207</v>
      </c>
    </row>
    <row r="39" spans="2:7" x14ac:dyDescent="0.25">
      <c r="B39" s="17">
        <v>27</v>
      </c>
      <c r="C39" s="376"/>
      <c r="D39" s="379">
        <f t="shared" si="1"/>
        <v>0.73431574119168719</v>
      </c>
      <c r="E39" s="380">
        <f t="shared" si="1"/>
        <v>0.45550550673418788</v>
      </c>
      <c r="F39" s="380">
        <f t="shared" si="1"/>
        <v>0.15767895679748034</v>
      </c>
      <c r="G39" s="20">
        <f t="shared" si="1"/>
        <v>0.18667655766055047</v>
      </c>
    </row>
    <row r="40" spans="2:7" x14ac:dyDescent="0.25">
      <c r="B40" s="17">
        <v>28</v>
      </c>
      <c r="C40" s="376"/>
      <c r="D40" s="379">
        <f t="shared" si="1"/>
        <v>0.69566478229732487</v>
      </c>
      <c r="E40" s="380">
        <f t="shared" si="1"/>
        <v>0.42527107116174789</v>
      </c>
      <c r="F40" s="380">
        <f t="shared" si="1"/>
        <v>0.13915589212694768</v>
      </c>
      <c r="G40" s="20">
        <f t="shared" si="1"/>
        <v>0.1642528370875127</v>
      </c>
    </row>
    <row r="41" spans="2:7" x14ac:dyDescent="0.25">
      <c r="B41" s="17">
        <v>29</v>
      </c>
      <c r="C41" s="376"/>
      <c r="D41" s="379">
        <f t="shared" si="1"/>
        <v>0.65555448400571326</v>
      </c>
      <c r="E41" s="380">
        <f t="shared" si="1"/>
        <v>0.39603467182812513</v>
      </c>
      <c r="F41" s="380">
        <f t="shared" si="1"/>
        <v>0.12236473144151083</v>
      </c>
      <c r="G41" s="20">
        <f t="shared" si="1"/>
        <v>0.143922422166186</v>
      </c>
    </row>
    <row r="42" spans="2:7" x14ac:dyDescent="0.25">
      <c r="B42" s="17">
        <v>30</v>
      </c>
      <c r="C42" s="376"/>
      <c r="D42" s="379">
        <f t="shared" si="1"/>
        <v>0.61438145002028</v>
      </c>
      <c r="E42" s="379">
        <f t="shared" si="1"/>
        <v>0.36787944117144233</v>
      </c>
      <c r="F42" s="380">
        <f t="shared" si="1"/>
        <v>0.10721331576175563</v>
      </c>
      <c r="G42" s="20">
        <f t="shared" si="1"/>
        <v>0.12558872465487203</v>
      </c>
    </row>
    <row r="43" spans="2:7" x14ac:dyDescent="0.25">
      <c r="B43" s="17">
        <v>31</v>
      </c>
      <c r="C43" s="376"/>
      <c r="D43" s="379">
        <f t="shared" si="1"/>
        <v>0.57255725386160194</v>
      </c>
      <c r="E43" s="380">
        <f t="shared" si="1"/>
        <v>0.34087256868851834</v>
      </c>
      <c r="F43" s="380">
        <f t="shared" si="1"/>
        <v>9.3602954519502735E-2</v>
      </c>
      <c r="G43" s="20">
        <f t="shared" si="1"/>
        <v>0.10914225979259551</v>
      </c>
    </row>
    <row r="44" spans="2:7" x14ac:dyDescent="0.25">
      <c r="B44" s="17">
        <v>32</v>
      </c>
      <c r="C44" s="376"/>
      <c r="D44" s="379">
        <f t="shared" si="1"/>
        <v>0.53049850169371948</v>
      </c>
      <c r="E44" s="380">
        <f t="shared" si="1"/>
        <v>0.31506607751012794</v>
      </c>
      <c r="F44" s="380">
        <f t="shared" si="1"/>
        <v>8.1430836248249538E-2</v>
      </c>
      <c r="G44" s="20">
        <f t="shared" si="1"/>
        <v>9.4464414295467924E-2</v>
      </c>
    </row>
    <row r="45" spans="2:7" x14ac:dyDescent="0.25">
      <c r="B45" s="17">
        <v>33</v>
      </c>
      <c r="C45" s="376"/>
      <c r="D45" s="379">
        <f t="shared" si="1"/>
        <v>0.48861686235154222</v>
      </c>
      <c r="E45" s="380">
        <f t="shared" si="1"/>
        <v>0.29049771041246508</v>
      </c>
      <c r="F45" s="380">
        <f t="shared" si="1"/>
        <v>7.0592164639350474E-2</v>
      </c>
      <c r="G45" s="20">
        <f t="shared" si="1"/>
        <v>8.1430836248249538E-2</v>
      </c>
    </row>
    <row r="46" spans="2:7" x14ac:dyDescent="0.25">
      <c r="B46" s="17">
        <v>34</v>
      </c>
      <c r="C46" s="376"/>
      <c r="D46" s="379">
        <f t="shared" si="1"/>
        <v>0.44730941399885382</v>
      </c>
      <c r="E46" s="380">
        <f t="shared" si="1"/>
        <v>0.26719190325625874</v>
      </c>
      <c r="F46" s="380">
        <f t="shared" si="1"/>
        <v>6.0982014997255418E-2</v>
      </c>
      <c r="G46" s="20">
        <f t="shared" si="1"/>
        <v>6.9914422850488989E-2</v>
      </c>
    </row>
    <row r="47" spans="2:7" x14ac:dyDescent="0.25">
      <c r="B47" s="17">
        <v>35</v>
      </c>
      <c r="C47" s="376"/>
      <c r="D47" s="379">
        <f t="shared" si="1"/>
        <v>0.406949647740664</v>
      </c>
      <c r="E47" s="380">
        <f t="shared" si="1"/>
        <v>0.24516082427257391</v>
      </c>
      <c r="F47" s="380">
        <f t="shared" si="1"/>
        <v>5.2496913696447711E-2</v>
      </c>
      <c r="G47" s="20">
        <f t="shared" si="1"/>
        <v>5.9787896848882749E-2</v>
      </c>
    </row>
    <row r="48" spans="2:7" x14ac:dyDescent="0.25">
      <c r="B48" s="17">
        <v>36</v>
      </c>
      <c r="C48" s="381">
        <f>C5</f>
        <v>0.219</v>
      </c>
      <c r="D48" s="379">
        <f t="shared" si="1"/>
        <v>0.36787944117144233</v>
      </c>
      <c r="E48" s="380">
        <f t="shared" si="1"/>
        <v>0.22440545846436388</v>
      </c>
      <c r="F48" s="380">
        <f t="shared" si="1"/>
        <v>4.5036149589259722E-2</v>
      </c>
      <c r="G48" s="20">
        <f t="shared" si="1"/>
        <v>5.0925975301708948E-2</v>
      </c>
    </row>
    <row r="49" spans="2:7" x14ac:dyDescent="0.25">
      <c r="B49" s="17">
        <v>37</v>
      </c>
      <c r="C49" s="376"/>
      <c r="D49" s="379">
        <f t="shared" si="1"/>
        <v>0.33040227085122265</v>
      </c>
      <c r="E49" s="380">
        <f t="shared" si="1"/>
        <v>0.20491671758931851</v>
      </c>
      <c r="F49" s="380">
        <f t="shared" si="1"/>
        <v>3.850283143025035E-2</v>
      </c>
      <c r="G49" s="20">
        <f t="shared" si="1"/>
        <v>4.3207144956392884E-2</v>
      </c>
    </row>
    <row r="50" spans="2:7" x14ac:dyDescent="0.25">
      <c r="B50" s="17">
        <v>38</v>
      </c>
      <c r="C50" s="376"/>
      <c r="D50" s="379">
        <f t="shared" si="1"/>
        <v>0.29477787472512929</v>
      </c>
      <c r="E50" s="380">
        <f t="shared" si="1"/>
        <v>0.18667655766055047</v>
      </c>
      <c r="F50" s="380">
        <f t="shared" si="1"/>
        <v>3.2804709305761293E-2</v>
      </c>
      <c r="G50" s="20">
        <f t="shared" si="1"/>
        <v>3.6515066962736542E-2</v>
      </c>
    </row>
    <row r="51" spans="2:7" x14ac:dyDescent="0.25">
      <c r="B51" s="17">
        <v>39</v>
      </c>
      <c r="C51" s="376"/>
      <c r="D51" s="379">
        <f t="shared" si="1"/>
        <v>0.26121850711209382</v>
      </c>
      <c r="E51" s="380">
        <f t="shared" si="1"/>
        <v>0.16965908757950587</v>
      </c>
      <c r="F51" s="380">
        <f t="shared" si="1"/>
        <v>2.7854780858086459E-2</v>
      </c>
      <c r="G51" s="20">
        <f t="shared" si="1"/>
        <v>3.0739639965612686E-2</v>
      </c>
    </row>
    <row r="52" spans="2:7" x14ac:dyDescent="0.25">
      <c r="B52" s="17">
        <v>40</v>
      </c>
      <c r="C52" s="376"/>
      <c r="D52" s="379">
        <f t="shared" ref="D52:G71" si="2">IF($B52&lt;D$8,1,1-WEIBULL(($B52/12)-D$8/12,D$9,D$10,1))</f>
        <v>0.22988685432773637</v>
      </c>
      <c r="E52" s="380">
        <f t="shared" si="2"/>
        <v>0.1538316543371343</v>
      </c>
      <c r="F52" s="380">
        <f t="shared" si="2"/>
        <v>2.3571704870276933E-2</v>
      </c>
      <c r="G52" s="20">
        <f t="shared" si="2"/>
        <v>2.5777754964941835E-2</v>
      </c>
    </row>
    <row r="53" spans="2:7" x14ac:dyDescent="0.25">
      <c r="B53" s="17">
        <v>41</v>
      </c>
      <c r="C53" s="376"/>
      <c r="D53" s="379">
        <f t="shared" si="2"/>
        <v>0.20089560287817543</v>
      </c>
      <c r="E53" s="380">
        <f t="shared" si="2"/>
        <v>0.13915589212694768</v>
      </c>
      <c r="F53" s="380">
        <f t="shared" si="2"/>
        <v>1.9880045646170408E-2</v>
      </c>
      <c r="G53" s="20">
        <f t="shared" si="2"/>
        <v>2.1533777891509898E-2</v>
      </c>
    </row>
    <row r="54" spans="2:7" x14ac:dyDescent="0.25">
      <c r="B54" s="17">
        <v>42</v>
      </c>
      <c r="C54" s="376"/>
      <c r="D54" s="379">
        <f t="shared" si="2"/>
        <v>0.17430857908883035</v>
      </c>
      <c r="E54" s="380">
        <f t="shared" si="2"/>
        <v>0.12558872465487203</v>
      </c>
      <c r="F54" s="380">
        <f t="shared" si="2"/>
        <v>1.6710371707806315E-2</v>
      </c>
      <c r="G54" s="20">
        <f t="shared" si="2"/>
        <v>1.7919796852235992E-2</v>
      </c>
    </row>
    <row r="55" spans="2:7" x14ac:dyDescent="0.25">
      <c r="B55" s="17">
        <v>43</v>
      </c>
      <c r="C55" s="376"/>
      <c r="D55" s="379">
        <f t="shared" si="2"/>
        <v>0.15014331331304309</v>
      </c>
      <c r="E55" s="380">
        <f t="shared" si="2"/>
        <v>0.11308331185949427</v>
      </c>
      <c r="F55" s="380">
        <f t="shared" si="2"/>
        <v>1.3999231770300269E-2</v>
      </c>
      <c r="G55" s="20">
        <f t="shared" si="2"/>
        <v>1.4855670693437961E-2</v>
      </c>
    </row>
    <row r="56" spans="2:7" x14ac:dyDescent="0.25">
      <c r="B56" s="17">
        <v>44</v>
      </c>
      <c r="C56" s="376"/>
      <c r="D56" s="379">
        <f t="shared" si="2"/>
        <v>0.12837482715790938</v>
      </c>
      <c r="E56" s="380">
        <f t="shared" si="2"/>
        <v>0.10158993413238182</v>
      </c>
      <c r="F56" s="380">
        <f t="shared" si="2"/>
        <v>1.1689029872536283E-2</v>
      </c>
      <c r="G56" s="20">
        <f t="shared" si="2"/>
        <v>1.2268914165479594E-2</v>
      </c>
    </row>
    <row r="57" spans="2:7" x14ac:dyDescent="0.25">
      <c r="B57" s="17">
        <v>45</v>
      </c>
      <c r="C57" s="376"/>
      <c r="D57" s="379">
        <f t="shared" si="2"/>
        <v>0.10894040123194071</v>
      </c>
      <c r="E57" s="380">
        <f t="shared" si="2"/>
        <v>9.1056808917926668E-2</v>
      </c>
      <c r="F57" s="380">
        <f t="shared" si="2"/>
        <v>9.7278200649436597E-3</v>
      </c>
      <c r="G57" s="20">
        <f t="shared" si="2"/>
        <v>1.009445279022525E-2</v>
      </c>
    </row>
    <row r="58" spans="2:7" x14ac:dyDescent="0.25">
      <c r="B58" s="17">
        <v>46</v>
      </c>
      <c r="C58" s="376"/>
      <c r="D58" s="379">
        <f t="shared" si="2"/>
        <v>9.1745055453900104E-2</v>
      </c>
      <c r="E58" s="380">
        <f t="shared" si="2"/>
        <v>8.1430836248249538E-2</v>
      </c>
      <c r="F58" s="380">
        <f t="shared" si="2"/>
        <v>8.0690392981475068E-3</v>
      </c>
      <c r="G58" s="20">
        <f t="shared" si="2"/>
        <v>8.2742777618429741E-3</v>
      </c>
    </row>
    <row r="59" spans="2:7" x14ac:dyDescent="0.25">
      <c r="B59" s="17">
        <v>47</v>
      </c>
      <c r="C59" s="376"/>
      <c r="D59" s="379">
        <f t="shared" si="2"/>
        <v>7.6667464508156202E-2</v>
      </c>
      <c r="E59" s="380">
        <f t="shared" si="2"/>
        <v>7.2658271309812839E-2</v>
      </c>
      <c r="F59" s="380">
        <f t="shared" si="2"/>
        <v>6.6711952216890191E-3</v>
      </c>
      <c r="G59" s="20">
        <f t="shared" si="2"/>
        <v>6.7570280577756714E-3</v>
      </c>
    </row>
    <row r="60" spans="2:7" x14ac:dyDescent="0.25">
      <c r="B60" s="17">
        <v>48</v>
      </c>
      <c r="C60" s="381">
        <f>C6</f>
        <v>6.4000000000000001E-2</v>
      </c>
      <c r="D60" s="379">
        <f t="shared" si="2"/>
        <v>6.3566037004625375E-2</v>
      </c>
      <c r="E60" s="380">
        <f t="shared" si="2"/>
        <v>6.4685323529124261E-2</v>
      </c>
      <c r="F60" s="380">
        <f t="shared" si="2"/>
        <v>5.4975235803325084E-3</v>
      </c>
      <c r="G60" s="20">
        <f t="shared" si="2"/>
        <v>5.4975235803325084E-3</v>
      </c>
    </row>
    <row r="61" spans="2:7" x14ac:dyDescent="0.25">
      <c r="B61" s="17">
        <v>49</v>
      </c>
      <c r="D61" s="375">
        <f t="shared" si="2"/>
        <v>5.22849067021115E-2</v>
      </c>
      <c r="E61" s="20">
        <f t="shared" si="2"/>
        <v>5.7458682895245139E-2</v>
      </c>
      <c r="F61" s="20">
        <f t="shared" si="2"/>
        <v>4.5156278627150881E-3</v>
      </c>
      <c r="G61" s="20">
        <f t="shared" si="2"/>
        <v>4.4562697424368469E-3</v>
      </c>
    </row>
    <row r="62" spans="2:7" x14ac:dyDescent="0.25">
      <c r="B62" s="17">
        <v>50</v>
      </c>
      <c r="D62" s="375">
        <f t="shared" si="2"/>
        <v>4.2659615362509729E-2</v>
      </c>
      <c r="E62" s="20">
        <f t="shared" si="2"/>
        <v>5.0925975301708948E-2</v>
      </c>
      <c r="F62" s="20">
        <f t="shared" si="2"/>
        <v>3.6971118752440191E-3</v>
      </c>
      <c r="G62" s="20">
        <f t="shared" si="2"/>
        <v>3.5989505771300001E-3</v>
      </c>
    </row>
    <row r="63" spans="2:7" x14ac:dyDescent="0.25">
      <c r="B63" s="17">
        <v>51</v>
      </c>
      <c r="D63" s="375">
        <f t="shared" si="2"/>
        <v>3.45223064271728E-2</v>
      </c>
      <c r="E63" s="20">
        <f t="shared" si="2"/>
        <v>4.5036149589259722E-2</v>
      </c>
      <c r="F63" s="20">
        <f t="shared" si="2"/>
        <v>3.0172140316164775E-3</v>
      </c>
      <c r="G63" s="20">
        <f t="shared" si="2"/>
        <v>2.8959242852554246E-3</v>
      </c>
    </row>
    <row r="64" spans="2:7" x14ac:dyDescent="0.25">
      <c r="B64" s="17">
        <v>52</v>
      </c>
      <c r="D64" s="375">
        <f t="shared" si="2"/>
        <v>2.7706293458343301E-2</v>
      </c>
      <c r="E64" s="20">
        <f t="shared" si="2"/>
        <v>3.9739799706733026E-2</v>
      </c>
      <c r="F64" s="20">
        <f t="shared" si="2"/>
        <v>2.4544504009351709E-3</v>
      </c>
      <c r="G64" s="20">
        <f t="shared" si="2"/>
        <v>2.3217322092717874E-3</v>
      </c>
    </row>
    <row r="65" spans="2:7" x14ac:dyDescent="0.25">
      <c r="B65" s="17">
        <v>53</v>
      </c>
      <c r="D65" s="375">
        <f t="shared" si="2"/>
        <v>2.2049913865499482E-2</v>
      </c>
      <c r="E65" s="20">
        <f t="shared" si="2"/>
        <v>3.4989425986837186E-2</v>
      </c>
      <c r="F65" s="20">
        <f t="shared" si="2"/>
        <v>1.9902719695228388E-3</v>
      </c>
      <c r="G65" s="20">
        <f t="shared" si="2"/>
        <v>1.8546295800468959E-3</v>
      </c>
    </row>
    <row r="66" spans="2:7" x14ac:dyDescent="0.25">
      <c r="B66" s="17">
        <v>54</v>
      </c>
      <c r="D66" s="375">
        <f t="shared" si="2"/>
        <v>1.7399623775943063E-2</v>
      </c>
      <c r="E66" s="20">
        <f t="shared" si="2"/>
        <v>3.0739639965612686E-2</v>
      </c>
      <c r="F66" s="20">
        <f t="shared" si="2"/>
        <v>1.6087401576061477E-3</v>
      </c>
      <c r="G66" s="20">
        <f t="shared" si="2"/>
        <v>1.4761440542468973E-3</v>
      </c>
    </row>
    <row r="67" spans="2:7" x14ac:dyDescent="0.25">
      <c r="B67" s="17">
        <v>55</v>
      </c>
      <c r="D67" s="375">
        <f t="shared" si="2"/>
        <v>1.3612331396869903E-2</v>
      </c>
      <c r="E67" s="20">
        <f t="shared" si="2"/>
        <v>2.6947317470043308E-2</v>
      </c>
      <c r="F67" s="20">
        <f t="shared" si="2"/>
        <v>1.2962233980006177E-3</v>
      </c>
      <c r="G67" s="20">
        <f t="shared" si="2"/>
        <v>1.170666052133007E-3</v>
      </c>
    </row>
    <row r="68" spans="2:7" x14ac:dyDescent="0.25">
      <c r="B68" s="17">
        <v>56</v>
      </c>
      <c r="D68" s="375">
        <f t="shared" si="2"/>
        <v>1.055700183503927E-2</v>
      </c>
      <c r="E68" s="20">
        <f t="shared" si="2"/>
        <v>2.3571704870276933E-2</v>
      </c>
      <c r="F68" s="20">
        <f t="shared" si="2"/>
        <v>1.0411165287640411E-3</v>
      </c>
      <c r="G68" s="20">
        <f t="shared" si="2"/>
        <v>9.2507321512669272E-4</v>
      </c>
    </row>
    <row r="69" spans="2:7" x14ac:dyDescent="0.25">
      <c r="B69" s="17">
        <v>57</v>
      </c>
      <c r="D69" s="375">
        <f t="shared" si="2"/>
        <v>8.1155947493921632E-3</v>
      </c>
      <c r="E69" s="20">
        <f t="shared" si="2"/>
        <v>2.0574483454742554E-2</v>
      </c>
      <c r="F69" s="20">
        <f t="shared" si="2"/>
        <v>8.3358386900855841E-4</v>
      </c>
      <c r="G69" s="20">
        <f t="shared" si="2"/>
        <v>7.2838991483914484E-4</v>
      </c>
    </row>
    <row r="70" spans="2:7" x14ac:dyDescent="0.25">
      <c r="B70" s="17">
        <v>58</v>
      </c>
      <c r="D70" s="375">
        <f t="shared" si="2"/>
        <v>6.1834167604025714E-3</v>
      </c>
      <c r="E70" s="20">
        <f t="shared" si="2"/>
        <v>1.7919796852235992E-2</v>
      </c>
      <c r="F70" s="20">
        <f t="shared" si="2"/>
        <v>6.653261260685106E-4</v>
      </c>
      <c r="G70" s="20">
        <f t="shared" si="2"/>
        <v>5.7148163822540177E-4</v>
      </c>
    </row>
    <row r="71" spans="2:7" x14ac:dyDescent="0.25">
      <c r="B71" s="17">
        <v>59</v>
      </c>
      <c r="D71" s="375">
        <f t="shared" si="2"/>
        <v>4.6689832182131852E-3</v>
      </c>
      <c r="E71" s="20">
        <f t="shared" si="2"/>
        <v>1.5574246308966644E-2</v>
      </c>
      <c r="F71" s="20">
        <f t="shared" si="2"/>
        <v>5.2937070953729126E-4</v>
      </c>
      <c r="G71" s="20">
        <f t="shared" si="2"/>
        <v>4.4678321991908909E-4</v>
      </c>
    </row>
    <row r="72" spans="2:7" x14ac:dyDescent="0.25">
      <c r="B72" s="17">
        <v>60</v>
      </c>
      <c r="D72" s="375">
        <f t="shared" ref="D72:G91" si="3">IF($B72&lt;D$8,1,1-WEIBULL(($B72/12)-D$8/12,D$9,D$10,1))</f>
        <v>3.4934892766461667E-3</v>
      </c>
      <c r="E72" s="20">
        <f t="shared" si="3"/>
        <v>1.3506858444565117E-2</v>
      </c>
      <c r="F72" s="20">
        <f t="shared" si="3"/>
        <v>4.1988458802177941E-4</v>
      </c>
      <c r="G72" s="20">
        <f t="shared" si="3"/>
        <v>3.4805926261005649E-4</v>
      </c>
    </row>
    <row r="73" spans="2:7" x14ac:dyDescent="0.25">
      <c r="B73" s="17">
        <v>61</v>
      </c>
      <c r="D73" s="375">
        <f t="shared" si="3"/>
        <v>2.589989187540831E-3</v>
      </c>
      <c r="E73" s="20">
        <f t="shared" si="3"/>
        <v>1.1689029872536283E-2</v>
      </c>
      <c r="F73" s="20">
        <f t="shared" si="3"/>
        <v>3.3200850167025564E-4</v>
      </c>
      <c r="G73" s="20">
        <f t="shared" si="3"/>
        <v>2.7019464849964425E-4</v>
      </c>
    </row>
    <row r="74" spans="2:7" x14ac:dyDescent="0.25">
      <c r="B74" s="17">
        <v>62</v>
      </c>
      <c r="D74" s="375">
        <f t="shared" si="3"/>
        <v>1.9023765504646573E-3</v>
      </c>
      <c r="E74" s="20">
        <f t="shared" si="3"/>
        <v>1.009445279022525E-2</v>
      </c>
      <c r="F74" s="20">
        <f t="shared" si="3"/>
        <v>2.6171112129524943E-4</v>
      </c>
      <c r="G74" s="20">
        <f t="shared" si="3"/>
        <v>2.0901276877349773E-4</v>
      </c>
    </row>
    <row r="75" spans="2:7" x14ac:dyDescent="0.25">
      <c r="B75" s="17">
        <v>63</v>
      </c>
      <c r="D75" s="375">
        <f t="shared" si="3"/>
        <v>1.3842482900661146E-3</v>
      </c>
      <c r="E75" s="20">
        <f t="shared" si="3"/>
        <v>8.699025332679633E-3</v>
      </c>
      <c r="F75" s="20">
        <f t="shared" si="3"/>
        <v>2.0566160738733075E-4</v>
      </c>
      <c r="G75" s="20">
        <f t="shared" si="3"/>
        <v>1.6111895453663205E-4</v>
      </c>
    </row>
    <row r="76" spans="2:7" x14ac:dyDescent="0.25">
      <c r="B76" s="17">
        <v>64</v>
      </c>
      <c r="D76" s="375">
        <f t="shared" si="3"/>
        <v>9.9772275358522844E-4</v>
      </c>
      <c r="E76" s="20">
        <f t="shared" si="3"/>
        <v>7.4807501544102983E-3</v>
      </c>
      <c r="F76" s="20">
        <f t="shared" si="3"/>
        <v>1.6111895453663205E-4</v>
      </c>
      <c r="G76" s="20">
        <f t="shared" si="3"/>
        <v>1.2376655487678079E-4</v>
      </c>
    </row>
    <row r="77" spans="2:7" x14ac:dyDescent="0.25">
      <c r="B77" s="17">
        <v>65</v>
      </c>
      <c r="D77" s="375">
        <f t="shared" si="3"/>
        <v>7.122687876760514E-4</v>
      </c>
      <c r="E77" s="20">
        <f t="shared" si="3"/>
        <v>6.4196243623374505E-3</v>
      </c>
      <c r="F77" s="20">
        <f t="shared" si="3"/>
        <v>1.258364949808799E-4</v>
      </c>
      <c r="G77" s="20">
        <f t="shared" si="3"/>
        <v>9.4743151534348868E-5</v>
      </c>
    </row>
    <row r="78" spans="2:7" x14ac:dyDescent="0.25">
      <c r="B78" s="17">
        <v>66</v>
      </c>
      <c r="D78" s="375">
        <f t="shared" si="3"/>
        <v>5.0358904973690777E-4</v>
      </c>
      <c r="E78" s="20">
        <f t="shared" si="3"/>
        <v>5.4975235803325084E-3</v>
      </c>
      <c r="F78" s="20">
        <f t="shared" si="3"/>
        <v>9.7979966796168938E-5</v>
      </c>
      <c r="G78" s="20">
        <f t="shared" si="3"/>
        <v>7.2274503910452204E-5</v>
      </c>
    </row>
    <row r="79" spans="2:7" x14ac:dyDescent="0.25">
      <c r="B79" s="17">
        <v>67</v>
      </c>
      <c r="D79" s="375">
        <f t="shared" si="3"/>
        <v>3.525879905724727E-4</v>
      </c>
      <c r="E79" s="20">
        <f t="shared" si="3"/>
        <v>4.6980825876707932E-3</v>
      </c>
      <c r="F79" s="20">
        <f t="shared" si="3"/>
        <v>7.6057616771540992E-5</v>
      </c>
      <c r="G79" s="20">
        <f t="shared" si="3"/>
        <v>5.4943964787335098E-5</v>
      </c>
    </row>
    <row r="80" spans="2:7" x14ac:dyDescent="0.25">
      <c r="B80" s="17">
        <v>68</v>
      </c>
      <c r="D80" s="375">
        <f t="shared" si="3"/>
        <v>2.4444352404873193E-4</v>
      </c>
      <c r="E80" s="20">
        <f t="shared" si="3"/>
        <v>4.0065746461579455E-3</v>
      </c>
      <c r="F80" s="20">
        <f t="shared" si="3"/>
        <v>5.8860895872037133E-5</v>
      </c>
      <c r="G80" s="20">
        <f t="shared" si="3"/>
        <v>4.1625281087975807E-5</v>
      </c>
    </row>
    <row r="81" spans="2:7" x14ac:dyDescent="0.25">
      <c r="B81" s="17">
        <v>69</v>
      </c>
      <c r="D81" s="375">
        <f t="shared" si="3"/>
        <v>1.677917494864456E-4</v>
      </c>
      <c r="E81" s="20">
        <f t="shared" si="3"/>
        <v>3.4097913183015471E-3</v>
      </c>
      <c r="F81" s="20">
        <f t="shared" si="3"/>
        <v>4.5414408506361248E-5</v>
      </c>
      <c r="G81" s="20">
        <f t="shared" si="3"/>
        <v>3.1426883004725958E-5</v>
      </c>
    </row>
    <row r="82" spans="2:7" x14ac:dyDescent="0.25">
      <c r="B82" s="17">
        <v>70</v>
      </c>
      <c r="D82" s="375">
        <f t="shared" si="3"/>
        <v>1.1402637597712761E-4</v>
      </c>
      <c r="E82" s="20">
        <f t="shared" si="3"/>
        <v>2.8959242852554246E-3</v>
      </c>
      <c r="F82" s="20">
        <f t="shared" si="3"/>
        <v>3.4933889061616874E-5</v>
      </c>
      <c r="G82" s="20">
        <f t="shared" si="3"/>
        <v>2.3645959206675116E-5</v>
      </c>
    </row>
    <row r="83" spans="2:7" x14ac:dyDescent="0.25">
      <c r="B83" s="17">
        <v>71</v>
      </c>
      <c r="D83" s="375">
        <f t="shared" si="3"/>
        <v>7.6708702562489073E-5</v>
      </c>
      <c r="E83" s="20">
        <f t="shared" si="3"/>
        <v>2.4544504009351709E-3</v>
      </c>
      <c r="F83" s="20">
        <f t="shared" si="3"/>
        <v>2.6791095119715891E-5</v>
      </c>
      <c r="G83" s="20">
        <f t="shared" si="3"/>
        <v>1.7730808173022083E-5</v>
      </c>
    </row>
    <row r="84" spans="2:7" x14ac:dyDescent="0.25">
      <c r="B84" s="17">
        <v>72</v>
      </c>
      <c r="D84" s="375">
        <f t="shared" si="3"/>
        <v>5.1079991764568788E-5</v>
      </c>
      <c r="E84" s="20">
        <f t="shared" si="3"/>
        <v>2.0760209694462572E-3</v>
      </c>
      <c r="F84" s="20">
        <f t="shared" si="3"/>
        <v>2.0484622330063651E-5</v>
      </c>
      <c r="G84" s="20">
        <f t="shared" si="3"/>
        <v>1.325014056063889E-5</v>
      </c>
    </row>
    <row r="85" spans="2:7" x14ac:dyDescent="0.25">
      <c r="B85" s="17">
        <v>73</v>
      </c>
      <c r="D85" s="375">
        <f t="shared" si="3"/>
        <v>3.3665607341304415E-5</v>
      </c>
      <c r="E85" s="20">
        <f t="shared" si="3"/>
        <v>1.7523560077112865E-3</v>
      </c>
      <c r="F85" s="20">
        <f t="shared" si="3"/>
        <v>1.5615758009790426E-5</v>
      </c>
      <c r="G85" s="20">
        <f t="shared" si="3"/>
        <v>9.8681811333545255E-6</v>
      </c>
    </row>
    <row r="86" spans="2:7" x14ac:dyDescent="0.25">
      <c r="B86" s="17">
        <v>74</v>
      </c>
      <c r="D86" s="375">
        <f t="shared" si="3"/>
        <v>2.1959095184986843E-5</v>
      </c>
      <c r="E86" s="20">
        <f t="shared" si="3"/>
        <v>1.4761440542468973E-3</v>
      </c>
      <c r="F86" s="20">
        <f t="shared" si="3"/>
        <v>1.1868596933584108E-5</v>
      </c>
      <c r="G86" s="20">
        <f t="shared" si="3"/>
        <v>7.3245787428621867E-6</v>
      </c>
    </row>
    <row r="87" spans="2:7" x14ac:dyDescent="0.25">
      <c r="B87" s="17">
        <v>75</v>
      </c>
      <c r="D87" s="375">
        <f t="shared" si="3"/>
        <v>1.4174181270143471E-5</v>
      </c>
      <c r="E87" s="20">
        <f t="shared" si="3"/>
        <v>1.2409479081468833E-3</v>
      </c>
      <c r="F87" s="20">
        <f t="shared" si="3"/>
        <v>8.9937419665009344E-6</v>
      </c>
      <c r="G87" s="20">
        <f t="shared" si="3"/>
        <v>5.418277854163378E-6</v>
      </c>
    </row>
    <row r="88" spans="2:7" x14ac:dyDescent="0.25">
      <c r="B88" s="17">
        <v>76</v>
      </c>
      <c r="D88" s="375">
        <f t="shared" si="3"/>
        <v>9.0531678970107166E-6</v>
      </c>
      <c r="E88" s="20">
        <f t="shared" si="3"/>
        <v>1.0411165287640411E-3</v>
      </c>
      <c r="F88" s="20">
        <f t="shared" si="3"/>
        <v>6.7950032648367298E-6</v>
      </c>
      <c r="G88" s="20">
        <f t="shared" si="3"/>
        <v>3.9946347010211269E-6</v>
      </c>
    </row>
    <row r="89" spans="2:7" x14ac:dyDescent="0.25">
      <c r="B89" s="17">
        <v>77</v>
      </c>
      <c r="D89" s="375">
        <f t="shared" si="3"/>
        <v>5.7211851592908758E-6</v>
      </c>
      <c r="E89" s="20">
        <f t="shared" si="3"/>
        <v>8.7170319526963524E-4</v>
      </c>
      <c r="F89" s="20">
        <f t="shared" si="3"/>
        <v>5.1185922865792932E-6</v>
      </c>
      <c r="G89" s="20">
        <f t="shared" si="3"/>
        <v>2.9351755189699347E-6</v>
      </c>
    </row>
    <row r="90" spans="2:7" x14ac:dyDescent="0.25">
      <c r="B90" s="17">
        <v>78</v>
      </c>
      <c r="D90" s="375">
        <f t="shared" si="3"/>
        <v>3.5769950249564531E-6</v>
      </c>
      <c r="E90" s="20">
        <f t="shared" si="3"/>
        <v>7.2838991483914484E-4</v>
      </c>
      <c r="F90" s="20">
        <f t="shared" si="3"/>
        <v>3.8443807318655487E-6</v>
      </c>
      <c r="G90" s="20">
        <f t="shared" si="3"/>
        <v>2.1494940882771374E-6</v>
      </c>
    </row>
    <row r="91" spans="2:7" x14ac:dyDescent="0.25">
      <c r="B91" s="17">
        <v>79</v>
      </c>
      <c r="D91" s="375">
        <f t="shared" si="3"/>
        <v>2.2123911661564577E-6</v>
      </c>
      <c r="E91" s="20">
        <f t="shared" si="3"/>
        <v>6.0741797712760004E-4</v>
      </c>
      <c r="F91" s="20">
        <f t="shared" si="3"/>
        <v>2.8788599886198085E-6</v>
      </c>
      <c r="G91" s="20">
        <f t="shared" si="3"/>
        <v>1.5688719796624895E-6</v>
      </c>
    </row>
    <row r="92" spans="2:7" x14ac:dyDescent="0.25">
      <c r="B92" s="17">
        <v>80</v>
      </c>
      <c r="D92" s="375">
        <f t="shared" ref="D92:G97" si="4">IF($B92&lt;D$8,1,1-WEIBULL(($B92/12)-D$8/12,D$9,D$10,1))</f>
        <v>1.3535719757262754E-6</v>
      </c>
      <c r="E92" s="20">
        <f t="shared" si="4"/>
        <v>5.0552447925789057E-4</v>
      </c>
      <c r="F92" s="20">
        <f t="shared" si="4"/>
        <v>2.1494940882771374E-6</v>
      </c>
      <c r="G92" s="20">
        <f t="shared" si="4"/>
        <v>1.1412785883013754E-6</v>
      </c>
    </row>
    <row r="93" spans="2:7" x14ac:dyDescent="0.25">
      <c r="B93" s="17">
        <v>81</v>
      </c>
      <c r="D93" s="375">
        <f t="shared" si="4"/>
        <v>8.1910867733014925E-7</v>
      </c>
      <c r="E93" s="20">
        <f t="shared" si="4"/>
        <v>4.1988458802177941E-4</v>
      </c>
      <c r="F93" s="20">
        <f t="shared" si="4"/>
        <v>1.600209107888162E-6</v>
      </c>
      <c r="G93" s="20">
        <f t="shared" si="4"/>
        <v>8.2747050522691268E-7</v>
      </c>
    </row>
    <row r="94" spans="2:7" x14ac:dyDescent="0.25">
      <c r="B94" s="17">
        <v>82</v>
      </c>
      <c r="D94" s="375">
        <f t="shared" si="4"/>
        <v>4.9023867043640479E-7</v>
      </c>
      <c r="E94" s="20">
        <f t="shared" si="4"/>
        <v>3.4805926261005649E-4</v>
      </c>
      <c r="F94" s="20">
        <f t="shared" si="4"/>
        <v>1.18780502178506E-6</v>
      </c>
      <c r="G94" s="20">
        <f t="shared" si="4"/>
        <v>5.9796227502850741E-7</v>
      </c>
    </row>
    <row r="95" spans="2:7" x14ac:dyDescent="0.25">
      <c r="B95" s="17">
        <v>83</v>
      </c>
      <c r="D95" s="375">
        <f t="shared" si="4"/>
        <v>2.9016488611866009E-7</v>
      </c>
      <c r="E95" s="20">
        <f t="shared" si="4"/>
        <v>2.8794813021293386E-4</v>
      </c>
      <c r="F95" s="20">
        <f t="shared" si="4"/>
        <v>8.7911285406860884E-7</v>
      </c>
      <c r="G95" s="20">
        <f t="shared" si="4"/>
        <v>4.3068438082549676E-7</v>
      </c>
    </row>
    <row r="96" spans="2:7" x14ac:dyDescent="0.25">
      <c r="B96" s="17">
        <v>84</v>
      </c>
      <c r="D96" s="375">
        <f t="shared" si="4"/>
        <v>1.6983180561869204E-7</v>
      </c>
      <c r="E96" s="20">
        <f t="shared" si="4"/>
        <v>2.3774718659497207E-4</v>
      </c>
      <c r="F96" s="20">
        <f t="shared" si="4"/>
        <v>6.4875128347186006E-7</v>
      </c>
      <c r="G96" s="20">
        <f t="shared" si="4"/>
        <v>3.0918053173234483E-7</v>
      </c>
    </row>
    <row r="97" spans="2:7" x14ac:dyDescent="0.25">
      <c r="B97" s="17">
        <v>85</v>
      </c>
      <c r="D97" s="375">
        <f t="shared" si="4"/>
        <v>9.8286971117467203E-8</v>
      </c>
      <c r="E97" s="20">
        <f t="shared" si="4"/>
        <v>1.9591098265292484E-4</v>
      </c>
      <c r="F97" s="20">
        <f t="shared" si="4"/>
        <v>4.773632539256667E-7</v>
      </c>
      <c r="G97" s="20">
        <f t="shared" si="4"/>
        <v>2.212261152045869E-7</v>
      </c>
    </row>
  </sheetData>
  <phoneticPr fontId="27" type="noConversion"/>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urves"/>
  <dimension ref="A1:AX49"/>
  <sheetViews>
    <sheetView topLeftCell="V4" workbookViewId="0">
      <selection activeCell="AJ9" sqref="AJ9"/>
    </sheetView>
  </sheetViews>
  <sheetFormatPr defaultColWidth="9.140625" defaultRowHeight="15" x14ac:dyDescent="0.25"/>
  <cols>
    <col min="1" max="11" width="9.140625" style="21"/>
    <col min="12" max="12" width="9.140625" style="24"/>
    <col min="13" max="24" width="9.140625" style="21"/>
    <col min="25" max="25" width="9.42578125" style="24" customWidth="1"/>
    <col min="26" max="36" width="9.140625" style="21"/>
    <col min="37" max="37" width="9.28515625" style="1075" customWidth="1"/>
    <col min="38" max="39" width="8.85546875" customWidth="1"/>
    <col min="40" max="40" width="10.42578125" customWidth="1"/>
    <col min="41" max="50" width="8.85546875" customWidth="1"/>
    <col min="51" max="16384" width="9.140625" style="21"/>
  </cols>
  <sheetData>
    <row r="1" spans="1:50" x14ac:dyDescent="0.25">
      <c r="A1" s="22" t="s">
        <v>80</v>
      </c>
      <c r="L1" s="23" t="s">
        <v>97</v>
      </c>
      <c r="Y1" s="23" t="s">
        <v>107</v>
      </c>
      <c r="AK1" s="23" t="s">
        <v>107</v>
      </c>
      <c r="AL1" s="21"/>
    </row>
    <row r="2" spans="1:50" x14ac:dyDescent="0.25">
      <c r="A2" s="28" t="s">
        <v>142</v>
      </c>
      <c r="L2" s="24" t="s">
        <v>98</v>
      </c>
      <c r="Y2" s="24" t="s">
        <v>89</v>
      </c>
      <c r="AK2" s="24" t="s">
        <v>89</v>
      </c>
      <c r="AL2" s="21"/>
    </row>
    <row r="3" spans="1:50" x14ac:dyDescent="0.25">
      <c r="A3" s="21" t="s">
        <v>361</v>
      </c>
      <c r="D3" s="21" t="s">
        <v>362</v>
      </c>
      <c r="L3" s="24" t="s">
        <v>89</v>
      </c>
      <c r="Y3" s="24" t="s">
        <v>92</v>
      </c>
      <c r="AD3" s="21" t="s">
        <v>110</v>
      </c>
      <c r="AK3" s="24" t="s">
        <v>92</v>
      </c>
      <c r="AL3" s="21"/>
    </row>
    <row r="4" spans="1:50" x14ac:dyDescent="0.25">
      <c r="L4" s="24" t="s">
        <v>92</v>
      </c>
      <c r="Y4" s="25" t="s">
        <v>81</v>
      </c>
      <c r="Z4" s="26">
        <v>2</v>
      </c>
      <c r="AA4" s="21" t="s">
        <v>90</v>
      </c>
      <c r="AD4" s="27">
        <v>2.8</v>
      </c>
      <c r="AE4" s="466">
        <v>2</v>
      </c>
      <c r="AF4" s="27">
        <v>3</v>
      </c>
      <c r="AK4" s="25" t="s">
        <v>81</v>
      </c>
      <c r="AL4" s="26">
        <v>4</v>
      </c>
    </row>
    <row r="5" spans="1:50" x14ac:dyDescent="0.25">
      <c r="A5" s="21" t="s">
        <v>81</v>
      </c>
      <c r="B5" s="26">
        <v>4</v>
      </c>
      <c r="C5" s="21" t="s">
        <v>363</v>
      </c>
      <c r="F5"/>
      <c r="G5"/>
      <c r="L5" s="24" t="s">
        <v>81</v>
      </c>
      <c r="M5" s="26">
        <v>7</v>
      </c>
      <c r="O5" s="26">
        <v>3</v>
      </c>
      <c r="P5" s="21" t="s">
        <v>90</v>
      </c>
      <c r="Y5" s="25" t="s">
        <v>82</v>
      </c>
      <c r="Z5" s="26">
        <v>0.6</v>
      </c>
      <c r="AA5" s="21" t="s">
        <v>91</v>
      </c>
      <c r="AD5" s="27">
        <v>0.56999999999999995</v>
      </c>
      <c r="AE5" s="467">
        <v>0.6</v>
      </c>
      <c r="AF5" s="27">
        <v>0.7</v>
      </c>
      <c r="AK5" s="25" t="s">
        <v>82</v>
      </c>
      <c r="AL5" s="26">
        <v>0.6</v>
      </c>
    </row>
    <row r="6" spans="1:50" x14ac:dyDescent="0.25">
      <c r="A6" s="21" t="s">
        <v>82</v>
      </c>
      <c r="B6" s="26">
        <v>1</v>
      </c>
      <c r="C6" s="21" t="s">
        <v>364</v>
      </c>
      <c r="F6"/>
      <c r="G6"/>
      <c r="L6" s="24" t="s">
        <v>82</v>
      </c>
      <c r="M6" s="26">
        <v>0.8</v>
      </c>
      <c r="O6" s="26">
        <v>0.56999999999999995</v>
      </c>
      <c r="P6" s="21" t="s">
        <v>91</v>
      </c>
      <c r="Y6" s="25" t="s">
        <v>105</v>
      </c>
      <c r="Z6" s="26">
        <v>1</v>
      </c>
      <c r="AA6" s="21" t="s">
        <v>100</v>
      </c>
      <c r="AD6" s="27">
        <v>1</v>
      </c>
      <c r="AE6" s="467">
        <v>1</v>
      </c>
      <c r="AF6" s="27">
        <v>1</v>
      </c>
      <c r="AK6" s="25" t="s">
        <v>105</v>
      </c>
      <c r="AL6" s="26">
        <v>1</v>
      </c>
    </row>
    <row r="7" spans="1:50" x14ac:dyDescent="0.25">
      <c r="L7" s="24" t="s">
        <v>101</v>
      </c>
      <c r="M7" s="26">
        <v>1</v>
      </c>
      <c r="O7" s="26">
        <v>1</v>
      </c>
      <c r="P7" s="21" t="s">
        <v>100</v>
      </c>
      <c r="AE7" s="28" t="s">
        <v>172</v>
      </c>
      <c r="AK7" s="24"/>
      <c r="AL7" s="21"/>
    </row>
    <row r="8" spans="1:50" s="30" customFormat="1" ht="45" x14ac:dyDescent="0.25">
      <c r="A8" s="29" t="s">
        <v>83</v>
      </c>
      <c r="B8" s="29" t="s">
        <v>84</v>
      </c>
      <c r="L8" s="31" t="s">
        <v>94</v>
      </c>
      <c r="M8" s="29" t="s">
        <v>143</v>
      </c>
      <c r="N8" s="29" t="s">
        <v>95</v>
      </c>
      <c r="O8" s="29" t="s">
        <v>93</v>
      </c>
      <c r="Y8" s="31" t="s">
        <v>103</v>
      </c>
      <c r="Z8" s="29" t="s">
        <v>102</v>
      </c>
      <c r="AK8" s="1289" t="s">
        <v>3</v>
      </c>
      <c r="AL8" s="1290" t="s">
        <v>3</v>
      </c>
      <c r="AM8" s="29" t="s">
        <v>102</v>
      </c>
      <c r="AN8" s="1291" t="s">
        <v>375</v>
      </c>
      <c r="AO8"/>
      <c r="AP8"/>
      <c r="AQ8"/>
      <c r="AR8"/>
      <c r="AS8"/>
      <c r="AT8"/>
      <c r="AU8"/>
      <c r="AV8"/>
      <c r="AW8"/>
      <c r="AX8"/>
    </row>
    <row r="9" spans="1:50" x14ac:dyDescent="0.25">
      <c r="A9" s="21">
        <v>0</v>
      </c>
      <c r="B9" s="21">
        <v>0</v>
      </c>
      <c r="L9" s="24">
        <v>-999999</v>
      </c>
      <c r="M9" s="21">
        <v>1</v>
      </c>
      <c r="N9" s="21">
        <v>-1</v>
      </c>
      <c r="O9" s="21">
        <f t="shared" ref="O9:O47" si="0">O$7*(1-WEIBULL(-N9,$O$5,$O$6,1))</f>
        <v>4.51761025491626E-3</v>
      </c>
      <c r="Y9" s="32">
        <v>0</v>
      </c>
      <c r="Z9" s="33">
        <f t="shared" ref="Z9:Z39" si="1">Z$6*(1-WEIBULL(Y9,Z$4,Z$5,1))</f>
        <v>1</v>
      </c>
      <c r="AK9" s="1075">
        <v>2020</v>
      </c>
      <c r="AN9" s="1292">
        <f t="shared" ref="AN9:AN22" si="2">AN10</f>
        <v>2</v>
      </c>
    </row>
    <row r="10" spans="1:50" x14ac:dyDescent="0.25">
      <c r="A10" s="21">
        <v>1</v>
      </c>
      <c r="B10" s="21">
        <f t="shared" ref="B10:B34" si="3">1/(1+EXP(-($A10-B$5)/B$6))</f>
        <v>4.7425873177566781E-2</v>
      </c>
      <c r="L10" s="24">
        <v>2.5000000000000001E-2</v>
      </c>
      <c r="M10" s="21">
        <f t="shared" ref="M10:M48" si="4">M$7*(1-WEIBULL(L10,$M$5,$M$6,1))</f>
        <v>0.99999999997089617</v>
      </c>
      <c r="N10" s="21">
        <f t="shared" ref="N10:N47" si="5">L10-1</f>
        <v>-0.97499999999999998</v>
      </c>
      <c r="O10" s="21">
        <f t="shared" si="0"/>
        <v>6.7054850642854769E-3</v>
      </c>
      <c r="Y10" s="34">
        <v>0.05</v>
      </c>
      <c r="Z10" s="33">
        <f t="shared" si="1"/>
        <v>0.99307961249031607</v>
      </c>
      <c r="AK10" s="1075">
        <v>2021</v>
      </c>
      <c r="AN10" s="1292">
        <f t="shared" si="2"/>
        <v>2</v>
      </c>
    </row>
    <row r="11" spans="1:50" x14ac:dyDescent="0.25">
      <c r="A11" s="21">
        <v>2</v>
      </c>
      <c r="B11" s="21">
        <f t="shared" si="3"/>
        <v>0.11920292202211755</v>
      </c>
      <c r="L11" s="24">
        <v>0.05</v>
      </c>
      <c r="M11" s="21">
        <f t="shared" si="4"/>
        <v>0.9999999962747097</v>
      </c>
      <c r="N11" s="21">
        <f t="shared" si="5"/>
        <v>-0.95</v>
      </c>
      <c r="O11" s="21">
        <f t="shared" si="0"/>
        <v>9.7583726452178388E-3</v>
      </c>
      <c r="Y11" s="34">
        <v>0.1</v>
      </c>
      <c r="Z11" s="33">
        <f t="shared" si="1"/>
        <v>0.97260447711634834</v>
      </c>
      <c r="AK11" s="1075">
        <v>2022</v>
      </c>
      <c r="AN11" s="1292">
        <f t="shared" si="2"/>
        <v>2</v>
      </c>
    </row>
    <row r="12" spans="1:50" x14ac:dyDescent="0.25">
      <c r="A12" s="21">
        <v>3</v>
      </c>
      <c r="B12" s="21">
        <f t="shared" si="3"/>
        <v>0.2689414213699951</v>
      </c>
      <c r="L12" s="24">
        <v>7.4999999999999997E-2</v>
      </c>
      <c r="M12" s="21">
        <f t="shared" si="4"/>
        <v>0.99999993634992479</v>
      </c>
      <c r="N12" s="21">
        <f t="shared" si="5"/>
        <v>-0.92500000000000004</v>
      </c>
      <c r="O12" s="21">
        <f t="shared" si="0"/>
        <v>1.3930612444768342E-2</v>
      </c>
      <c r="Y12" s="34">
        <v>0.15</v>
      </c>
      <c r="Z12" s="33">
        <f t="shared" si="1"/>
        <v>0.93941306281347581</v>
      </c>
      <c r="AK12" s="1075">
        <v>2023</v>
      </c>
      <c r="AN12" s="1292">
        <f t="shared" si="2"/>
        <v>2</v>
      </c>
    </row>
    <row r="13" spans="1:50" x14ac:dyDescent="0.25">
      <c r="A13" s="21">
        <v>4</v>
      </c>
      <c r="B13" s="21">
        <f t="shared" si="3"/>
        <v>0.5</v>
      </c>
      <c r="L13" s="24">
        <v>0.1</v>
      </c>
      <c r="M13" s="21">
        <f t="shared" si="4"/>
        <v>0.99999952316295548</v>
      </c>
      <c r="N13" s="21">
        <f t="shared" si="5"/>
        <v>-0.9</v>
      </c>
      <c r="O13" s="21">
        <f t="shared" si="0"/>
        <v>1.9517693175015394E-2</v>
      </c>
      <c r="Y13" s="34">
        <v>0.2</v>
      </c>
      <c r="Z13" s="33">
        <f t="shared" si="1"/>
        <v>0.89483931681436979</v>
      </c>
      <c r="AK13" s="1075">
        <v>2024</v>
      </c>
      <c r="AN13" s="1292">
        <f t="shared" si="2"/>
        <v>2</v>
      </c>
    </row>
    <row r="14" spans="1:50" x14ac:dyDescent="0.25">
      <c r="A14" s="21">
        <v>5</v>
      </c>
      <c r="B14" s="21">
        <f t="shared" si="3"/>
        <v>0.7310585786300049</v>
      </c>
      <c r="L14" s="24">
        <v>0.15</v>
      </c>
      <c r="M14" s="21">
        <f t="shared" si="4"/>
        <v>0.99999185282330572</v>
      </c>
      <c r="N14" s="21">
        <f t="shared" si="5"/>
        <v>-0.85</v>
      </c>
      <c r="O14" s="21">
        <f t="shared" si="0"/>
        <v>3.6292830681643129E-2</v>
      </c>
      <c r="Y14" s="34">
        <v>0.25</v>
      </c>
      <c r="Z14" s="33">
        <f t="shared" si="1"/>
        <v>0.84062374333450529</v>
      </c>
      <c r="AK14" s="1075">
        <v>2025</v>
      </c>
      <c r="AN14" s="1292">
        <f t="shared" si="2"/>
        <v>2</v>
      </c>
    </row>
    <row r="15" spans="1:50" x14ac:dyDescent="0.25">
      <c r="A15" s="21">
        <v>6</v>
      </c>
      <c r="B15" s="21">
        <f t="shared" si="3"/>
        <v>0.88079707797788231</v>
      </c>
      <c r="L15" s="24">
        <v>0.17499999999999999</v>
      </c>
      <c r="M15" s="21">
        <f t="shared" si="4"/>
        <v>0.99997603203139052</v>
      </c>
      <c r="N15" s="21">
        <f t="shared" si="5"/>
        <v>-0.82499999999999996</v>
      </c>
      <c r="O15" s="21">
        <f t="shared" si="0"/>
        <v>4.8216382864641583E-2</v>
      </c>
      <c r="Y15" s="34">
        <v>0.3</v>
      </c>
      <c r="Z15" s="33">
        <f t="shared" si="1"/>
        <v>0.77880078307140488</v>
      </c>
      <c r="AK15" s="1075">
        <v>2026</v>
      </c>
      <c r="AN15" s="1292">
        <f t="shared" si="2"/>
        <v>2</v>
      </c>
    </row>
    <row r="16" spans="1:50" x14ac:dyDescent="0.25">
      <c r="A16" s="21">
        <v>7</v>
      </c>
      <c r="B16" s="21">
        <f t="shared" si="3"/>
        <v>0.95257412682243336</v>
      </c>
      <c r="L16" s="24">
        <v>0.2</v>
      </c>
      <c r="M16" s="21">
        <f t="shared" si="4"/>
        <v>0.99993896670635729</v>
      </c>
      <c r="N16" s="21">
        <f t="shared" si="5"/>
        <v>-0.8</v>
      </c>
      <c r="O16" s="21">
        <f t="shared" si="0"/>
        <v>6.2996045124450561E-2</v>
      </c>
      <c r="Y16" s="34">
        <v>0.35</v>
      </c>
      <c r="Z16" s="33">
        <f t="shared" si="1"/>
        <v>0.7115726362417969</v>
      </c>
      <c r="AK16" s="1075">
        <v>2027</v>
      </c>
      <c r="AN16" s="1292">
        <f t="shared" si="2"/>
        <v>2</v>
      </c>
    </row>
    <row r="17" spans="1:41" x14ac:dyDescent="0.25">
      <c r="A17" s="21">
        <v>8</v>
      </c>
      <c r="B17" s="21">
        <f t="shared" si="3"/>
        <v>0.98201379003790845</v>
      </c>
      <c r="L17" s="24">
        <v>0.22500000000000001</v>
      </c>
      <c r="M17" s="21">
        <f t="shared" si="4"/>
        <v>0.99986080696939306</v>
      </c>
      <c r="N17" s="21">
        <f t="shared" si="5"/>
        <v>-0.77500000000000002</v>
      </c>
      <c r="O17" s="21">
        <f t="shared" si="0"/>
        <v>8.0983523798384471E-2</v>
      </c>
      <c r="Y17" s="34">
        <v>0.4</v>
      </c>
      <c r="Z17" s="33">
        <f t="shared" si="1"/>
        <v>0.64118038842995451</v>
      </c>
      <c r="AK17" s="1075">
        <v>2028</v>
      </c>
      <c r="AN17" s="1292">
        <f t="shared" si="2"/>
        <v>2</v>
      </c>
    </row>
    <row r="18" spans="1:41" x14ac:dyDescent="0.25">
      <c r="A18" s="21">
        <v>9</v>
      </c>
      <c r="B18" s="21">
        <f t="shared" si="3"/>
        <v>0.99330714907571527</v>
      </c>
      <c r="L18" s="24">
        <v>0.25</v>
      </c>
      <c r="M18" s="21">
        <f t="shared" si="4"/>
        <v>0.99970900404297169</v>
      </c>
      <c r="N18" s="21">
        <f t="shared" si="5"/>
        <v>-0.75</v>
      </c>
      <c r="O18" s="21">
        <f t="shared" si="0"/>
        <v>0.10248602130851758</v>
      </c>
      <c r="Y18" s="34">
        <v>0.45</v>
      </c>
      <c r="Z18" s="33">
        <f t="shared" si="1"/>
        <v>0.56978282473092301</v>
      </c>
      <c r="AK18" s="1075">
        <v>2029</v>
      </c>
      <c r="AN18" s="1292">
        <f t="shared" si="2"/>
        <v>2</v>
      </c>
    </row>
    <row r="19" spans="1:41" x14ac:dyDescent="0.25">
      <c r="A19" s="21">
        <v>10</v>
      </c>
      <c r="B19" s="21">
        <f t="shared" si="3"/>
        <v>0.99752737684336534</v>
      </c>
      <c r="L19" s="24">
        <v>0.27500000000000002</v>
      </c>
      <c r="M19" s="21">
        <f t="shared" si="4"/>
        <v>0.99943300947904423</v>
      </c>
      <c r="N19" s="21">
        <f t="shared" si="5"/>
        <v>-0.72499999999999998</v>
      </c>
      <c r="O19" s="21">
        <f t="shared" si="0"/>
        <v>0.12774297538887924</v>
      </c>
      <c r="Y19" s="34">
        <v>0.5</v>
      </c>
      <c r="Z19" s="33">
        <f t="shared" si="1"/>
        <v>0.4993517885992762</v>
      </c>
      <c r="AK19" s="1075">
        <v>2030</v>
      </c>
      <c r="AN19" s="1292">
        <f t="shared" si="2"/>
        <v>2</v>
      </c>
    </row>
    <row r="20" spans="1:41" x14ac:dyDescent="0.25">
      <c r="A20" s="21">
        <v>11</v>
      </c>
      <c r="B20" s="21">
        <f t="shared" si="3"/>
        <v>0.9990889488055994</v>
      </c>
      <c r="L20" s="24">
        <v>0.3</v>
      </c>
      <c r="M20" s="21">
        <f t="shared" si="4"/>
        <v>0.99895770070666057</v>
      </c>
      <c r="N20" s="21">
        <f t="shared" si="5"/>
        <v>-0.7</v>
      </c>
      <c r="O20" s="21">
        <f t="shared" si="0"/>
        <v>0.1569038878395056</v>
      </c>
      <c r="Y20" s="34">
        <v>0.55000000000000004</v>
      </c>
      <c r="Z20" s="33">
        <f t="shared" si="1"/>
        <v>0.43159062049319474</v>
      </c>
      <c r="AK20" s="1075">
        <v>2031</v>
      </c>
      <c r="AN20" s="1292">
        <f t="shared" si="2"/>
        <v>2</v>
      </c>
    </row>
    <row r="21" spans="1:41" x14ac:dyDescent="0.25">
      <c r="A21" s="21">
        <v>12</v>
      </c>
      <c r="B21" s="21">
        <f t="shared" si="3"/>
        <v>0.99966464986953363</v>
      </c>
      <c r="L21" s="24">
        <v>0.32500000000000001</v>
      </c>
      <c r="M21" s="21">
        <f t="shared" si="4"/>
        <v>0.99817544432894423</v>
      </c>
      <c r="N21" s="21">
        <f t="shared" si="5"/>
        <v>-0.67500000000000004</v>
      </c>
      <c r="O21" s="21">
        <f t="shared" si="0"/>
        <v>0.1900091511231311</v>
      </c>
      <c r="Y21" s="34">
        <v>0.6</v>
      </c>
      <c r="Z21" s="33">
        <f t="shared" si="1"/>
        <v>0.36787944117144233</v>
      </c>
      <c r="AK21" s="1075">
        <v>2032</v>
      </c>
      <c r="AN21" s="1292">
        <f t="shared" si="2"/>
        <v>2</v>
      </c>
    </row>
    <row r="22" spans="1:41" x14ac:dyDescent="0.25">
      <c r="A22" s="21">
        <v>13</v>
      </c>
      <c r="B22" s="21">
        <f t="shared" si="3"/>
        <v>0.99987660542401369</v>
      </c>
      <c r="L22" s="24">
        <v>0.35</v>
      </c>
      <c r="M22" s="21">
        <f t="shared" si="4"/>
        <v>0.9969367645606777</v>
      </c>
      <c r="N22" s="21">
        <f t="shared" si="5"/>
        <v>-0.65</v>
      </c>
      <c r="O22" s="21">
        <f t="shared" si="0"/>
        <v>0.22697567607520741</v>
      </c>
      <c r="Y22" s="34">
        <v>0.65</v>
      </c>
      <c r="Z22" s="33">
        <f t="shared" si="1"/>
        <v>0.30924819293334371</v>
      </c>
      <c r="AK22" s="1075">
        <v>2033</v>
      </c>
      <c r="AN22" s="1292">
        <f t="shared" si="2"/>
        <v>2</v>
      </c>
    </row>
    <row r="23" spans="1:41" x14ac:dyDescent="0.25">
      <c r="A23" s="21">
        <v>14</v>
      </c>
      <c r="B23" s="21">
        <f t="shared" si="3"/>
        <v>0.99995460213129761</v>
      </c>
      <c r="D23" s="1739" t="s">
        <v>141</v>
      </c>
      <c r="E23" s="1739"/>
      <c r="F23" s="1739"/>
      <c r="G23" s="1739"/>
      <c r="H23" s="1739"/>
      <c r="I23" s="1739"/>
      <c r="J23" s="1739"/>
      <c r="L23" s="24">
        <v>0.375</v>
      </c>
      <c r="M23" s="21">
        <f t="shared" si="4"/>
        <v>0.9950396809351163</v>
      </c>
      <c r="N23" s="21">
        <f t="shared" si="5"/>
        <v>-0.625</v>
      </c>
      <c r="O23" s="21">
        <f t="shared" si="0"/>
        <v>0.26758881673355606</v>
      </c>
      <c r="Y23" s="34">
        <v>0.7</v>
      </c>
      <c r="Z23" s="33">
        <f t="shared" si="1"/>
        <v>0.25637575668641222</v>
      </c>
      <c r="AK23" s="1075">
        <v>2034</v>
      </c>
      <c r="AN23" s="1292">
        <f>AN24</f>
        <v>2</v>
      </c>
    </row>
    <row r="24" spans="1:41" x14ac:dyDescent="0.25">
      <c r="A24" s="21">
        <v>15</v>
      </c>
      <c r="B24" s="21">
        <f t="shared" si="3"/>
        <v>0.99998329857815205</v>
      </c>
      <c r="D24" s="1739"/>
      <c r="E24" s="1739"/>
      <c r="F24" s="1739"/>
      <c r="G24" s="1739"/>
      <c r="H24" s="1739"/>
      <c r="I24" s="1739"/>
      <c r="J24" s="1739"/>
      <c r="L24" s="24">
        <v>0.4</v>
      </c>
      <c r="M24" s="21">
        <f t="shared" si="4"/>
        <v>0.99221793826024351</v>
      </c>
      <c r="N24" s="21">
        <f t="shared" si="5"/>
        <v>-0.6</v>
      </c>
      <c r="O24" s="21">
        <f t="shared" si="0"/>
        <v>0.31150160758012346</v>
      </c>
      <c r="Y24" s="34">
        <v>0.75</v>
      </c>
      <c r="Z24" s="33">
        <f t="shared" si="1"/>
        <v>0.20961138715109784</v>
      </c>
      <c r="AK24" s="1075">
        <v>2035</v>
      </c>
      <c r="AL24" s="1293">
        <f>(AK24-$AK$24)/15</f>
        <v>0</v>
      </c>
      <c r="AM24" s="33">
        <f t="shared" ref="AM24:AM39" si="6">WEIBULL(AL24,AL$4,AL$5,1)</f>
        <v>0</v>
      </c>
      <c r="AN24" s="1292">
        <f>2-AM24</f>
        <v>2</v>
      </c>
      <c r="AO24" s="1292"/>
    </row>
    <row r="25" spans="1:41" x14ac:dyDescent="0.25">
      <c r="A25" s="21">
        <v>16</v>
      </c>
      <c r="B25" s="21">
        <f t="shared" si="3"/>
        <v>0.99999385582539779</v>
      </c>
      <c r="L25" s="24">
        <v>0.42499999999999999</v>
      </c>
      <c r="M25" s="21">
        <f t="shared" si="4"/>
        <v>0.98812860058541385</v>
      </c>
      <c r="N25" s="21">
        <f t="shared" si="5"/>
        <v>-0.57499999999999996</v>
      </c>
      <c r="O25" s="21">
        <f t="shared" si="0"/>
        <v>0.35824172723251291</v>
      </c>
      <c r="Y25" s="34">
        <v>0.8</v>
      </c>
      <c r="Z25" s="33">
        <f t="shared" si="1"/>
        <v>0.16901331540606601</v>
      </c>
      <c r="AK25" s="1075">
        <v>2036</v>
      </c>
      <c r="AL25" s="1293">
        <f t="shared" ref="AL25:AL39" si="7">(AK25-$AK$24)/15</f>
        <v>6.6666666666666666E-2</v>
      </c>
      <c r="AM25" s="33">
        <f t="shared" si="6"/>
        <v>1.5240417557940526E-4</v>
      </c>
      <c r="AN25" s="1292">
        <f t="shared" ref="AN25:AN39" si="8">2-AM25</f>
        <v>1.9998475958244206</v>
      </c>
    </row>
    <row r="26" spans="1:41" x14ac:dyDescent="0.25">
      <c r="A26" s="21">
        <v>17</v>
      </c>
      <c r="B26" s="21">
        <f t="shared" si="3"/>
        <v>0.99999773967570205</v>
      </c>
      <c r="L26" s="24">
        <v>0.45</v>
      </c>
      <c r="M26" s="21">
        <f t="shared" si="4"/>
        <v>0.98233985300209392</v>
      </c>
      <c r="N26" s="21">
        <f t="shared" si="5"/>
        <v>-0.55000000000000004</v>
      </c>
      <c r="O26" s="21">
        <f t="shared" si="0"/>
        <v>0.40722594992410832</v>
      </c>
      <c r="Y26" s="34">
        <v>0.85</v>
      </c>
      <c r="Z26" s="33">
        <f t="shared" si="1"/>
        <v>0.13439871063288245</v>
      </c>
      <c r="AK26" s="1075">
        <v>2037</v>
      </c>
      <c r="AL26" s="1293">
        <f t="shared" si="7"/>
        <v>0.13333333333333333</v>
      </c>
      <c r="AM26" s="33">
        <f t="shared" si="6"/>
        <v>2.4356815467030703E-3</v>
      </c>
      <c r="AN26" s="1292">
        <f t="shared" si="8"/>
        <v>1.997564318453297</v>
      </c>
    </row>
    <row r="27" spans="1:41" x14ac:dyDescent="0.25">
      <c r="A27" s="21">
        <v>18</v>
      </c>
      <c r="B27" s="21">
        <f t="shared" si="3"/>
        <v>0.99999916847197223</v>
      </c>
      <c r="L27" s="24">
        <v>0.47499999999999998</v>
      </c>
      <c r="M27" s="21">
        <f t="shared" si="4"/>
        <v>0.97432038550085287</v>
      </c>
      <c r="N27" s="21">
        <f t="shared" si="5"/>
        <v>-0.52500000000000002</v>
      </c>
      <c r="O27" s="21">
        <f t="shared" si="0"/>
        <v>0.45778121686063711</v>
      </c>
      <c r="Y27" s="34">
        <v>0.9</v>
      </c>
      <c r="Z27" s="33">
        <f t="shared" si="1"/>
        <v>0.10539922456186435</v>
      </c>
      <c r="AK27" s="1075">
        <v>2038</v>
      </c>
      <c r="AL27" s="1293">
        <f t="shared" si="7"/>
        <v>0.2</v>
      </c>
      <c r="AM27" s="33">
        <f t="shared" si="6"/>
        <v>1.2269783764389463E-2</v>
      </c>
      <c r="AN27" s="1292">
        <f t="shared" si="8"/>
        <v>1.9877302162356105</v>
      </c>
    </row>
    <row r="28" spans="1:41" x14ac:dyDescent="0.25">
      <c r="A28" s="21">
        <v>19</v>
      </c>
      <c r="B28" s="21">
        <f t="shared" si="3"/>
        <v>0.99999969409777301</v>
      </c>
      <c r="L28" s="24">
        <v>0.5</v>
      </c>
      <c r="M28" s="21">
        <f t="shared" si="4"/>
        <v>0.9634324495939437</v>
      </c>
      <c r="N28" s="21">
        <f t="shared" si="5"/>
        <v>-0.5</v>
      </c>
      <c r="O28" s="21">
        <f t="shared" si="0"/>
        <v>0.50917092352272386</v>
      </c>
      <c r="Y28" s="34">
        <v>0.95</v>
      </c>
      <c r="Z28" s="33">
        <f t="shared" si="1"/>
        <v>8.1516938624689561E-2</v>
      </c>
      <c r="AK28" s="1075">
        <v>2039</v>
      </c>
      <c r="AL28" s="1293">
        <f t="shared" si="7"/>
        <v>0.26666666666666666</v>
      </c>
      <c r="AM28" s="33">
        <f t="shared" si="6"/>
        <v>3.826702759539987E-2</v>
      </c>
      <c r="AN28" s="1292">
        <f t="shared" si="8"/>
        <v>1.9617329724046002</v>
      </c>
    </row>
    <row r="29" spans="1:41" x14ac:dyDescent="0.25">
      <c r="A29" s="21">
        <v>20</v>
      </c>
      <c r="B29" s="21">
        <f t="shared" si="3"/>
        <v>0.99999988746483792</v>
      </c>
      <c r="L29" s="24">
        <v>0.52500000000000002</v>
      </c>
      <c r="M29" s="21">
        <f t="shared" si="4"/>
        <v>0.94893158415692824</v>
      </c>
      <c r="N29" s="21">
        <f t="shared" si="5"/>
        <v>-0.47499999999999998</v>
      </c>
      <c r="O29" s="21">
        <f t="shared" si="0"/>
        <v>0.56062463136977081</v>
      </c>
      <c r="Y29" s="34">
        <v>1</v>
      </c>
      <c r="Z29" s="33">
        <f t="shared" si="1"/>
        <v>6.2176524022116264E-2</v>
      </c>
      <c r="AK29" s="1075">
        <v>2040</v>
      </c>
      <c r="AL29" s="1293">
        <f t="shared" si="7"/>
        <v>0.33333333333333331</v>
      </c>
      <c r="AM29" s="33">
        <f t="shared" si="6"/>
        <v>9.0863352593165345E-2</v>
      </c>
      <c r="AN29" s="1292">
        <f t="shared" si="8"/>
        <v>1.9091366474068348</v>
      </c>
    </row>
    <row r="30" spans="1:41" x14ac:dyDescent="0.25">
      <c r="A30" s="21">
        <v>21</v>
      </c>
      <c r="B30" s="21">
        <f t="shared" si="3"/>
        <v>0.99999995860062441</v>
      </c>
      <c r="L30" s="24">
        <v>0.55000000000000004</v>
      </c>
      <c r="M30" s="21">
        <f t="shared" si="4"/>
        <v>0.92997705138372622</v>
      </c>
      <c r="N30" s="21">
        <f t="shared" si="5"/>
        <v>-0.44999999999999996</v>
      </c>
      <c r="O30" s="21">
        <f t="shared" si="0"/>
        <v>0.61136920713398091</v>
      </c>
      <c r="Y30" s="34">
        <v>1.05</v>
      </c>
      <c r="Z30" s="33">
        <f t="shared" si="1"/>
        <v>4.6770622383959015E-2</v>
      </c>
      <c r="AK30" s="1075">
        <v>2041</v>
      </c>
      <c r="AL30" s="1293">
        <f t="shared" si="7"/>
        <v>0.4</v>
      </c>
      <c r="AM30" s="33">
        <f t="shared" si="6"/>
        <v>0.17924519170173203</v>
      </c>
      <c r="AN30" s="1292">
        <f t="shared" si="8"/>
        <v>1.8207548082982679</v>
      </c>
    </row>
    <row r="31" spans="1:41" x14ac:dyDescent="0.25">
      <c r="A31" s="21">
        <v>22</v>
      </c>
      <c r="B31" s="21">
        <f t="shared" si="3"/>
        <v>0.9999999847700205</v>
      </c>
      <c r="L31" s="24">
        <v>0.57499999999999996</v>
      </c>
      <c r="M31" s="21">
        <f t="shared" si="4"/>
        <v>0.90565805896143126</v>
      </c>
      <c r="N31" s="21">
        <f t="shared" si="5"/>
        <v>-0.42500000000000004</v>
      </c>
      <c r="O31" s="21">
        <f t="shared" si="0"/>
        <v>0.66065937979978262</v>
      </c>
      <c r="Y31" s="34">
        <v>1.1000000000000001</v>
      </c>
      <c r="Z31" s="33">
        <f t="shared" si="1"/>
        <v>3.4696685646156467E-2</v>
      </c>
      <c r="AK31" s="1075">
        <v>2042</v>
      </c>
      <c r="AL31" s="1293">
        <f t="shared" si="7"/>
        <v>0.46666666666666667</v>
      </c>
      <c r="AM31" s="33">
        <f t="shared" si="6"/>
        <v>0.30646273948068542</v>
      </c>
      <c r="AN31" s="1292">
        <f t="shared" si="8"/>
        <v>1.6935372605193146</v>
      </c>
    </row>
    <row r="32" spans="1:41" x14ac:dyDescent="0.25">
      <c r="A32" s="21">
        <v>23</v>
      </c>
      <c r="B32" s="21">
        <f t="shared" si="3"/>
        <v>0.99999999439720355</v>
      </c>
      <c r="L32" s="24">
        <v>0.6</v>
      </c>
      <c r="M32" s="21">
        <f t="shared" si="4"/>
        <v>0.87504156865492166</v>
      </c>
      <c r="N32" s="21">
        <f t="shared" si="5"/>
        <v>-0.4</v>
      </c>
      <c r="O32" s="21">
        <f t="shared" si="0"/>
        <v>0.7078058710663363</v>
      </c>
      <c r="Y32" s="34">
        <v>1.1499999999999999</v>
      </c>
      <c r="Z32" s="33">
        <f t="shared" si="1"/>
        <v>2.538463749137676E-2</v>
      </c>
      <c r="AK32" s="1075">
        <v>2043</v>
      </c>
      <c r="AL32" s="1293">
        <f t="shared" si="7"/>
        <v>0.53333333333333333</v>
      </c>
      <c r="AM32" s="33">
        <f t="shared" si="6"/>
        <v>0.46436112035159544</v>
      </c>
      <c r="AN32" s="1292">
        <f t="shared" si="8"/>
        <v>1.5356388796484046</v>
      </c>
    </row>
    <row r="33" spans="1:40" x14ac:dyDescent="0.25">
      <c r="A33" s="21">
        <v>24</v>
      </c>
      <c r="B33" s="21">
        <f t="shared" si="3"/>
        <v>0.99999999793884631</v>
      </c>
      <c r="L33" s="24">
        <v>0.625</v>
      </c>
      <c r="M33" s="21">
        <f t="shared" si="4"/>
        <v>0.83724739060375519</v>
      </c>
      <c r="N33" s="21">
        <f t="shared" si="5"/>
        <v>-0.375</v>
      </c>
      <c r="O33" s="21">
        <f t="shared" si="0"/>
        <v>0.75219956714526204</v>
      </c>
      <c r="Y33" s="34">
        <v>1.2</v>
      </c>
      <c r="Z33" s="33">
        <f t="shared" si="1"/>
        <v>1.831563888873422E-2</v>
      </c>
      <c r="AK33" s="1075">
        <v>2044</v>
      </c>
      <c r="AL33" s="1293">
        <f t="shared" si="7"/>
        <v>0.6</v>
      </c>
      <c r="AM33" s="33">
        <f t="shared" si="6"/>
        <v>0.63212055882855767</v>
      </c>
      <c r="AN33" s="1292">
        <f t="shared" si="8"/>
        <v>1.3678794411714423</v>
      </c>
    </row>
    <row r="34" spans="1:40" x14ac:dyDescent="0.25">
      <c r="A34" s="21">
        <v>25</v>
      </c>
      <c r="B34" s="21">
        <f t="shared" si="3"/>
        <v>0.99999999924174388</v>
      </c>
      <c r="L34" s="24">
        <v>0.65</v>
      </c>
      <c r="M34" s="21">
        <f t="shared" si="4"/>
        <v>0.79155458216907237</v>
      </c>
      <c r="N34" s="21">
        <f t="shared" si="5"/>
        <v>-0.35</v>
      </c>
      <c r="O34" s="21">
        <f t="shared" si="0"/>
        <v>0.79333061294042917</v>
      </c>
      <c r="Y34" s="34">
        <v>1.25</v>
      </c>
      <c r="Z34" s="33">
        <f t="shared" si="1"/>
        <v>1.3032907448509379E-2</v>
      </c>
      <c r="AK34" s="1075">
        <v>2045</v>
      </c>
      <c r="AL34" s="1293">
        <f t="shared" si="7"/>
        <v>0.66666666666666663</v>
      </c>
      <c r="AM34" s="33">
        <f t="shared" si="6"/>
        <v>0.78219560786090769</v>
      </c>
      <c r="AN34" s="1292">
        <f t="shared" si="8"/>
        <v>1.2178043921390924</v>
      </c>
    </row>
    <row r="35" spans="1:40" x14ac:dyDescent="0.25">
      <c r="L35" s="24">
        <v>0.67500000000000004</v>
      </c>
      <c r="M35" s="21">
        <f t="shared" si="4"/>
        <v>0.73753897394476564</v>
      </c>
      <c r="N35" s="21">
        <f t="shared" si="5"/>
        <v>-0.32499999999999996</v>
      </c>
      <c r="O35" s="21">
        <f t="shared" si="0"/>
        <v>0.83080177321422377</v>
      </c>
      <c r="Y35" s="34">
        <v>1.3</v>
      </c>
      <c r="Z35" s="33">
        <f t="shared" si="1"/>
        <v>9.1459470384278596E-3</v>
      </c>
      <c r="AK35" s="1075">
        <v>2046</v>
      </c>
      <c r="AL35" s="1293">
        <f t="shared" si="7"/>
        <v>0.73333333333333328</v>
      </c>
      <c r="AM35" s="33">
        <f t="shared" si="6"/>
        <v>0.89263484441361618</v>
      </c>
      <c r="AN35" s="1292">
        <f t="shared" si="8"/>
        <v>1.1073651555863839</v>
      </c>
    </row>
    <row r="36" spans="1:40" x14ac:dyDescent="0.25">
      <c r="L36" s="24">
        <v>0.7</v>
      </c>
      <c r="M36" s="21">
        <f t="shared" si="4"/>
        <v>0.67523405249260549</v>
      </c>
      <c r="N36" s="21">
        <f t="shared" si="5"/>
        <v>-0.30000000000000004</v>
      </c>
      <c r="O36" s="21">
        <f t="shared" si="0"/>
        <v>0.86433586981998112</v>
      </c>
      <c r="Y36" s="34">
        <v>1.35</v>
      </c>
      <c r="Z36" s="33">
        <f t="shared" si="1"/>
        <v>6.329715427485727E-3</v>
      </c>
      <c r="AK36" s="1075">
        <v>2047</v>
      </c>
      <c r="AL36" s="1293">
        <f t="shared" si="7"/>
        <v>0.8</v>
      </c>
      <c r="AM36" s="33">
        <f t="shared" si="6"/>
        <v>0.95759520473050741</v>
      </c>
      <c r="AN36" s="1292">
        <f t="shared" si="8"/>
        <v>1.0424047952694926</v>
      </c>
    </row>
    <row r="37" spans="1:40" x14ac:dyDescent="0.25">
      <c r="L37" s="24">
        <v>0.72499999999999998</v>
      </c>
      <c r="M37" s="21">
        <f t="shared" si="4"/>
        <v>0.60529612644814879</v>
      </c>
      <c r="N37" s="21">
        <f t="shared" si="5"/>
        <v>-0.27500000000000002</v>
      </c>
      <c r="O37" s="21">
        <f t="shared" si="0"/>
        <v>0.89377752699959134</v>
      </c>
      <c r="Y37" s="34">
        <v>1.4</v>
      </c>
      <c r="Z37" s="33">
        <f t="shared" si="1"/>
        <v>4.3202394740941008E-3</v>
      </c>
      <c r="AK37" s="1075">
        <v>2048</v>
      </c>
      <c r="AL37" s="1293">
        <f t="shared" si="7"/>
        <v>0.8666666666666667</v>
      </c>
      <c r="AM37" s="33">
        <f t="shared" si="6"/>
        <v>0.98713374628095452</v>
      </c>
      <c r="AN37" s="1292">
        <f t="shared" si="8"/>
        <v>1.0128662537190456</v>
      </c>
    </row>
    <row r="38" spans="1:40" x14ac:dyDescent="0.25">
      <c r="L38" s="24">
        <v>0.75</v>
      </c>
      <c r="M38" s="21">
        <f t="shared" si="4"/>
        <v>0.52914077242073576</v>
      </c>
      <c r="N38" s="21">
        <f t="shared" si="5"/>
        <v>-0.25</v>
      </c>
      <c r="O38" s="21">
        <f t="shared" si="0"/>
        <v>0.91908980640374016</v>
      </c>
      <c r="Y38" s="34">
        <v>1.45</v>
      </c>
      <c r="Z38" s="33">
        <f t="shared" si="1"/>
        <v>2.9080347261855044E-3</v>
      </c>
      <c r="AK38" s="1075">
        <v>2049</v>
      </c>
      <c r="AL38" s="1293">
        <f t="shared" si="7"/>
        <v>0.93333333333333335</v>
      </c>
      <c r="AM38" s="33">
        <f t="shared" si="6"/>
        <v>0.99713505177129269</v>
      </c>
      <c r="AN38" s="1292">
        <f t="shared" si="8"/>
        <v>1.0028649482287073</v>
      </c>
    </row>
    <row r="39" spans="1:40" x14ac:dyDescent="0.25">
      <c r="L39" s="24">
        <v>0.77500000000000002</v>
      </c>
      <c r="M39" s="21">
        <f t="shared" si="4"/>
        <v>0.44900446071673594</v>
      </c>
      <c r="N39" s="21">
        <f t="shared" si="5"/>
        <v>-0.22499999999999998</v>
      </c>
      <c r="O39" s="21">
        <f t="shared" si="0"/>
        <v>0.94034657071919869</v>
      </c>
      <c r="Y39" s="34">
        <v>1.5</v>
      </c>
      <c r="Z39" s="33">
        <f t="shared" si="1"/>
        <v>1.9304541362277217E-3</v>
      </c>
      <c r="AK39" s="1075">
        <v>2050</v>
      </c>
      <c r="AL39" s="1293">
        <f t="shared" si="7"/>
        <v>1</v>
      </c>
      <c r="AM39" s="33">
        <f t="shared" si="6"/>
        <v>0.99955438240440797</v>
      </c>
      <c r="AN39" s="1292">
        <f t="shared" si="8"/>
        <v>1.000445617595592</v>
      </c>
    </row>
    <row r="40" spans="1:40" x14ac:dyDescent="0.25">
      <c r="L40" s="24">
        <v>0.8</v>
      </c>
      <c r="M40" s="21">
        <f t="shared" si="4"/>
        <v>0.36787944117144233</v>
      </c>
      <c r="N40" s="21">
        <f t="shared" si="5"/>
        <v>-0.19999999999999996</v>
      </c>
      <c r="O40" s="21">
        <f t="shared" si="0"/>
        <v>0.95772157283543613</v>
      </c>
      <c r="Z40" s="28"/>
    </row>
    <row r="41" spans="1:40" x14ac:dyDescent="0.25">
      <c r="L41" s="24">
        <v>0.82499999999999996</v>
      </c>
      <c r="M41" s="21">
        <f t="shared" si="4"/>
        <v>0.2892800760938834</v>
      </c>
      <c r="N41" s="21">
        <f t="shared" si="5"/>
        <v>-0.17500000000000004</v>
      </c>
      <c r="O41" s="21">
        <f t="shared" si="0"/>
        <v>0.97147533043809331</v>
      </c>
      <c r="Z41" s="28"/>
    </row>
    <row r="42" spans="1:40" x14ac:dyDescent="0.25">
      <c r="L42" s="24">
        <v>0.85</v>
      </c>
      <c r="M42" s="21">
        <f t="shared" si="4"/>
        <v>0.21683237755298213</v>
      </c>
      <c r="N42" s="21">
        <f t="shared" si="5"/>
        <v>-0.15000000000000002</v>
      </c>
      <c r="O42" s="21">
        <f t="shared" si="0"/>
        <v>0.98194082615872769</v>
      </c>
      <c r="Z42" s="28"/>
    </row>
    <row r="43" spans="1:40" x14ac:dyDescent="0.25">
      <c r="L43" s="24">
        <v>0.875</v>
      </c>
      <c r="M43" s="21">
        <f t="shared" si="4"/>
        <v>0.15373576100167052</v>
      </c>
      <c r="N43" s="21">
        <f t="shared" si="5"/>
        <v>-0.125</v>
      </c>
      <c r="O43" s="21">
        <f t="shared" si="0"/>
        <v>0.98950898865769854</v>
      </c>
      <c r="Z43" s="28"/>
    </row>
    <row r="44" spans="1:40" x14ac:dyDescent="0.25">
      <c r="L44" s="24">
        <v>0.9</v>
      </c>
      <c r="M44" s="21">
        <f t="shared" si="4"/>
        <v>0.10221290412453365</v>
      </c>
      <c r="N44" s="21">
        <f t="shared" si="5"/>
        <v>-9.9999999999999978E-2</v>
      </c>
      <c r="O44" s="21">
        <f t="shared" si="0"/>
        <v>0.99461478043461715</v>
      </c>
      <c r="Z44" s="28"/>
    </row>
    <row r="45" spans="1:40" x14ac:dyDescent="0.25">
      <c r="L45" s="24">
        <v>0.92500000000000004</v>
      </c>
      <c r="M45" s="21">
        <f t="shared" si="4"/>
        <v>6.3109670968522158E-2</v>
      </c>
      <c r="N45" s="21">
        <f t="shared" si="5"/>
        <v>-7.4999999999999956E-2</v>
      </c>
      <c r="O45" s="21">
        <f t="shared" si="0"/>
        <v>0.99772456387142661</v>
      </c>
      <c r="Z45" s="28"/>
    </row>
    <row r="46" spans="1:40" x14ac:dyDescent="0.25">
      <c r="L46" s="24">
        <v>0.95</v>
      </c>
      <c r="M46" s="21">
        <f t="shared" si="4"/>
        <v>3.5795549198594179E-2</v>
      </c>
      <c r="N46" s="21">
        <f t="shared" si="5"/>
        <v>-5.0000000000000044E-2</v>
      </c>
      <c r="O46" s="21">
        <f t="shared" si="0"/>
        <v>0.99932525622582913</v>
      </c>
      <c r="Z46" s="28"/>
    </row>
    <row r="47" spans="1:40" x14ac:dyDescent="0.25">
      <c r="L47" s="24">
        <v>0.97499999999999998</v>
      </c>
      <c r="M47" s="21">
        <f t="shared" si="4"/>
        <v>1.842682212202218E-2</v>
      </c>
      <c r="N47" s="21">
        <f t="shared" si="5"/>
        <v>-2.5000000000000022E-2</v>
      </c>
      <c r="O47" s="21">
        <f t="shared" si="0"/>
        <v>0.99991563211964452</v>
      </c>
      <c r="Z47" s="28"/>
    </row>
    <row r="48" spans="1:40" x14ac:dyDescent="0.25">
      <c r="L48" s="24">
        <v>1</v>
      </c>
      <c r="M48" s="21">
        <f t="shared" si="4"/>
        <v>8.4942010133964851E-3</v>
      </c>
      <c r="N48" s="21">
        <v>1</v>
      </c>
      <c r="O48" s="21">
        <f>O$7</f>
        <v>1</v>
      </c>
      <c r="Z48" s="28"/>
    </row>
    <row r="49" spans="26:26" x14ac:dyDescent="0.25">
      <c r="Z49" s="28"/>
    </row>
  </sheetData>
  <mergeCells count="1">
    <mergeCell ref="D23:J24"/>
  </mergeCells>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6" ma:contentTypeDescription="Create a new document." ma:contentTypeScope="" ma:versionID="92edab7d25c0fe475c2d08aa609056a2">
  <xsd:schema xmlns:xsd="http://www.w3.org/2001/XMLSchema" xmlns:xs="http://www.w3.org/2001/XMLSchema" xmlns:p="http://schemas.microsoft.com/office/2006/metadata/properties" xmlns:ns2="065de1db-e31c-4292-be75-d6c27d0859e3" targetNamespace="http://schemas.microsoft.com/office/2006/metadata/properties" ma:root="true" ma:fieldsID="f3f87cd003342753f10db35effe69518" ns2:_="">
    <xsd:import namespace="065de1db-e31c-4292-be75-d6c27d0859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221805-8814-4DFD-8256-14B873B42E1B}">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D61144-EEED-4EA9-966B-72B246C89682}">
  <ds:schemaRefs>
    <ds:schemaRef ds:uri="http://schemas.microsoft.com/sharepoint/v3/contenttype/forms"/>
  </ds:schemaRefs>
</ds:datastoreItem>
</file>

<file path=customXml/itemProps3.xml><?xml version="1.0" encoding="utf-8"?>
<ds:datastoreItem xmlns:ds="http://schemas.openxmlformats.org/officeDocument/2006/customXml" ds:itemID="{D9A142DF-261B-44D1-A761-83CDF91B2F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180</vt:i4>
      </vt:variant>
    </vt:vector>
  </HeadingPairs>
  <TitlesOfParts>
    <vt:vector size="200" baseType="lpstr">
      <vt:lpstr>Change Log</vt:lpstr>
      <vt:lpstr>User Notes</vt:lpstr>
      <vt:lpstr>Run Model</vt:lpstr>
      <vt:lpstr>Inputs 4-6 Diesel</vt:lpstr>
      <vt:lpstr>Inputs 4-6 Gas</vt:lpstr>
      <vt:lpstr>Fuel Prices</vt:lpstr>
      <vt:lpstr>4-6 Diesel</vt:lpstr>
      <vt:lpstr>4-6 Gas</vt:lpstr>
      <vt:lpstr>Mkt Pen Veh-Mi</vt:lpstr>
      <vt:lpstr>Market Penetration</vt:lpstr>
      <vt:lpstr>Mkt Pen Veh-Mi (2)</vt:lpstr>
      <vt:lpstr>CentShrbyTech</vt:lpstr>
      <vt:lpstr>Fuel2ShrbyTech</vt:lpstr>
      <vt:lpstr>MPG</vt:lpstr>
      <vt:lpstr>FuelAvail</vt:lpstr>
      <vt:lpstr>Alt Fueling Stations by Fuel</vt:lpstr>
      <vt:lpstr>Veh Price</vt:lpstr>
      <vt:lpstr>Market Data</vt:lpstr>
      <vt:lpstr>Adoption Decision</vt:lpstr>
      <vt:lpstr>S-curves</vt:lpstr>
      <vt:lpstr>AdoptCols</vt:lpstr>
      <vt:lpstr>AdoptCurve</vt:lpstr>
      <vt:lpstr>AdoptDec</vt:lpstr>
      <vt:lpstr>BaseFuels</vt:lpstr>
      <vt:lpstr>CDRANGE_CLS1</vt:lpstr>
      <vt:lpstr>CDRANGE_CLS2</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Cls3CentVMT</vt:lpstr>
      <vt:lpstr>Cls3CentVMTShr</vt:lpstr>
      <vt:lpstr>Cls3NCentDailyRng</vt:lpstr>
      <vt:lpstr>Cls3NCentVMT</vt:lpstr>
      <vt:lpstr>Cls3NCentVMTShr</vt:lpstr>
      <vt:lpstr>Cohorts</vt:lpstr>
      <vt:lpstr>COST_Cls1</vt:lpstr>
      <vt:lpstr>COST_Cls2</vt:lpstr>
      <vt:lpstr>disc_rate</vt:lpstr>
      <vt:lpstr>FirstCostInd</vt:lpstr>
      <vt:lpstr>FltShr</vt:lpstr>
      <vt:lpstr>fuel_avail</vt:lpstr>
      <vt:lpstr>FUEL1MPG_78SU</vt:lpstr>
      <vt:lpstr>FUEL1MPG_Cls1</vt:lpstr>
      <vt:lpstr>FUEL1MPG_Cls2</vt:lpstr>
      <vt:lpstr>Fuel2HDStock</vt:lpstr>
      <vt:lpstr>FUEL2MPG_Cls1</vt:lpstr>
      <vt:lpstr>FUEL2MPG_Cls2</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plugs_per_station</vt:lpstr>
      <vt:lpstr>'Alt Fueling Stations by Fuel'!Print_Area</vt:lpstr>
      <vt:lpstr>'Market Data'!Print_Area</vt:lpstr>
      <vt:lpstr>'Market Penetration'!Print_Area</vt:lpstr>
      <vt:lpstr>'Mkt Pen Veh-Mi'!Print_Area</vt:lpstr>
      <vt:lpstr>'Mkt Pen Veh-Mi (2)'!Print_Area</vt:lpstr>
      <vt:lpstr>'4-6 Diesel'!Print_Titles</vt:lpstr>
      <vt:lpstr>'4-6 Gas'!Print_Titles</vt:lpstr>
      <vt:lpstr>'Inputs 4-6 Diesel'!Print_Titles</vt:lpstr>
      <vt:lpstr>'Inputs 4-6 Gas'!Print_Titles</vt:lpstr>
      <vt:lpstr>RtimeCls1Cent1</vt:lpstr>
      <vt:lpstr>RtimeCls1Cent2</vt:lpstr>
      <vt:lpstr>RtimeCls1NCent1</vt:lpstr>
      <vt:lpstr>RtimeCls1NCent2</vt:lpstr>
      <vt:lpstr>RtimeCls2Cent1</vt:lpstr>
      <vt:lpstr>RtimeCls2Cent2</vt:lpstr>
      <vt:lpstr>RtimeCls2NCent1</vt:lpstr>
      <vt:lpstr>RtimeCls2NCent2</vt:lpstr>
      <vt:lpstr>'S-curves'!SCdata</vt:lpstr>
      <vt:lpstr>SCdata</vt:lpstr>
      <vt:lpstr>SUBSIDY_Cls1</vt:lpstr>
      <vt:lpstr>SUBSIDY_Cls2</vt:lpstr>
      <vt:lpstr>TECH_OPT_COLS_Cls1</vt:lpstr>
      <vt:lpstr>TECH_OPT_COLS_Cls2</vt:lpstr>
      <vt:lpstr>TECH_OPT_DESC_Cls1</vt:lpstr>
      <vt:lpstr>TECH_OPT_DESC_Cls2</vt:lpstr>
      <vt:lpstr>TECH_OPT_FUEL1_Cls1</vt:lpstr>
      <vt:lpstr>TECH_OPT_FUEL1_Cls2</vt:lpstr>
      <vt:lpstr>TECH_OPT_FUEL2_Cls1</vt:lpstr>
      <vt:lpstr>TECH_OPT_FUEL2_Cls2</vt:lpstr>
      <vt:lpstr>TECH_OPT_PARAMS_Cls1</vt:lpstr>
      <vt:lpstr>TECH_OPT_PARAMS_Cls2</vt:lpstr>
      <vt:lpstr>TECH_OPT_ROWS_Cls1</vt:lpstr>
      <vt:lpstr>TECH_OPT_ROWS_Cls2</vt:lpstr>
      <vt:lpstr>TechACls1</vt:lpstr>
      <vt:lpstr>TechACls2</vt:lpstr>
      <vt:lpstr>TechBCls1</vt:lpstr>
      <vt:lpstr>TechBCls2</vt:lpstr>
      <vt:lpstr>TechCCls1</vt:lpstr>
      <vt:lpstr>TechCCls2</vt:lpstr>
      <vt:lpstr>TechDCls1</vt:lpstr>
      <vt:lpstr>TechDCls2</vt:lpstr>
      <vt:lpstr>TechECls1</vt:lpstr>
      <vt:lpstr>TechECls2</vt:lpstr>
      <vt:lpstr>TechHDStock</vt:lpstr>
      <vt:lpstr>TECHOPTS_Cls1</vt:lpstr>
      <vt:lpstr>TECHOPTS_Cls2</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Arthur Yip</cp:lastModifiedBy>
  <cp:lastPrinted>2012-07-16T18:43:44Z</cp:lastPrinted>
  <dcterms:created xsi:type="dcterms:W3CDTF">2011-09-16T16:09:37Z</dcterms:created>
  <dcterms:modified xsi:type="dcterms:W3CDTF">2020-12-10T22:45:49Z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